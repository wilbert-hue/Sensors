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vijay\Desktop\Reports\Spectral Sensor Market\"/>
    </mc:Choice>
  </mc:AlternateContent>
  <xr:revisionPtr revIDLastSave="0" documentId="13_ncr:1_{5CC34BE0-7BC0-4E53-B5E8-DA2183F89637}" xr6:coauthVersionLast="47" xr6:coauthVersionMax="47" xr10:uidLastSave="{00000000-0000-0000-0000-000000000000}"/>
  <bookViews>
    <workbookView xWindow="-110" yWindow="-110" windowWidth="19420" windowHeight="10420" xr2:uid="{B876100E-36C1-470B-BC97-098E9254B546}"/>
  </bookViews>
  <sheets>
    <sheet name="Home" sheetId="3" r:id="rId1"/>
    <sheet name="Value" sheetId="1" r:id="rId2"/>
    <sheet name="Master Sheet" sheetId="2" state="hidden" r:id="rId3"/>
  </sheets>
  <externalReferences>
    <externalReference r:id="rId4"/>
  </externalReferences>
  <definedNames>
    <definedName name="_xlnm._FilterDatabase" localSheetId="2" hidden="1">'Master Sheet'!$A$6:$R$1193</definedName>
    <definedName name="ASP_Graph">'[1]Trend Sheet'!$AS$119:$AS$139</definedName>
    <definedName name="FCAGR">'[1]By Metal Type'!$F$7</definedName>
    <definedName name="HCAGR">'[1]By Metal Type'!$F$8</definedName>
    <definedName name="Rx">[1]Taxonomy!$D$7</definedName>
    <definedName name="Slicer_Region">#N/A</definedName>
    <definedName name="Slicer_Segment">#N/A</definedName>
    <definedName name="Slicer_Sub_segment">#N/A</definedName>
    <definedName name="Slicer_Sub_segment_1">#N/A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2" l="1"/>
  <c r="H6" i="2" s="1"/>
  <c r="I6" i="2" s="1"/>
  <c r="J6" i="2" s="1"/>
  <c r="K6" i="2" s="1"/>
  <c r="L6" i="2" s="1"/>
  <c r="M6" i="2" s="1"/>
  <c r="N6" i="2" s="1"/>
  <c r="O6" i="2" s="1"/>
  <c r="P6" i="2" s="1"/>
  <c r="Q6" i="2" s="1"/>
  <c r="R6" i="2" s="1"/>
  <c r="O20"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19" i="1"/>
  <c r="A5" i="2" l="1"/>
</calcChain>
</file>

<file path=xl/sharedStrings.xml><?xml version="1.0" encoding="utf-8"?>
<sst xmlns="http://schemas.openxmlformats.org/spreadsheetml/2006/main" count="7130" uniqueCount="102">
  <si>
    <t>Row Labels</t>
  </si>
  <si>
    <t xml:space="preserve"> 2021</t>
  </si>
  <si>
    <t xml:space="preserve"> 2022</t>
  </si>
  <si>
    <t xml:space="preserve"> 2023</t>
  </si>
  <si>
    <t xml:space="preserve"> 2024</t>
  </si>
  <si>
    <t xml:space="preserve"> 2025</t>
  </si>
  <si>
    <t xml:space="preserve"> 2026</t>
  </si>
  <si>
    <t xml:space="preserve"> 2027</t>
  </si>
  <si>
    <t xml:space="preserve"> 2028</t>
  </si>
  <si>
    <t xml:space="preserve"> 2029</t>
  </si>
  <si>
    <t xml:space="preserve"> 2030</t>
  </si>
  <si>
    <t xml:space="preserve"> 2031</t>
  </si>
  <si>
    <t xml:space="preserve"> 2032</t>
  </si>
  <si>
    <t>Global</t>
  </si>
  <si>
    <t>Region</t>
  </si>
  <si>
    <t>Latin America</t>
  </si>
  <si>
    <t>Rest of Latin America</t>
  </si>
  <si>
    <t>Segment</t>
  </si>
  <si>
    <t>Sub-segment</t>
  </si>
  <si>
    <t>Germany</t>
  </si>
  <si>
    <t>Italy</t>
  </si>
  <si>
    <t>Spain</t>
  </si>
  <si>
    <t>Value</t>
  </si>
  <si>
    <t>Brazil</t>
  </si>
  <si>
    <t>Argentina</t>
  </si>
  <si>
    <t>Mexico</t>
  </si>
  <si>
    <t>CAGR</t>
  </si>
  <si>
    <t>France</t>
  </si>
  <si>
    <t>India</t>
  </si>
  <si>
    <t>By Region</t>
  </si>
  <si>
    <t>By Country</t>
  </si>
  <si>
    <t xml:space="preserve"> 2033</t>
  </si>
  <si>
    <t>North America</t>
  </si>
  <si>
    <t>Europe</t>
  </si>
  <si>
    <t>Asia Pacific</t>
  </si>
  <si>
    <t>U.S.</t>
  </si>
  <si>
    <t>Canada</t>
  </si>
  <si>
    <t>Russia</t>
  </si>
  <si>
    <t>Rest of Europe</t>
  </si>
  <si>
    <t>China</t>
  </si>
  <si>
    <t>Japan</t>
  </si>
  <si>
    <t>Australia</t>
  </si>
  <si>
    <t>ASEAN</t>
  </si>
  <si>
    <t>South Korea</t>
  </si>
  <si>
    <t>Rest of Asia Pacific</t>
  </si>
  <si>
    <t>South Africa</t>
  </si>
  <si>
    <t>Sub-segment 1</t>
  </si>
  <si>
    <t>By Technology</t>
  </si>
  <si>
    <t>Environmental Monitoring</t>
  </si>
  <si>
    <t>Middle East &amp; Africa</t>
  </si>
  <si>
    <t>GCC</t>
  </si>
  <si>
    <t>Rest of Middle East &amp; Africa</t>
  </si>
  <si>
    <t>Global Spectral Sensor Market Value (US$ Million) Analysis and Forecast, 2021-2033</t>
  </si>
  <si>
    <t>Global Spectral Sensor Market Value (US$ Million) &amp; Volume (Mn Units) Analysis and Forecast, 2021-2033</t>
  </si>
  <si>
    <t>By Product Type</t>
  </si>
  <si>
    <t>Hyperspectral Imaging Systems</t>
  </si>
  <si>
    <t>Multispectral Imaging Systems</t>
  </si>
  <si>
    <t>Non-Imaging Spectral Systems</t>
  </si>
  <si>
    <t>Sub-segment 2</t>
  </si>
  <si>
    <t>By Offering</t>
  </si>
  <si>
    <t>Hardware</t>
  </si>
  <si>
    <t>Sensors &amp; Detectors</t>
  </si>
  <si>
    <t>Hyperspectral Sensors</t>
  </si>
  <si>
    <t>Multispectral Sensors</t>
  </si>
  <si>
    <t>Non-Imaging Spectral Sensor Modules / Detector Modules</t>
  </si>
  <si>
    <t>Spectral Separation &amp; Measurement Components</t>
  </si>
  <si>
    <t>Optical Components (Filters, Lenses, Diffraction Gratings)</t>
  </si>
  <si>
    <t>Light Sources (LED, Laser)</t>
  </si>
  <si>
    <t>Processing Units and Embedded Hardware</t>
  </si>
  <si>
    <t>Supporting Hardware (Power Supply, Thermal, Enclosures, Connectivity)</t>
  </si>
  <si>
    <t>Software</t>
  </si>
  <si>
    <t>Spectral Data Processing &amp; Analysis Software</t>
  </si>
  <si>
    <t>AI/ML-Based Spectral Interpretation Software</t>
  </si>
  <si>
    <t>Imaging &amp; Visualization Software</t>
  </si>
  <si>
    <t>Calibration &amp; Correction Software</t>
  </si>
  <si>
    <t>Data Management &amp; Integration Platforms</t>
  </si>
  <si>
    <t>Services</t>
  </si>
  <si>
    <t>System Integration &amp; Deployment Services</t>
  </si>
  <si>
    <t>Calibration &amp; Maintenance Services</t>
  </si>
  <si>
    <t>Managed Data Analysis &amp; Interpretation Services</t>
  </si>
  <si>
    <t>Training &amp; Technical Support Services</t>
  </si>
  <si>
    <t>Consulting &amp; Custom Solution Development</t>
  </si>
  <si>
    <t>Imaging</t>
  </si>
  <si>
    <t>Non-Imaging</t>
  </si>
  <si>
    <t>By Spectral Range</t>
  </si>
  <si>
    <t>Ultraviolet (UV)</t>
  </si>
  <si>
    <t>Visible (VIS)</t>
  </si>
  <si>
    <t>Near-Infrared (NIR)</t>
  </si>
  <si>
    <t>Short-Wave Infrared (SWIR)</t>
  </si>
  <si>
    <t>Mid-Wave Infrared (MWIR)</t>
  </si>
  <si>
    <t>Long-Wave Infrared (LWIR)</t>
  </si>
  <si>
    <t>By Form Factor</t>
  </si>
  <si>
    <t>Portable</t>
  </si>
  <si>
    <t>Fixed and Installed</t>
  </si>
  <si>
    <t>By End User</t>
  </si>
  <si>
    <t>Agriculture</t>
  </si>
  <si>
    <t>Healthcare &amp; Life Sciences</t>
  </si>
  <si>
    <t>Food &amp; Beverage</t>
  </si>
  <si>
    <t>Industrial &amp; Manufacturing</t>
  </si>
  <si>
    <t>Defense</t>
  </si>
  <si>
    <t>Other (Aerospace, Research &amp; Academia, etc.)</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</si>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</sst>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Calibri"/>
      <family val="2"/>
      <scheme val="minor"/>
    </font>
    <font>
      <sz val="11"/>
      <color theme="0"/>
      <name val="Calibri"/>
      <family val="2"/>
      <scheme val="minor"/>
    </font>
    <font>
      <b/>
      <sz val="14"/>
      <color theme="0"/>
      <name val="Calibri"/>
      <family val="2"/>
      <scheme val="minor"/>
    </font>
    <font>
      <b/>
      <i/>
      <sz val="14"/>
      <color theme="0"/>
      <name val="Calibri"/>
      <family val="2"/>
      <scheme val="minor"/>
    </font>
    <font>
      <b/>
      <sz val="11"/>
      <color theme="1"/>
      <name val="Calibri"/>
      <family val="2"/>
      <scheme val="minor"/>
    </font>
    <font>
      <sz val="11"/>
      <color theme="1"/>
      <name val="Calibri"/>
      <family val="2"/>
      <scheme val="minor"/>
    </font>
  </fonts>
  <fills count="12">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9" tint="0.59999389629810485"/>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44">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center" vertical="center"/>
    </xf>
    <xf numFmtId="0" fontId="1" fillId="2" borderId="0" xfId="0" applyFont="1" applyFill="1" applyAlignment="1">
      <alignment horizontal="center"/>
    </xf>
    <xf numFmtId="3" fontId="0" fillId="0" borderId="0" xfId="0" applyNumberFormat="1" applyAlignment="1">
      <alignment horizontal="center" vertical="center"/>
    </xf>
    <xf numFmtId="0" fontId="0" fillId="0" borderId="0" xfId="0" pivotButton="1"/>
    <xf numFmtId="0" fontId="0" fillId="0" borderId="0" xfId="0" applyAlignment="1">
      <alignment horizontal="center" vertical="center"/>
    </xf>
    <xf numFmtId="0" fontId="4" fillId="3" borderId="0" xfId="0" applyFont="1" applyFill="1"/>
    <xf numFmtId="0" fontId="4" fillId="4" borderId="1" xfId="0" applyFont="1" applyFill="1" applyBorder="1" applyAlignment="1">
      <alignment horizontal="center" vertical="center"/>
    </xf>
    <xf numFmtId="165" fontId="0" fillId="0" borderId="0" xfId="1" applyNumberFormat="1" applyFont="1" applyAlignment="1">
      <alignment horizontal="center" vertical="center"/>
    </xf>
    <xf numFmtId="3" fontId="0" fillId="0" borderId="0" xfId="0" applyNumberFormat="1"/>
    <xf numFmtId="0" fontId="0" fillId="0" borderId="2" xfId="0" applyBorder="1"/>
    <xf numFmtId="4" fontId="0" fillId="0" borderId="2" xfId="0" applyNumberFormat="1" applyBorder="1" applyAlignment="1">
      <alignment horizontal="center" vertical="center"/>
    </xf>
    <xf numFmtId="0" fontId="0" fillId="0" borderId="0" xfId="0" applyAlignment="1">
      <alignment horizontal="left" vertical="center"/>
    </xf>
    <xf numFmtId="0" fontId="1" fillId="2" borderId="0" xfId="0" applyFont="1" applyFill="1" applyAlignment="1">
      <alignment horizontal="left" vertical="center"/>
    </xf>
    <xf numFmtId="0" fontId="4" fillId="8" borderId="2" xfId="0" applyFont="1" applyFill="1" applyBorder="1"/>
    <xf numFmtId="0" fontId="4" fillId="0" borderId="2" xfId="0" applyFont="1" applyBorder="1"/>
    <xf numFmtId="0" fontId="0" fillId="9" borderId="2" xfId="0" applyFill="1" applyBorder="1" applyAlignment="1">
      <alignment horizontal="left" indent="2"/>
    </xf>
    <xf numFmtId="0" fontId="4" fillId="0" borderId="2" xfId="0" applyFont="1" applyBorder="1" applyAlignment="1">
      <alignment horizontal="left"/>
    </xf>
    <xf numFmtId="0" fontId="4" fillId="0" borderId="0" xfId="0" applyFont="1"/>
    <xf numFmtId="4" fontId="0" fillId="9" borderId="2" xfId="0" applyNumberFormat="1" applyFill="1" applyBorder="1" applyAlignment="1">
      <alignment horizontal="center" vertical="center"/>
    </xf>
    <xf numFmtId="0" fontId="4" fillId="7" borderId="2" xfId="0" applyFont="1" applyFill="1" applyBorder="1" applyAlignment="1">
      <alignment vertical="center"/>
    </xf>
    <xf numFmtId="0" fontId="0" fillId="0" borderId="2" xfId="0" applyBorder="1" applyAlignment="1">
      <alignment vertical="center"/>
    </xf>
    <xf numFmtId="164" fontId="0" fillId="0" borderId="2" xfId="0" applyNumberFormat="1" applyBorder="1" applyAlignment="1">
      <alignment horizontal="center" vertical="center"/>
    </xf>
    <xf numFmtId="0" fontId="0" fillId="6" borderId="2" xfId="0" applyFill="1" applyBorder="1" applyAlignment="1">
      <alignment vertical="center"/>
    </xf>
    <xf numFmtId="0" fontId="0" fillId="5" borderId="2" xfId="0" applyFill="1" applyBorder="1" applyAlignment="1">
      <alignment horizontal="left" vertical="center" indent="2"/>
    </xf>
    <xf numFmtId="0" fontId="0" fillId="0" borderId="2" xfId="0" applyBorder="1" applyAlignment="1">
      <alignment horizontal="left" vertical="center" indent="3"/>
    </xf>
    <xf numFmtId="0" fontId="4" fillId="0" borderId="0" xfId="0" applyFont="1" applyAlignment="1">
      <alignment horizontal="left"/>
    </xf>
    <xf numFmtId="10" fontId="4" fillId="0" borderId="0" xfId="0" applyNumberFormat="1" applyFont="1"/>
    <xf numFmtId="164" fontId="0" fillId="9" borderId="2" xfId="0" applyNumberFormat="1" applyFill="1" applyBorder="1" applyAlignment="1">
      <alignment horizontal="center" vertical="center"/>
    </xf>
    <xf numFmtId="3" fontId="0" fillId="9" borderId="2" xfId="0" applyNumberFormat="1" applyFill="1" applyBorder="1" applyAlignment="1">
      <alignment horizontal="center" vertical="center"/>
    </xf>
    <xf numFmtId="3" fontId="0" fillId="0" borderId="2" xfId="0" applyNumberFormat="1" applyBorder="1" applyAlignment="1">
      <alignment horizontal="center" vertical="center"/>
    </xf>
    <xf numFmtId="0" fontId="0" fillId="0" borderId="0" xfId="0" applyAlignment="1">
      <alignment horizontal="left" indent="3"/>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164" fontId="0" fillId="0" borderId="0" xfId="0" applyNumberFormat="1" applyBorder="1" applyAlignment="1">
      <alignment horizontal="center" vertical="center"/>
    </xf>
    <xf numFmtId="0" fontId="0" fillId="10" borderId="2" xfId="0" applyFill="1" applyBorder="1" applyAlignment="1">
      <alignment horizontal="left" indent="2"/>
    </xf>
    <xf numFmtId="0" fontId="0" fillId="9" borderId="2" xfId="0" applyFill="1" applyBorder="1" applyAlignment="1">
      <alignment horizontal="left" indent="3"/>
    </xf>
    <xf numFmtId="0" fontId="0" fillId="11" borderId="2" xfId="0" applyFill="1" applyBorder="1"/>
    <xf numFmtId="4" fontId="0" fillId="10" borderId="2" xfId="0" applyNumberFormat="1" applyFill="1" applyBorder="1" applyAlignment="1">
      <alignment horizontal="center" vertical="center"/>
    </xf>
    <xf numFmtId="4" fontId="0" fillId="11" borderId="2" xfId="0" applyNumberFormat="1" applyFill="1" applyBorder="1" applyAlignment="1">
      <alignment horizontal="center" vertical="center"/>
    </xf>
    <xf numFmtId="0" fontId="0" fillId="0" borderId="0" xfId="0" applyAlignment="1">
      <alignment horizontal="left" indent="4"/>
    </xf>
  </cellXfs>
  <cellStyles count="2">
    <cellStyle name="Normal" xfId="0" builtinId="0"/>
    <cellStyle name="Percent" xfId="1" builtinId="5"/>
  </cellStyles>
  <dxfs count="375">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alignment vertical="center"/>
    </dxf>
    <dxf>
      <alignment horizontal="center"/>
    </dxf>
    <dxf>
      <numFmt numFmtId="164" formatCode="#,##0.0"/>
    </dxf>
    <dxf>
      <alignment horizontal="center"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07/relationships/slicerCache" Target="slicerCaches/slicerCache4.xml"/></Relationships>
</file>

<file path=xl/drawings/_rels/drawing1.xml.rels><?xml version="1.0" encoding="UTF-8" standalone="yes"?>
<Relationships xmlns="http://schemas.openxmlformats.org/package/2006/relationships"><Relationship Id="rId1" Type="http://schemas.openxmlformats.org/officeDocument/2006/relationships/hyperlink" Target="#Value!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12</xdr:col>
      <xdr:colOff>287337</xdr:colOff>
      <xdr:row>6</xdr:row>
      <xdr:rowOff>79375</xdr:rowOff>
    </xdr:from>
    <xdr:to>
      <xdr:col>17</xdr:col>
      <xdr:colOff>515937</xdr:colOff>
      <xdr:row>10</xdr:row>
      <xdr:rowOff>9525</xdr:rowOff>
    </xdr:to>
    <xdr:sp macro="" textlink="">
      <xdr:nvSpPr>
        <xdr:cNvPr id="2" name="Rectangle: Rounded Corners 1">
          <a:hlinkClick xmlns:r="http://schemas.openxmlformats.org/officeDocument/2006/relationships" r:id="rId1" tooltip="Click here to see &quot;Value Data&quot;"/>
          <a:extLst>
            <a:ext uri="{FF2B5EF4-FFF2-40B4-BE49-F238E27FC236}">
              <a16:creationId xmlns:a16="http://schemas.microsoft.com/office/drawing/2014/main" id="{520FD73E-F25E-4CF2-A3D7-10BBEB1D408B}"/>
            </a:ext>
          </a:extLst>
        </xdr:cNvPr>
        <xdr:cNvSpPr/>
      </xdr:nvSpPr>
      <xdr:spPr>
        <a:xfrm>
          <a:off x="7602537" y="1184275"/>
          <a:ext cx="3276600" cy="66675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Global Spectral Sensor Market Value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123456</xdr:colOff>
      <xdr:row>0</xdr:row>
      <xdr:rowOff>137708</xdr:rowOff>
    </xdr:from>
    <xdr:to>
      <xdr:col>0</xdr:col>
      <xdr:colOff>856881</xdr:colOff>
      <xdr:row>2</xdr:row>
      <xdr:rowOff>80558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62686F2-2FF0-4BDF-8C2A-ED52303EA7B5}"/>
            </a:ext>
          </a:extLst>
        </xdr:cNvPr>
        <xdr:cNvSpPr/>
      </xdr:nvSpPr>
      <xdr:spPr>
        <a:xfrm>
          <a:off x="123456" y="137708"/>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2741147</xdr:colOff>
      <xdr:row>3</xdr:row>
      <xdr:rowOff>45440</xdr:rowOff>
    </xdr:from>
    <xdr:to>
      <xdr:col>11</xdr:col>
      <xdr:colOff>702163</xdr:colOff>
      <xdr:row>16</xdr:row>
      <xdr:rowOff>40659</xdr:rowOff>
    </xdr:to>
    <xdr:grpSp>
      <xdr:nvGrpSpPr>
        <xdr:cNvPr id="9" name="Group 8">
          <a:extLst>
            <a:ext uri="{FF2B5EF4-FFF2-40B4-BE49-F238E27FC236}">
              <a16:creationId xmlns:a16="http://schemas.microsoft.com/office/drawing/2014/main" id="{5CE59122-621D-B436-20D1-BA98691AD61F}"/>
            </a:ext>
          </a:extLst>
        </xdr:cNvPr>
        <xdr:cNvGrpSpPr/>
      </xdr:nvGrpSpPr>
      <xdr:grpSpPr>
        <a:xfrm>
          <a:off x="2741147" y="605734"/>
          <a:ext cx="8098604" cy="2423160"/>
          <a:chOff x="2741147" y="605734"/>
          <a:chExt cx="8098604" cy="2423160"/>
        </a:xfrm>
      </xdr:grpSpPr>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0DB7E42-115F-4776-A4FF-25F5C31129F1}"/>
                  </a:ext>
                </a:extLst>
              </xdr:cNvPr>
              <xdr:cNvGraphicFramePr/>
            </xdr:nvGraphicFramePr>
            <xdr:xfrm>
              <a:off x="2741147" y="605734"/>
              <a:ext cx="1916818" cy="2418416"/>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1147" y="605734"/>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408BA6E-0977-4E0F-ACF0-8301F9DBA626}"/>
                  </a:ext>
                </a:extLst>
              </xdr:cNvPr>
              <xdr:cNvGraphicFramePr/>
            </xdr:nvGraphicFramePr>
            <xdr:xfrm>
              <a:off x="4800602" y="605734"/>
              <a:ext cx="1916818" cy="2418416"/>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800602" y="605734"/>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a:extLst>
                  <a:ext uri="{FF2B5EF4-FFF2-40B4-BE49-F238E27FC236}">
                    <a16:creationId xmlns:a16="http://schemas.microsoft.com/office/drawing/2014/main" id="{BDBBB158-CC2E-4CD0-B4F4-1D8C42AB33DC}"/>
                  </a:ext>
                </a:extLst>
              </xdr:cNvPr>
              <xdr:cNvGraphicFramePr/>
            </xdr:nvGraphicFramePr>
            <xdr:xfrm>
              <a:off x="6860057" y="605734"/>
              <a:ext cx="1916818" cy="2418416"/>
            </xdr:xfrm>
            <a:graphic>
              <a:graphicData uri="http://schemas.microsoft.com/office/drawing/2010/slicer">
                <sle:slicer xmlns:sle="http://schemas.microsoft.com/office/drawing/2010/slicer" name="Sub-segment"/>
              </a:graphicData>
            </a:graphic>
          </xdr:graphicFrame>
        </mc:Choice>
        <mc:Fallback xmlns="">
          <xdr:sp macro="" textlink="">
            <xdr:nvSpPr>
              <xdr:cNvPr id="0" name=""/>
              <xdr:cNvSpPr>
                <a:spLocks noTextEdit="1"/>
              </xdr:cNvSpPr>
            </xdr:nvSpPr>
            <xdr:spPr>
              <a:xfrm>
                <a:off x="6860057" y="605734"/>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Sub-segment 1 1">
                <a:extLst>
                  <a:ext uri="{FF2B5EF4-FFF2-40B4-BE49-F238E27FC236}">
                    <a16:creationId xmlns:a16="http://schemas.microsoft.com/office/drawing/2014/main" id="{D724FE20-1076-346F-65CA-29DAC5BCB50C}"/>
                  </a:ext>
                </a:extLst>
              </xdr:cNvPr>
              <xdr:cNvGraphicFramePr/>
            </xdr:nvGraphicFramePr>
            <xdr:xfrm>
              <a:off x="8919511" y="605734"/>
              <a:ext cx="1920240" cy="2423160"/>
            </xdr:xfrm>
            <a:graphic>
              <a:graphicData uri="http://schemas.microsoft.com/office/drawing/2010/slicer">
                <sle:slicer xmlns:sle="http://schemas.microsoft.com/office/drawing/2010/slicer" name="Sub-segment 1 1"/>
              </a:graphicData>
            </a:graphic>
          </xdr:graphicFrame>
        </mc:Choice>
        <mc:Fallback xmlns="">
          <xdr:sp macro="" textlink="">
            <xdr:nvSpPr>
              <xdr:cNvPr id="0" name=""/>
              <xdr:cNvSpPr>
                <a:spLocks noTextEdit="1"/>
              </xdr:cNvSpPr>
            </xdr:nvSpPr>
            <xdr:spPr>
              <a:xfrm>
                <a:off x="8919511" y="605734"/>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e/Desktop/ME%20Update/Engineering%20Plastics%20Market/ME%20Model%20Value.xlsm" TargetMode="External"/><Relationship Id="rId1" Type="http://schemas.openxmlformats.org/officeDocument/2006/relationships/externalLinkPath" Target="/Users/me/Desktop/ME%20Update/Engineering%20Plastics%20Market/ME%20Model%20Valu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end Sheet"/>
      <sheetName val="Taxonomy"/>
      <sheetName val="RD"/>
      <sheetName val="Value"/>
      <sheetName val="Volume"/>
      <sheetName val="Master Sheet"/>
      <sheetName val="Product Type"/>
      <sheetName val="Application"/>
      <sheetName val="Category 3"/>
      <sheetName val="Category 4"/>
      <sheetName val="Category 5"/>
      <sheetName val="Category 6"/>
      <sheetName val="Category 7"/>
      <sheetName val="Category 8"/>
      <sheetName val="Product Type ASP"/>
      <sheetName val="Country Data"/>
      <sheetName val="Region"/>
      <sheetName val="North America"/>
      <sheetName val="Europe"/>
      <sheetName val="Asia Pacific"/>
      <sheetName val="Latin America"/>
      <sheetName val="Middle East &amp; Africa"/>
      <sheetName val="Global1"/>
      <sheetName val="Global"/>
      <sheetName val="Raw Data"/>
      <sheetName val="CP"/>
      <sheetName val="By Application"/>
      <sheetName val="Category 2"/>
      <sheetName val="By Application ASP"/>
      <sheetName val="By Metal Type"/>
      <sheetName val="By End-Use Industry"/>
      <sheetName val="By Metal Type ASP"/>
    </sheetNames>
    <sheetDataSet>
      <sheetData sheetId="0">
        <row r="119">
          <cell r="AS119" t="str">
            <v>Graph_1</v>
          </cell>
        </row>
        <row r="120">
          <cell r="AS120" t="str">
            <v>Graph_2</v>
          </cell>
        </row>
        <row r="121">
          <cell r="AS121" t="str">
            <v>Graph_3</v>
          </cell>
        </row>
        <row r="122">
          <cell r="AS122" t="str">
            <v>Graph_4</v>
          </cell>
        </row>
        <row r="123">
          <cell r="AS123" t="str">
            <v>Graph_5</v>
          </cell>
        </row>
        <row r="124">
          <cell r="AS124" t="str">
            <v>Graph_6</v>
          </cell>
        </row>
        <row r="125">
          <cell r="AS125" t="str">
            <v>Graph_7</v>
          </cell>
        </row>
        <row r="126">
          <cell r="AS126" t="str">
            <v>Graph_8</v>
          </cell>
        </row>
        <row r="127">
          <cell r="AS127" t="str">
            <v>Graph_9</v>
          </cell>
        </row>
        <row r="128">
          <cell r="AS128" t="str">
            <v>Graph_10</v>
          </cell>
        </row>
        <row r="129">
          <cell r="AS129" t="str">
            <v>Graph_11</v>
          </cell>
        </row>
        <row r="130">
          <cell r="AS130" t="str">
            <v>Graph_12</v>
          </cell>
        </row>
        <row r="131">
          <cell r="AS131" t="str">
            <v>Graph_13</v>
          </cell>
        </row>
        <row r="132">
          <cell r="AS132" t="str">
            <v>Graph_14</v>
          </cell>
        </row>
        <row r="133">
          <cell r="AS133" t="str">
            <v>Graph_15</v>
          </cell>
        </row>
        <row r="134">
          <cell r="AS134" t="str">
            <v>Graph_16</v>
          </cell>
        </row>
        <row r="135">
          <cell r="AS135" t="str">
            <v>Graph_17</v>
          </cell>
        </row>
        <row r="136">
          <cell r="AS136" t="str">
            <v>Graph_18</v>
          </cell>
        </row>
        <row r="137">
          <cell r="AS137" t="str">
            <v>Graph_19</v>
          </cell>
        </row>
        <row r="138">
          <cell r="AS138" t="str">
            <v>Graph_20</v>
          </cell>
        </row>
        <row r="139">
          <cell r="AS139" t="str">
            <v>Graph_21</v>
          </cell>
        </row>
      </sheetData>
      <sheetData sheetId="1">
        <row r="1">
          <cell r="C1" t="str">
            <v>Electroplating Market</v>
          </cell>
        </row>
        <row r="7">
          <cell r="D7">
            <v>1</v>
          </cell>
        </row>
      </sheetData>
      <sheetData sheetId="2" refreshError="1"/>
      <sheetData sheetId="3" refreshError="1"/>
      <sheetData sheetId="4" refreshError="1"/>
      <sheetData sheetId="5"/>
      <sheetData sheetId="6">
        <row r="7">
          <cell r="F7">
            <v>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
          <cell r="F7">
            <v>7</v>
          </cell>
        </row>
      </sheetData>
      <sheetData sheetId="27" refreshError="1"/>
      <sheetData sheetId="28" refreshError="1"/>
      <sheetData sheetId="29">
        <row r="7">
          <cell r="F7">
            <v>7</v>
          </cell>
        </row>
        <row r="8">
          <cell r="F8">
            <v>4</v>
          </cell>
        </row>
      </sheetData>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36.665985532411" createdVersion="8" refreshedVersion="8" minRefreshableVersion="3" recordCount="1130" xr:uid="{187A11E9-6956-4003-BD99-57F5C3707524}">
  <cacheSource type="worksheet">
    <worksheetSource ref="A6:R1136" sheet="Master Sheet"/>
  </cacheSource>
  <cacheFields count="18">
    <cacheField name="Region" numFmtId="0">
      <sharedItems count="29">
        <s v="Global"/>
        <s v="North America"/>
        <s v="U.S."/>
        <s v="Canada"/>
        <s v="Europe"/>
        <s v="U.K."/>
        <s v="Germany"/>
        <s v="Italy"/>
        <s v="France"/>
        <s v="Spain"/>
        <s v="Russia"/>
        <s v="Rest of Europe"/>
        <s v="Asia Pacific"/>
        <s v="China"/>
        <s v="India"/>
        <s v="Japan"/>
        <s v="South Korea"/>
        <s v="ASEAN"/>
        <s v="Australia"/>
        <s v="Rest of Asia Pacific"/>
        <s v="Latin America"/>
        <s v="Brazil"/>
        <s v="Argentina"/>
        <s v="Mexico"/>
        <s v="Rest of Latin America"/>
        <s v="Middle East &amp; Africa"/>
        <s v="GCC"/>
        <s v="South Africa"/>
        <s v="Rest of Middle East &amp; Africa"/>
      </sharedItems>
    </cacheField>
    <cacheField name="Segment" numFmtId="0">
      <sharedItems count="8">
        <s v="By Product Type"/>
        <s v="By Offering"/>
        <s v="By Technology"/>
        <s v="By Spectral Range"/>
        <s v="By Form Factor"/>
        <s v="By End User"/>
        <s v="By Region"/>
        <s v="By Country"/>
      </sharedItems>
    </cacheField>
    <cacheField name="Sub-segment" numFmtId="0">
      <sharedItems count="51">
        <s v="Hyperspectral Imaging Systems"/>
        <s v="Multispectral Imaging Systems"/>
        <s v="Non-Imaging Spectral Systems"/>
        <s v="Hardware"/>
        <s v="Software"/>
        <s v="Services"/>
        <s v="Imaging"/>
        <s v="Non-Imaging"/>
        <s v="Ultraviolet (UV)"/>
        <s v="Visible (VIS)"/>
        <s v="Near-Infrared (NIR)"/>
        <s v="Short-Wave Infrared (SWIR)"/>
        <s v="Mid-Wave Infrared (MWIR)"/>
        <s v="Long-Wave Infrared (LWIR)"/>
        <s v="Portable"/>
        <s v="Fixed and Installed"/>
        <s v="Agriculture"/>
        <s v="Healthcare &amp; Life Sciences"/>
        <s v="Food &amp; Beverage"/>
        <s v="Industrial &amp; Manufacturing"/>
        <s v="Environmental Monitoring"/>
        <s v="Defense"/>
        <s v="Other (Aerospace, Research &amp; Academia, etc.)"/>
        <s v="North America"/>
        <s v="Europe"/>
        <s v="Asia Pacific"/>
        <s v="Latin America"/>
        <s v="Middle East &amp; Africa"/>
        <s v="U.S."/>
        <s v="Canada"/>
        <s v="U.K."/>
        <s v="Germany"/>
        <s v="Italy"/>
        <s v="France"/>
        <s v="Spain"/>
        <s v="Russia"/>
        <s v="Rest of Europe"/>
        <s v="China"/>
        <s v="India"/>
        <s v="Japan"/>
        <s v="South Korea"/>
        <s v="ASEAN"/>
        <s v="Australia"/>
        <s v="Rest of Asia Pacific"/>
        <s v="Brazil"/>
        <s v="Argentina"/>
        <s v="Mexico"/>
        <s v="Rest of Latin America"/>
        <s v="GCC"/>
        <s v="South Africa"/>
        <s v="Rest of Middle East &amp; Africa"/>
      </sharedItems>
    </cacheField>
    <cacheField name="Sub-segment 1" numFmtId="0">
      <sharedItems count="64">
        <s v="Hyperspectral Imaging Systems"/>
        <s v="Multispectral Imaging Systems"/>
        <s v="Non-Imaging Spectral Systems"/>
        <s v="Sensors &amp; Detectors"/>
        <s v="Spectral Separation &amp; Measurement Components"/>
        <s v="Optical Components (Filters, Lenses, Diffraction Gratings)"/>
        <s v="Light Sources (LED, Laser)"/>
        <s v="Processing Units and Embedded Hardware"/>
        <s v="Supporting Hardware (Power Supply, Thermal, Enclosures, Connectivity)"/>
        <s v="Spectral Data Processing &amp; Analysis Software"/>
        <s v="AI/ML-Based Spectral Interpretation Software"/>
        <s v="Imaging &amp; Visualization Software"/>
        <s v="Calibration &amp; Correction Software"/>
        <s v="Data Management &amp; Integration Platforms"/>
        <s v="System Integration &amp; Deployment Services"/>
        <s v="Calibration &amp; Maintenance Services"/>
        <s v="Managed Data Analysis &amp; Interpretation Services"/>
        <s v="Training &amp; Technical Support Services"/>
        <s v="Consulting &amp; Custom Solution Development"/>
        <s v="Imaging"/>
        <s v="Non-Imaging"/>
        <s v="Ultraviolet (UV)"/>
        <s v="Visible (VIS)"/>
        <s v="Near-Infrared (NIR)"/>
        <s v="Short-Wave Infrared (SWIR)"/>
        <s v="Mid-Wave Infrared (MWIR)"/>
        <s v="Long-Wave Infrared (LWIR)"/>
        <s v="Portable"/>
        <s v="Fixed and Installed"/>
        <s v="Agriculture"/>
        <s v="Healthcare &amp; Life Sciences"/>
        <s v="Food &amp; Beverage"/>
        <s v="Industrial &amp; Manufacturing"/>
        <s v="Environmental Monitoring"/>
        <s v="Defense"/>
        <s v="Other (Aerospace, Research &amp; Academia, etc.)"/>
        <s v="North America"/>
        <s v="Europe"/>
        <s v="Asia Pacific"/>
        <s v="Latin America"/>
        <s v="Middle East &amp; Africa"/>
        <s v="U.S."/>
        <s v="Canada"/>
        <s v="U.K."/>
        <s v="Germany"/>
        <s v="Italy"/>
        <s v="France"/>
        <s v="Spain"/>
        <s v="Russia"/>
        <s v="Rest of Europe"/>
        <s v="China"/>
        <s v="India"/>
        <s v="Japan"/>
        <s v="South Korea"/>
        <s v="ASEAN"/>
        <s v="Australia"/>
        <s v="Rest of Asia Pacific"/>
        <s v="Brazil"/>
        <s v="Argentina"/>
        <s v="Mexico"/>
        <s v="Rest of Latin America"/>
        <s v="GCC"/>
        <s v="South Africa"/>
        <s v="Rest of Middle East &amp; Africa"/>
      </sharedItems>
    </cacheField>
    <cacheField name="Sub-segment 2" numFmtId="0">
      <sharedItems count="66">
        <s v="Hyperspectral Imaging Systems"/>
        <s v="Multispectral Imaging Systems"/>
        <s v="Non-Imaging Spectral Systems"/>
        <s v="Hyperspectral Sensors"/>
        <s v="Multispectral Sensors"/>
        <s v="Non-Imaging Spectral Sensor Modules / Detector Modules"/>
        <s v="Spectral Separation &amp; Measurement Components"/>
        <s v="Optical Components (Filters, Lenses, Diffraction Gratings)"/>
        <s v="Light Sources (LED, Laser)"/>
        <s v="Processing Units and Embedded Hardware"/>
        <s v="Supporting Hardware (Power Supply, Thermal, Enclosures, Connectivity)"/>
        <s v="Spectral Data Processing &amp; Analysis Software"/>
        <s v="AI/ML-Based Spectral Interpretation Software"/>
        <s v="Imaging &amp; Visualization Software"/>
        <s v="Calibration &amp; Correction Software"/>
        <s v="Data Management &amp; Integration Platforms"/>
        <s v="System Integration &amp; Deployment Services"/>
        <s v="Calibration &amp; Maintenance Services"/>
        <s v="Managed Data Analysis &amp; Interpretation Services"/>
        <s v="Training &amp; Technical Support Services"/>
        <s v="Consulting &amp; Custom Solution Development"/>
        <s v="Imaging"/>
        <s v="Non-Imaging"/>
        <s v="Ultraviolet (UV)"/>
        <s v="Visible (VIS)"/>
        <s v="Near-Infrared (NIR)"/>
        <s v="Short-Wave Infrared (SWIR)"/>
        <s v="Mid-Wave Infrared (MWIR)"/>
        <s v="Long-Wave Infrared (LWIR)"/>
        <s v="Portable"/>
        <s v="Fixed and Installed"/>
        <s v="Agriculture"/>
        <s v="Healthcare &amp; Life Sciences"/>
        <s v="Food &amp; Beverage"/>
        <s v="Industrial &amp; Manufacturing"/>
        <s v="Environmental Monitoring"/>
        <s v="Defense"/>
        <s v="Other (Aerospace, Research &amp; Academia, etc.)"/>
        <s v="North America"/>
        <s v="Europe"/>
        <s v="Asia Pacific"/>
        <s v="Latin America"/>
        <s v="Middle East &amp; Africa"/>
        <s v="U.S."/>
        <s v="Canada"/>
        <s v="U.K."/>
        <s v="Germany"/>
        <s v="Italy"/>
        <s v="France"/>
        <s v="Spain"/>
        <s v="Russia"/>
        <s v="Rest of Europe"/>
        <s v="China"/>
        <s v="India"/>
        <s v="Japan"/>
        <s v="South Korea"/>
        <s v="ASEAN"/>
        <s v="Australia"/>
        <s v="Rest of Asia Pacific"/>
        <s v="Brazil"/>
        <s v="Argentina"/>
        <s v="Mexico"/>
        <s v="Rest of Latin America"/>
        <s v="GCC"/>
        <s v="South Africa"/>
        <s v="Rest of Middle East &amp; Africa"/>
      </sharedItems>
    </cacheField>
    <cacheField name="2021" numFmtId="4">
      <sharedItems containsSemiMixedTypes="0" containsString="0" containsNumber="1" minValue="0.3155820327927541" maxValue="3054.1142073964102"/>
    </cacheField>
    <cacheField name="2022" numFmtId="4">
      <sharedItems containsSemiMixedTypes="0" containsString="0" containsNumber="1" minValue="0.3270393166219499" maxValue="3279.5191056503663"/>
    </cacheField>
    <cacheField name="2023" numFmtId="4">
      <sharedItems containsSemiMixedTypes="0" containsString="0" containsNumber="1" minValue="0.33956663861028874" maxValue="3521.0501121898474"/>
    </cacheField>
    <cacheField name="2024" numFmtId="4">
      <sharedItems containsSemiMixedTypes="0" containsString="0" containsNumber="1" minValue="0.3524606338892437" maxValue="3781.7919294435264"/>
    </cacheField>
    <cacheField name="2025" numFmtId="4">
      <sharedItems containsSemiMixedTypes="0" containsString="0" containsNumber="1" minValue="0.3653742913392472" maxValue="4066.2879094293794"/>
    </cacheField>
    <cacheField name="2026" numFmtId="4">
      <sharedItems containsSemiMixedTypes="0" containsString="0" containsNumber="1" minValue="0.37778675542891976" maxValue="4380.2868938341453"/>
    </cacheField>
    <cacheField name="2027" numFmtId="4">
      <sharedItems containsSemiMixedTypes="0" containsString="0" containsNumber="1" minValue="0.39074682360258911" maxValue="4729.5625828774755"/>
    </cacheField>
    <cacheField name="2028" numFmtId="4">
      <sharedItems containsSemiMixedTypes="0" containsString="0" containsNumber="1" minValue="0.40493298377068587" maxValue="5115.6666328822485"/>
    </cacheField>
    <cacheField name="2029" numFmtId="4">
      <sharedItems containsSemiMixedTypes="0" containsString="0" containsNumber="1" minValue="0.42098395260832255" maxValue="5536.1340432503057"/>
    </cacheField>
    <cacheField name="2030" numFmtId="4">
      <sharedItems containsSemiMixedTypes="0" containsString="0" containsNumber="1" minValue="0.43879378294642951" maxValue="5991.9913981971431"/>
    </cacheField>
    <cacheField name="2031" numFmtId="4">
      <sharedItems containsSemiMixedTypes="0" containsString="0" containsNumber="1" minValue="0.45750332716048586" maxValue="6483.6432633334607"/>
    </cacheField>
    <cacheField name="2032" numFmtId="4">
      <sharedItems containsSemiMixedTypes="0" containsString="0" containsNumber="1" minValue="0.47640061535296446" maxValue="7012.105421695288"/>
    </cacheField>
    <cacheField name="2033" numFmtId="4">
      <sharedItems containsSemiMixedTypes="0" containsString="0" containsNumber="1" minValue="0.49545658898892475" maxValue="7578.0420189213073"/>
    </cacheField>
  </cacheFields>
  <extLst>
    <ext xmlns:x14="http://schemas.microsoft.com/office/spreadsheetml/2009/9/main" uri="{725AE2AE-9491-48be-B2B4-4EB974FC3084}">
      <x14:pivotCacheDefinition pivotCacheId="1284221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0">
  <r>
    <x v="0"/>
    <x v="0"/>
    <x v="0"/>
    <x v="0"/>
    <x v="0"/>
    <n v="471.39703848446436"/>
    <n v="523.61073370756071"/>
    <n v="582.20915467182863"/>
    <n v="647.5798183738018"/>
    <n v="720.31049383180402"/>
    <n v="801.12594751693837"/>
    <n v="892.06902040047339"/>
    <n v="995.0856508711164"/>
    <n v="1111.9687064566376"/>
    <n v="1244.2167954603378"/>
    <n v="1392.4475075764517"/>
    <n v="1557.110619733603"/>
    <n v="1739.7353428027982"/>
  </r>
  <r>
    <x v="0"/>
    <x v="0"/>
    <x v="1"/>
    <x v="1"/>
    <x v="1"/>
    <n v="1251.8093373154652"/>
    <n v="1358.5981325951527"/>
    <n v="1476.2703858315929"/>
    <n v="1605.1257135396577"/>
    <n v="1745.056196738816"/>
    <n v="1897.5763706095661"/>
    <n v="2065.5034911787484"/>
    <n v="2251.6182618322446"/>
    <n v="2457.8300712646078"/>
    <n v="2685.7667114183328"/>
    <n v="2934.9138058594972"/>
    <n v="3204.7077568891937"/>
    <n v="3496.856851290886"/>
  </r>
  <r>
    <x v="0"/>
    <x v="0"/>
    <x v="2"/>
    <x v="2"/>
    <x v="2"/>
    <n v="3054.1142073964102"/>
    <n v="3279.5191056503663"/>
    <n v="3521.0501121898474"/>
    <n v="3781.7919294435264"/>
    <n v="4066.2879094293794"/>
    <n v="4380.2868938341453"/>
    <n v="4729.5625828774755"/>
    <n v="5115.6666328822485"/>
    <n v="5536.1340432503057"/>
    <n v="5991.9913981971431"/>
    <n v="6483.6432633334607"/>
    <n v="7012.105421695288"/>
    <n v="7578.0420189213073"/>
  </r>
  <r>
    <x v="0"/>
    <x v="1"/>
    <x v="3"/>
    <x v="3"/>
    <x v="3"/>
    <n v="183.38780786658307"/>
    <n v="203.8951479587528"/>
    <n v="226.98748215048286"/>
    <n v="252.84259708651373"/>
    <n v="281.56136827060453"/>
    <n v="313.63203795111201"/>
    <n v="349.66071947657878"/>
    <n v="390.4583075302636"/>
    <n v="436.64891786055625"/>
    <n v="488.7508207434999"/>
    <n v="547.10092324469588"/>
    <n v="611.87752481217467"/>
    <n v="683.78389411420142"/>
  </r>
  <r>
    <x v="0"/>
    <x v="1"/>
    <x v="3"/>
    <x v="3"/>
    <x v="4"/>
    <n v="330.22596582626579"/>
    <n v="358.6701992782908"/>
    <n v="389.30875170390192"/>
    <n v="422.53177296734401"/>
    <n v="458.98527263050482"/>
    <n v="499.46768197160935"/>
    <n v="544.87817037609568"/>
    <n v="595.51054287289185"/>
    <n v="651.1975766844929"/>
    <n v="712.23778389429617"/>
    <n v="778.95374324352565"/>
    <n v="851.71907848909984"/>
    <n v="930.71842284914294"/>
  </r>
  <r>
    <x v="0"/>
    <x v="1"/>
    <x v="3"/>
    <x v="3"/>
    <x v="5"/>
    <n v="459.85904922898555"/>
    <n v="493.73324970532366"/>
    <n v="527.04781321621886"/>
    <n v="561.71525133228101"/>
    <n v="601.22923036001123"/>
    <n v="646.1040100866627"/>
    <n v="697.90389715202423"/>
    <n v="754.1479201970219"/>
    <n v="812.03288304815362"/>
    <n v="872.44042383977569"/>
    <n v="934.72528661661715"/>
    <n v="999.73126280036126"/>
    <n v="1066.5495546670188"/>
  </r>
  <r>
    <x v="0"/>
    <x v="1"/>
    <x v="3"/>
    <x v="4"/>
    <x v="6"/>
    <n v="866.70342430768812"/>
    <n v="934.88301040303179"/>
    <n v="1009.9930544789097"/>
    <n v="1091.8861014851343"/>
    <n v="1180.0998393542404"/>
    <n v="1275.9015968609035"/>
    <n v="1380.7239284460422"/>
    <n v="1496.7978149600565"/>
    <n v="1625.2379943361991"/>
    <n v="1766.0696501144805"/>
    <n v="1918.9311421625473"/>
    <n v="2082.9642082706082"/>
    <n v="2259.0615112918517"/>
  </r>
  <r>
    <x v="0"/>
    <x v="1"/>
    <x v="3"/>
    <x v="5"/>
    <x v="7"/>
    <n v="545.29035125287714"/>
    <n v="585.13893461158443"/>
    <n v="628.16137103299104"/>
    <n v="674.33055780684901"/>
    <n v="723.61025934984093"/>
    <n v="777.08779157824688"/>
    <n v="835.80296666089134"/>
    <n v="900.66945433499654"/>
    <n v="971.73228519818451"/>
    <n v="1049.0559437019253"/>
    <n v="1132.4705546145985"/>
    <n v="1221.7491827220801"/>
    <n v="1317.3253322835039"/>
  </r>
  <r>
    <x v="0"/>
    <x v="1"/>
    <x v="3"/>
    <x v="6"/>
    <x v="8"/>
    <n v="354.76241550537321"/>
    <n v="377.65823363886011"/>
    <n v="402.35394451942534"/>
    <n v="428.88638053115511"/>
    <n v="457.17141977143353"/>
    <n v="487.71844389664955"/>
    <n v="520.99322093894261"/>
    <n v="557.4800391043425"/>
    <n v="597.20899356655434"/>
    <n v="640.21251814327866"/>
    <n v="686.27209891541736"/>
    <n v="735.04856315224811"/>
    <n v="786.69322446750823"/>
  </r>
  <r>
    <x v="0"/>
    <x v="1"/>
    <x v="3"/>
    <x v="7"/>
    <x v="9"/>
    <n v="584.94460289798997"/>
    <n v="637.81812457825754"/>
    <n v="696.15991603290763"/>
    <n v="760.94219784719292"/>
    <n v="832.9292891364463"/>
    <n v="913.25425070380879"/>
    <n v="1002.8689201326689"/>
    <n v="1102.4034761134055"/>
    <n v="1212.1262213204527"/>
    <n v="1332.8488262720284"/>
    <n v="1465.0097350112487"/>
    <n v="1609.3456825720773"/>
    <n v="1766.5149808939691"/>
  </r>
  <r>
    <x v="0"/>
    <x v="1"/>
    <x v="3"/>
    <x v="8"/>
    <x v="10"/>
    <n v="659.69865303226186"/>
    <n v="698.29560435978306"/>
    <n v="739.83538593355308"/>
    <n v="783.99524694102513"/>
    <n v="830.66085056286852"/>
    <n v="880.26222637058777"/>
    <n v="934.12373168020054"/>
    <n v="993.08069930473607"/>
    <n v="1057.3989769069246"/>
    <n v="1127.0051963030305"/>
    <n v="1201.1644900581684"/>
    <n v="1279.3396302838819"/>
    <n v="1361.6351395684635"/>
  </r>
  <r>
    <x v="0"/>
    <x v="1"/>
    <x v="4"/>
    <x v="9"/>
    <x v="11"/>
    <n v="117.06480180072194"/>
    <n v="130.64047457587327"/>
    <n v="145.93821112305761"/>
    <n v="163.17948154588319"/>
    <n v="182.48942937586759"/>
    <n v="204.22475020093364"/>
    <n v="228.72340634240041"/>
    <n v="256.52260699015312"/>
    <n v="288.056770460103"/>
    <n v="323.72536435564683"/>
    <n v="364.03002631591789"/>
    <n v="409.1337481323493"/>
    <n v="459.40308252802674"/>
  </r>
  <r>
    <x v="0"/>
    <x v="1"/>
    <x v="4"/>
    <x v="10"/>
    <x v="12"/>
    <n v="90.632621948018866"/>
    <n v="102.31625232666948"/>
    <n v="115.641860863174"/>
    <n v="130.8041369688745"/>
    <n v="147.94542963081375"/>
    <n v="167.35984299321336"/>
    <n v="189.46595313165088"/>
    <n v="214.76685652489954"/>
    <n v="243.74988464270146"/>
    <n v="276.95300477503611"/>
    <n v="314.7398092160542"/>
    <n v="357.41103007735774"/>
    <n v="405.56646259946177"/>
  </r>
  <r>
    <x v="0"/>
    <x v="1"/>
    <x v="4"/>
    <x v="11"/>
    <x v="13"/>
    <n v="82.850997668912768"/>
    <n v="90.398649334630477"/>
    <n v="98.739349124004377"/>
    <n v="107.83695428433815"/>
    <n v="117.70914448785236"/>
    <n v="128.41580320209573"/>
    <n v="140.25023070494254"/>
    <n v="153.4990668722381"/>
    <n v="168.39244123938235"/>
    <n v="184.99836464354334"/>
    <n v="203.32216382532363"/>
    <n v="223.30175240407448"/>
    <n v="245.01970676868041"/>
  </r>
  <r>
    <x v="0"/>
    <x v="1"/>
    <x v="4"/>
    <x v="12"/>
    <x v="14"/>
    <n v="98.507872564257653"/>
    <n v="108.27302387715604"/>
    <n v="119.12076827930397"/>
    <n v="131.09058996619251"/>
    <n v="144.20975582781645"/>
    <n v="158.69696760551216"/>
    <n v="174.82475744265304"/>
    <n v="192.9566334712427"/>
    <n v="213.3275392309454"/>
    <n v="236.05073307743797"/>
    <n v="261.25066713972564"/>
    <n v="288.92331219807392"/>
    <n v="319.25969694062928"/>
  </r>
  <r>
    <x v="0"/>
    <x v="1"/>
    <x v="4"/>
    <x v="13"/>
    <x v="15"/>
    <n v="73.80907496399341"/>
    <n v="81.734642994826402"/>
    <n v="90.596066831359011"/>
    <n v="100.49837997867375"/>
    <n v="111.53646634312285"/>
    <n v="123.89138074375862"/>
    <n v="137.78775889783577"/>
    <n v="153.43372455493218"/>
    <n v="171.0015053851935"/>
    <n v="190.66317329293543"/>
    <n v="212.5610713988589"/>
    <n v="236.86407885964124"/>
    <n v="263.76153447552088"/>
  </r>
  <r>
    <x v="0"/>
    <x v="1"/>
    <x v="5"/>
    <x v="14"/>
    <x v="16"/>
    <n v="94.582334955776375"/>
    <n v="103.32373597435797"/>
    <n v="112.95660199254382"/>
    <n v="123.49362408987207"/>
    <n v="134.97700529779743"/>
    <n v="147.60332361991425"/>
    <n v="161.63042659148027"/>
    <n v="177.35505754398849"/>
    <n v="194.9385589195216"/>
    <n v="214.40506400762862"/>
    <n v="235.86268521279064"/>
    <n v="259.31726769090045"/>
    <n v="284.86262202749316"/>
  </r>
  <r>
    <x v="0"/>
    <x v="1"/>
    <x v="5"/>
    <x v="15"/>
    <x v="17"/>
    <n v="90.540479961770728"/>
    <n v="97.532824432180078"/>
    <n v="104.9791745504764"/>
    <n v="113.00152050872239"/>
    <n v="121.73077591184297"/>
    <n v="131.36015167720257"/>
    <n v="142.0692791052829"/>
    <n v="153.88287179053378"/>
    <n v="166.72511380786187"/>
    <n v="180.6940917384409"/>
    <n v="195.88862348063387"/>
    <n v="212.37770380918764"/>
    <n v="230.15149025858304"/>
  </r>
  <r>
    <x v="0"/>
    <x v="1"/>
    <x v="5"/>
    <x v="16"/>
    <x v="18"/>
    <n v="52.709348518261699"/>
    <n v="58.669700439562845"/>
    <n v="65.319926263630819"/>
    <n v="72.757285755561739"/>
    <n v="81.076721019841528"/>
    <n v="90.451508575758353"/>
    <n v="101.05920603565811"/>
    <n v="113.08736207373805"/>
    <n v="126.66436769535657"/>
    <n v="141.94391075143454"/>
    <n v="159.13164194878988"/>
    <n v="178.34899987221823"/>
    <n v="199.73920142280326"/>
  </r>
  <r>
    <x v="0"/>
    <x v="1"/>
    <x v="5"/>
    <x v="17"/>
    <x v="19"/>
    <n v="43.082567170087231"/>
    <n v="46.021958196643133"/>
    <n v="49.230104228092664"/>
    <n v="52.701672755379974"/>
    <n v="56.435698260778878"/>
    <n v="60.432296232574828"/>
    <n v="64.782677640479008"/>
    <n v="69.550160463392885"/>
    <n v="74.785923840895506"/>
    <n v="80.519447588010749"/>
    <n v="86.705167520543583"/>
    <n v="93.297549156601647"/>
    <n v="100.30501848752199"/>
  </r>
  <r>
    <x v="0"/>
    <x v="1"/>
    <x v="5"/>
    <x v="18"/>
    <x v="20"/>
    <n v="48.668213726514111"/>
    <n v="52.724205267296007"/>
    <n v="57.159870369234554"/>
    <n v="62.003709505992276"/>
    <n v="67.296644408315174"/>
    <n v="73.125147690105905"/>
    <n v="79.585843700868978"/>
    <n v="86.767950882775807"/>
    <n v="94.706866828070233"/>
    <n v="103.40058783338274"/>
    <n v="112.88474684395136"/>
    <n v="123.17322301514936"/>
    <n v="134.28333737061209"/>
  </r>
  <r>
    <x v="0"/>
    <x v="2"/>
    <x v="6"/>
    <x v="19"/>
    <x v="21"/>
    <n v="1723.2063757999294"/>
    <n v="1882.2088663027134"/>
    <n v="2058.4795405034215"/>
    <n v="2252.7055319134597"/>
    <n v="2465.36669057062"/>
    <n v="2698.7023181265045"/>
    <n v="2957.572511579222"/>
    <n v="3246.7039127033609"/>
    <n v="3569.7987777212456"/>
    <n v="3929.9835068786706"/>
    <n v="4327.3613134359493"/>
    <n v="4761.8183766227967"/>
    <n v="5236.5921940936842"/>
  </r>
  <r>
    <x v="0"/>
    <x v="2"/>
    <x v="7"/>
    <x v="20"/>
    <x v="22"/>
    <n v="3054.1142073964102"/>
    <n v="3279.5191056503663"/>
    <n v="3521.0501121898474"/>
    <n v="3781.7919294435264"/>
    <n v="4066.2879094293794"/>
    <n v="4380.2868938341453"/>
    <n v="4729.5625828774755"/>
    <n v="5115.6666328822485"/>
    <n v="5536.1340432503057"/>
    <n v="5991.9913981971431"/>
    <n v="6483.6432633334607"/>
    <n v="7012.105421695288"/>
    <n v="7578.0420189213073"/>
  </r>
  <r>
    <x v="0"/>
    <x v="3"/>
    <x v="8"/>
    <x v="21"/>
    <x v="23"/>
    <n v="321.0310652015466"/>
    <n v="341.04973047026203"/>
    <n v="362.36310436965221"/>
    <n v="384.9542285977858"/>
    <n v="408.96304299836089"/>
    <n v="434.86604890480095"/>
    <n v="463.28577536860905"/>
    <n v="494.57078806171387"/>
    <n v="528.62874700665441"/>
    <n v="565.36310584517912"/>
    <n v="604.63711948468347"/>
    <n v="646.28347499853555"/>
    <n v="690.32137799655527"/>
  </r>
  <r>
    <x v="0"/>
    <x v="3"/>
    <x v="9"/>
    <x v="22"/>
    <x v="24"/>
    <n v="878.19273474902889"/>
    <n v="936.99978782389951"/>
    <n v="999.71798187444722"/>
    <n v="1066.5307256542758"/>
    <n v="1138.030748434976"/>
    <n v="1215.4093382451611"/>
    <n v="1300.5669489742995"/>
    <n v="1394.3502952666618"/>
    <n v="1496.5914509333122"/>
    <n v="1607.4391154070215"/>
    <n v="1726.6194680725864"/>
    <n v="1853.7978788911551"/>
    <n v="1988.9813111043052"/>
  </r>
  <r>
    <x v="0"/>
    <x v="3"/>
    <x v="10"/>
    <x v="23"/>
    <x v="25"/>
    <n v="1512.5580682100328"/>
    <n v="1653.371584043678"/>
    <n v="1808.4316532024993"/>
    <n v="1979.5092152496293"/>
    <n v="2168.0665167231709"/>
    <n v="2376.0718396304983"/>
    <n v="2607.5842972651017"/>
    <n v="2865.3977568197242"/>
    <n v="3151.7748850644684"/>
    <n v="3470.5143788869264"/>
    <n v="3822.0095910712284"/>
    <n v="4206.6449951161785"/>
    <n v="4626.9941917300912"/>
  </r>
  <r>
    <x v="0"/>
    <x v="3"/>
    <x v="11"/>
    <x v="24"/>
    <x v="26"/>
    <n v="1066.2934711456035"/>
    <n v="1156.6646367712358"/>
    <n v="1254.7689867159468"/>
    <n v="1361.9668634111624"/>
    <n v="1480.3197511282749"/>
    <n v="1612.4443966740889"/>
    <n v="1760.661570102654"/>
    <n v="1925.9120488440192"/>
    <n v="2107.4635201895344"/>
    <n v="2305.7883649174541"/>
    <n v="2521.3635730133537"/>
    <n v="2755.3488851548218"/>
    <n v="3008.7231432331027"/>
  </r>
  <r>
    <x v="0"/>
    <x v="3"/>
    <x v="12"/>
    <x v="25"/>
    <x v="27"/>
    <n v="333.29475364050683"/>
    <n v="360.04282863042255"/>
    <n v="389.27861057971859"/>
    <n v="420.84696808983188"/>
    <n v="454.67476147128275"/>
    <n v="491.35376987971483"/>
    <n v="531.60194674417721"/>
    <n v="576.42315776513408"/>
    <n v="626.2889501948714"/>
    <n v="680.94857632823937"/>
    <n v="740.62780613279415"/>
    <n v="805.04949583773248"/>
    <n v="874.26964961791373"/>
  </r>
  <r>
    <x v="0"/>
    <x v="3"/>
    <x v="13"/>
    <x v="26"/>
    <x v="28"/>
    <n v="665.95049024962123"/>
    <n v="713.59940421358181"/>
    <n v="764.96931595100409"/>
    <n v="820.6894603543011"/>
    <n v="881.59977924393411"/>
    <n v="948.84381862638543"/>
    <n v="1023.4345560018559"/>
    <n v="1105.7164988283564"/>
    <n v="1195.1852675827085"/>
    <n v="1291.9213636909922"/>
    <n v="1395.7470189947626"/>
    <n v="1506.799068319661"/>
    <n v="1625.3445393330246"/>
  </r>
  <r>
    <x v="0"/>
    <x v="4"/>
    <x v="14"/>
    <x v="27"/>
    <x v="29"/>
    <n v="1932.6817584993189"/>
    <n v="2104.398943602268"/>
    <n v="2291.8995166826953"/>
    <n v="2497.2747300475799"/>
    <n v="2723.1253003117827"/>
    <n v="2973.4104510655893"/>
    <n v="3252.7645722780908"/>
    <n v="3563.6442314190681"/>
    <n v="3906.6962527996516"/>
    <n v="4283.8419967406826"/>
    <n v="4697.0119452930139"/>
    <n v="5148.643915186185"/>
    <n v="5640.1729238953121"/>
  </r>
  <r>
    <x v="0"/>
    <x v="4"/>
    <x v="15"/>
    <x v="28"/>
    <x v="30"/>
    <n v="2844.6388246970209"/>
    <n v="3057.3290283508122"/>
    <n v="3287.6301360105736"/>
    <n v="3537.2227313094068"/>
    <n v="3808.5292996882172"/>
    <n v="4105.5787608950614"/>
    <n v="4434.3705221786049"/>
    <n v="4798.7263141665408"/>
    <n v="5199.2365681718993"/>
    <n v="5638.1329083351302"/>
    <n v="6113.9926314763952"/>
    <n v="6625.2798831318987"/>
    <n v="7174.4612891196793"/>
  </r>
  <r>
    <x v="0"/>
    <x v="5"/>
    <x v="16"/>
    <x v="29"/>
    <x v="31"/>
    <n v="348.77626527177432"/>
    <n v="384.14473584956647"/>
    <n v="423.61279316962089"/>
    <n v="467.54221775362316"/>
    <n v="516.02063156004419"/>
    <n v="569.82114281965198"/>
    <n v="629.78975826181431"/>
    <n v="697.09364050654358"/>
    <n v="772.56251006494961"/>
    <n v="857.0301763399832"/>
    <n v="950.91802781891704"/>
    <n v="1054.2706451849701"/>
    <n v="1167.9985752101113"/>
  </r>
  <r>
    <x v="0"/>
    <x v="5"/>
    <x v="17"/>
    <x v="30"/>
    <x v="32"/>
    <n v="902.03428474186182"/>
    <n v="987.16621441558641"/>
    <n v="1077.3519266573196"/>
    <n v="1174.7210018081184"/>
    <n v="1282.9115727850515"/>
    <n v="1405.2894026653423"/>
    <n v="1545.0348869295171"/>
    <n v="1702.3488945401787"/>
    <n v="1875.4154367050323"/>
    <n v="2065.6213119697009"/>
    <n v="2274.8144200964907"/>
    <n v="2504.7389342729966"/>
    <n v="2756.0555745719716"/>
  </r>
  <r>
    <x v="0"/>
    <x v="5"/>
    <x v="18"/>
    <x v="31"/>
    <x v="33"/>
    <n v="507.02743814133669"/>
    <n v="545.0927215876419"/>
    <n v="586.5684467495721"/>
    <n v="631.44311511443334"/>
    <n v="679.70907135531922"/>
    <n v="731.91346985167127"/>
    <n v="789.17550583975765"/>
    <n v="852.36738341861997"/>
    <n v="921.88946058572083"/>
    <n v="998.0835622559174"/>
    <n v="1080.580217967607"/>
    <n v="1169.0774986871741"/>
    <n v="1263.973418632341"/>
  </r>
  <r>
    <x v="0"/>
    <x v="5"/>
    <x v="19"/>
    <x v="32"/>
    <x v="34"/>
    <n v="1373.9197392733638"/>
    <n v="1486.7715526625234"/>
    <n v="1610.5697257686988"/>
    <n v="1745.9338445955755"/>
    <n v="1893.7314213415432"/>
    <n v="2055.5933215010232"/>
    <n v="2234.4766559308086"/>
    <n v="2432.5259893507618"/>
    <n v="2651.1306329452195"/>
    <n v="2891.0012161838304"/>
    <n v="3152.0305598763998"/>
    <n v="3434.6749707155113"/>
    <n v="3739.851008794898"/>
  </r>
  <r>
    <x v="0"/>
    <x v="5"/>
    <x v="20"/>
    <x v="33"/>
    <x v="35"/>
    <n v="432.50876716594109"/>
    <n v="469.95575439601208"/>
    <n v="511.29861385698393"/>
    <n v="556.59494341416041"/>
    <n v="605.96142612966491"/>
    <n v="659.73448543266568"/>
    <n v="719.08680187412369"/>
    <n v="785.0217624367076"/>
    <n v="858.36111685865728"/>
    <n v="939.56781842338455"/>
    <n v="1028.5142511461536"/>
    <n v="1125.1137011952283"/>
    <n v="1229.7985738952748"/>
  </r>
  <r>
    <x v="0"/>
    <x v="5"/>
    <x v="21"/>
    <x v="34"/>
    <x v="36"/>
    <n v="674.1751066104523"/>
    <n v="714.05592918185982"/>
    <n v="756.74831888881113"/>
    <n v="802.83984877228545"/>
    <n v="852.96496085125227"/>
    <n v="908.10087508207619"/>
    <n v="968.85281220743639"/>
    <n v="1035.3418294418136"/>
    <n v="1106.7789381295449"/>
    <n v="1183.1785079726751"/>
    <n v="1263.9600694263213"/>
    <n v="1348.8213185519251"/>
    <n v="1438.0405767092009"/>
  </r>
  <r>
    <x v="0"/>
    <x v="5"/>
    <x v="22"/>
    <x v="35"/>
    <x v="37"/>
    <n v="538.87898199160998"/>
    <n v="574.54106385988916"/>
    <n v="613.37982760226157"/>
    <n v="655.42248989878954"/>
    <n v="700.35551597712481"/>
    <n v="748.53651460821936"/>
    <n v="800.718673413239"/>
    <n v="857.67104589098426"/>
    <n v="919.79472568242488"/>
    <n v="987.49231193032062"/>
    <n v="1060.1870304375193"/>
    <n v="1137.2267297102794"/>
    <n v="1218.9164852011932"/>
  </r>
  <r>
    <x v="0"/>
    <x v="6"/>
    <x v="23"/>
    <x v="36"/>
    <x v="38"/>
    <n v="1500.89672780666"/>
    <n v="1625.8701170164104"/>
    <n v="1759.2436619629489"/>
    <n v="1902.3409859455871"/>
    <n v="2057.4711990000001"/>
    <n v="2228.6303560542892"/>
    <n v="2419.8504997406453"/>
    <n v="2632.3670485742887"/>
    <n v="2865.1059533303837"/>
    <n v="3119.187203157976"/>
    <n v="3395.7431499872846"/>
    <n v="3696.2308024793538"/>
    <n v="4021.5050860066581"/>
  </r>
  <r>
    <x v="0"/>
    <x v="6"/>
    <x v="24"/>
    <x v="37"/>
    <x v="39"/>
    <n v="1343.6871235202091"/>
    <n v="1441.9747021396799"/>
    <n v="1548.5509272570637"/>
    <n v="1664.0383460415178"/>
    <n v="1789.6733603999999"/>
    <n v="1927.113200344585"/>
    <n v="2079.0490355061993"/>
    <n v="2247.0367428710215"/>
    <n v="2431.2080151521072"/>
    <n v="2631.8485883896519"/>
    <n v="2848.4662883024644"/>
    <n v="3080.8116541111895"/>
    <n v="3329.4075450029177"/>
  </r>
  <r>
    <x v="0"/>
    <x v="6"/>
    <x v="25"/>
    <x v="38"/>
    <x v="40"/>
    <n v="1376.9349357497588"/>
    <n v="1503.3927710678813"/>
    <n v="1643.7338319442376"/>
    <n v="1799.7297553455439"/>
    <n v="1972.5596891999999"/>
    <n v="2164.1359352089776"/>
    <n v="2377.4305128896431"/>
    <n v="2615.4679757509307"/>
    <n v="2880.47217225449"/>
    <n v="3175.2886654048566"/>
    <n v="3500.4807021650727"/>
    <n v="3856.0326111000236"/>
    <n v="4244.2658402888992"/>
  </r>
  <r>
    <x v="0"/>
    <x v="6"/>
    <x v="26"/>
    <x v="39"/>
    <x v="41"/>
    <n v="323.63195079035421"/>
    <n v="343.2220072820063"/>
    <n v="364.42834495819091"/>
    <n v="387.15758664942643"/>
    <n v="411.49423979999966"/>
    <n v="437.50986993992422"/>
    <n v="465.86770151175375"/>
    <n v="496.90523158178587"/>
    <n v="530.77292661426907"/>
    <n v="567.43550141546029"/>
    <n v="606.44615989756062"/>
    <n v="647.5750540894137"/>
    <n v="690.87032005807987"/>
  </r>
  <r>
    <x v="0"/>
    <x v="6"/>
    <x v="27"/>
    <x v="40"/>
    <x v="42"/>
    <n v="232.16984532935777"/>
    <n v="247.26837444710173"/>
    <n v="263.57288657082711"/>
    <n v="281.23078737491051"/>
    <n v="300.45611159999999"/>
    <n v="321.59985041287393"/>
    <n v="344.93734480845472"/>
    <n v="370.59354680758304"/>
    <n v="398.37375362029957"/>
    <n v="428.21494670786802"/>
    <n v="459.86827641702695"/>
    <n v="493.27367653810512"/>
    <n v="528.58542165843755"/>
  </r>
  <r>
    <x v="1"/>
    <x v="0"/>
    <x v="0"/>
    <x v="0"/>
    <x v="0"/>
    <n v="152.49019512066252"/>
    <n v="169.68044383851571"/>
    <n v="189.1447946063322"/>
    <n v="210.82893573363307"/>
    <n v="234.80552223874099"/>
    <n v="261.03340721815448"/>
    <n v="290.34017609363138"/>
    <n v="323.51817374838544"/>
    <n v="361.45207458728646"/>
    <n v="404.65793648335062"/>
    <n v="453.05671758575102"/>
    <n v="506.59345376460055"/>
    <n v="565.78725281433742"/>
  </r>
  <r>
    <x v="1"/>
    <x v="0"/>
    <x v="1"/>
    <x v="1"/>
    <x v="1"/>
    <n v="377.66715709756346"/>
    <n v="410.9932764015881"/>
    <n v="447.9898800854512"/>
    <n v="488.50715115595312"/>
    <n v="531.87754026634263"/>
    <n v="578.81922675694341"/>
    <n v="629.96491340945568"/>
    <n v="686.54218282463205"/>
    <n v="749.2500759913321"/>
    <n v="818.57947632831326"/>
    <n v="894.00746464233453"/>
    <n v="974.97840926786387"/>
    <n v="1062.5105949812314"/>
  </r>
  <r>
    <x v="1"/>
    <x v="0"/>
    <x v="2"/>
    <x v="2"/>
    <x v="2"/>
    <n v="970.73937558843397"/>
    <n v="1045.1963967763068"/>
    <n v="1122.1089872711657"/>
    <n v="1203.004899056001"/>
    <n v="1290.7881364949164"/>
    <n v="1388.7777220791913"/>
    <n v="1499.5454102375586"/>
    <n v="1622.3066920012711"/>
    <n v="1754.4038027517654"/>
    <n v="1895.9497903463123"/>
    <n v="2048.6789677591987"/>
    <n v="2214.6589394468892"/>
    <n v="2393.2072382110896"/>
  </r>
  <r>
    <x v="1"/>
    <x v="1"/>
    <x v="3"/>
    <x v="3"/>
    <x v="3"/>
    <n v="59.396058894297298"/>
    <n v="66.190122121167477"/>
    <n v="73.873531489713102"/>
    <n v="82.48966286496335"/>
    <n v="92.005271838698505"/>
    <n v="102.59324888086579"/>
    <n v="114.42727827337525"/>
    <n v="127.78157191999011"/>
    <n v="142.8663793492118"/>
    <n v="159.87498949052275"/>
    <n v="178.83877601669121"/>
    <n v="199.79186355455641"/>
    <n v="223.03758853878438"/>
  </r>
  <r>
    <x v="1"/>
    <x v="1"/>
    <x v="3"/>
    <x v="3"/>
    <x v="4"/>
    <n v="99.237258456594603"/>
    <n v="107.93943109966429"/>
    <n v="116.99777068364217"/>
    <n v="126.61219807382666"/>
    <n v="137.17214000503759"/>
    <n v="149.08196459784438"/>
    <n v="162.67450464434845"/>
    <n v="177.86294053486859"/>
    <n v="194.34444467603109"/>
    <n v="212.15933353223093"/>
    <n v="231.58885456988429"/>
    <n v="252.966676406386"/>
    <n v="276.23031936001973"/>
  </r>
  <r>
    <x v="1"/>
    <x v="1"/>
    <x v="3"/>
    <x v="3"/>
    <x v="5"/>
    <n v="150.28117416472134"/>
    <n v="162.6749342210114"/>
    <n v="172.22686272443769"/>
    <n v="180.38972151830137"/>
    <n v="189.82324371335542"/>
    <n v="202.5008335532743"/>
    <n v="219.28084095507111"/>
    <n v="238.0572603981677"/>
    <n v="255.78215252954161"/>
    <n v="272.61906057577602"/>
    <n v="290.09492934775136"/>
    <n v="310.14377193759628"/>
    <n v="331.82412279234165"/>
  </r>
  <r>
    <x v="1"/>
    <x v="1"/>
    <x v="3"/>
    <x v="4"/>
    <x v="6"/>
    <n v="269.41591100921505"/>
    <n v="291.44738286222923"/>
    <n v="315.80649754179143"/>
    <n v="342.3057659865749"/>
    <n v="370.47467079383563"/>
    <n v="400.66930253075896"/>
    <n v="433.38054434016294"/>
    <n v="469.42117498683047"/>
    <n v="509.28052535002126"/>
    <n v="553.22211578704741"/>
    <n v="600.78755242694444"/>
    <n v="651.51232506613258"/>
    <n v="705.96220082848981"/>
  </r>
  <r>
    <x v="1"/>
    <x v="1"/>
    <x v="3"/>
    <x v="5"/>
    <x v="7"/>
    <n v="169.37879955111538"/>
    <n v="182.08174531992452"/>
    <n v="196.04859425207866"/>
    <n v="211.14096106162833"/>
    <n v="227.03649639709766"/>
    <n v="244.01165395507411"/>
    <n v="262.29532746085061"/>
    <n v="282.38081395827692"/>
    <n v="304.49658530431742"/>
    <n v="328.69082050050548"/>
    <n v="354.72580222083491"/>
    <n v="382.28855792153911"/>
    <n v="411.65641010844251"/>
  </r>
  <r>
    <x v="1"/>
    <x v="1"/>
    <x v="3"/>
    <x v="6"/>
    <x v="8"/>
    <n v="110.65976518834739"/>
    <n v="118.06897747757331"/>
    <n v="126.17405849232416"/>
    <n v="134.90617855238386"/>
    <n v="144.07280703770027"/>
    <n v="153.82450748262161"/>
    <n v="164.2789211058622"/>
    <n v="175.66604573886673"/>
    <n v="188.07747014882199"/>
    <n v="201.55246266672185"/>
    <n v="215.90461872174993"/>
    <n v="230.96610657376459"/>
    <n v="246.89062139534602"/>
  </r>
  <r>
    <x v="1"/>
    <x v="1"/>
    <x v="3"/>
    <x v="7"/>
    <x v="9"/>
    <n v="182.52697948597924"/>
    <n v="199.18559846544335"/>
    <n v="217.57452154181445"/>
    <n v="237.97071586617815"/>
    <n v="260.64019301686704"/>
    <n v="285.88659839418443"/>
    <n v="314.0158426061198"/>
    <n v="345.13378957735637"/>
    <n v="379.33176719189106"/>
    <n v="416.74626978299261"/>
    <n v="457.50826502372905"/>
    <n v="502.01483842030461"/>
    <n v="550.36706800250238"/>
  </r>
  <r>
    <x v="1"/>
    <x v="1"/>
    <x v="3"/>
    <x v="8"/>
    <x v="10"/>
    <n v="204.69367603307433"/>
    <n v="216.99712686159972"/>
    <n v="230.31130599294119"/>
    <n v="244.32862556270376"/>
    <n v="258.96000818587856"/>
    <n v="273.98142472383608"/>
    <n v="290.10540749796502"/>
    <n v="307.7656207308525"/>
    <n v="327.37144939450769"/>
    <n v="348.95161640804747"/>
    <n v="372.05665507461902"/>
    <n v="396.29381301040667"/>
    <n v="421.64182612167446"/>
  </r>
  <r>
    <x v="1"/>
    <x v="1"/>
    <x v="4"/>
    <x v="9"/>
    <x v="11"/>
    <n v="39.145381789570948"/>
    <n v="43.768141599043183"/>
    <n v="48.986363513452694"/>
    <n v="54.810916242901612"/>
    <n v="61.244560660093697"/>
    <n v="68.415500039222593"/>
    <n v="76.457897614845763"/>
    <n v="85.640678097301446"/>
    <n v="96.162687866157142"/>
    <n v="108.0568912765558"/>
    <n v="121.51251776413176"/>
    <n v="136.53858830466248"/>
    <n v="153.22931883997444"/>
  </r>
  <r>
    <x v="1"/>
    <x v="1"/>
    <x v="4"/>
    <x v="10"/>
    <x v="12"/>
    <n v="30.751282506510115"/>
    <n v="34.785096927364421"/>
    <n v="39.407137057761616"/>
    <n v="44.664833454563592"/>
    <n v="50.566040877944673"/>
    <n v="57.232368952413474"/>
    <n v="64.79244791282494"/>
    <n v="73.43933146722064"/>
    <n v="83.339671088544364"/>
    <n v="94.658860145159153"/>
    <n v="107.47431905765242"/>
    <n v="121.86780839604225"/>
    <n v="138.09003642610872"/>
  </r>
  <r>
    <x v="1"/>
    <x v="1"/>
    <x v="4"/>
    <x v="11"/>
    <x v="13"/>
    <n v="27.133255150011976"/>
    <n v="29.643585589356753"/>
    <n v="32.442938106751257"/>
    <n v="35.494447495426051"/>
    <n v="38.783107146651751"/>
    <n v="42.283467202090989"/>
    <n v="46.114938397264964"/>
    <n v="50.391528265469567"/>
    <n v="55.232417365653312"/>
    <n v="60.673533048798603"/>
    <n v="66.674258661572651"/>
    <n v="73.18255719154395"/>
    <n v="80.229430858745317"/>
  </r>
  <r>
    <x v="1"/>
    <x v="1"/>
    <x v="4"/>
    <x v="12"/>
    <x v="14"/>
    <n v="33.398067456907164"/>
    <n v="36.7324400233489"/>
    <n v="40.448173347868376"/>
    <n v="44.521706964287773"/>
    <n v="48.937790891822964"/>
    <n v="53.78567760848663"/>
    <n v="59.152197597504085"/>
    <n v="65.224830913707692"/>
    <n v="72.1110462887941"/>
    <n v="79.766943259666249"/>
    <n v="88.270964970193376"/>
    <n v="97.580957303717597"/>
    <n v="107.72701945169281"/>
  </r>
  <r>
    <x v="1"/>
    <x v="1"/>
    <x v="4"/>
    <x v="13"/>
    <x v="15"/>
    <n v="23.205742560920669"/>
    <n v="25.675975922197679"/>
    <n v="28.43622068824309"/>
    <n v="31.533658993562486"/>
    <n v="35.016356141333745"/>
    <n v="38.939766799584952"/>
    <n v="43.362347058921912"/>
    <n v="48.317730609721856"/>
    <n v="53.838889250617228"/>
    <n v="59.966515752077896"/>
    <n v="66.742218344481472"/>
    <n v="74.248152660146488"/>
    <n v="82.526628198735906"/>
  </r>
  <r>
    <x v="1"/>
    <x v="1"/>
    <x v="5"/>
    <x v="14"/>
    <x v="16"/>
    <n v="28.907526186004123"/>
    <n v="31.620134110789174"/>
    <n v="34.626360595096173"/>
    <n v="37.902805756262339"/>
    <n v="41.431272544176679"/>
    <n v="45.278976932778562"/>
    <n v="49.512753932271195"/>
    <n v="54.276136082631432"/>
    <n v="59.651306763017104"/>
    <n v="65.594625700319071"/>
    <n v="72.166610041827909"/>
    <n v="79.329969363973845"/>
    <n v="87.091506935817634"/>
  </r>
  <r>
    <x v="1"/>
    <x v="1"/>
    <x v="5"/>
    <x v="15"/>
    <x v="17"/>
    <n v="27.840521165424697"/>
    <n v="30.032945834280806"/>
    <n v="32.306538394974929"/>
    <n v="34.704852331736411"/>
    <n v="37.310407677164264"/>
    <n v="40.219602153354373"/>
    <n v="43.50812204649143"/>
    <n v="47.156774699734967"/>
    <n v="51.091960613863257"/>
    <n v="55.318846579929904"/>
    <n v="59.888303829022732"/>
    <n v="64.861197070374914"/>
    <n v="70.220916526031388"/>
  </r>
  <r>
    <x v="1"/>
    <x v="1"/>
    <x v="5"/>
    <x v="16"/>
    <x v="18"/>
    <n v="16.140995144392544"/>
    <n v="18.003640747320944"/>
    <n v="20.091385220031267"/>
    <n v="22.403805957229267"/>
    <n v="24.947813076127019"/>
    <n v="27.781627721359236"/>
    <n v="30.965596665342897"/>
    <n v="34.604059825475261"/>
    <n v="38.764451957056146"/>
    <n v="43.44545555774863"/>
    <n v="48.719971970701216"/>
    <n v="54.597563526746214"/>
    <n v="61.110837889728366"/>
  </r>
  <r>
    <x v="1"/>
    <x v="1"/>
    <x v="5"/>
    <x v="17"/>
    <x v="19"/>
    <n v="13.777131903819203"/>
    <n v="14.757041012930268"/>
    <n v="15.836247229356253"/>
    <n v="16.989190640105129"/>
    <n v="18.203518797595528"/>
    <n v="19.456204746277219"/>
    <n v="20.801691827872467"/>
    <n v="22.281947381799828"/>
    <n v="23.941937455682112"/>
    <n v="25.789574898242286"/>
    <n v="27.788537221139116"/>
    <n v="29.905542101707628"/>
    <n v="32.144953090525064"/>
  </r>
  <r>
    <x v="1"/>
    <x v="1"/>
    <x v="5"/>
    <x v="18"/>
    <x v="20"/>
    <n v="15.007201159753894"/>
    <n v="16.265796821165207"/>
    <n v="17.649155090670302"/>
    <n v="19.170938622952111"/>
    <n v="20.845500198618986"/>
    <n v="22.687629780261634"/>
    <n v="24.723839803550224"/>
    <n v="26.964813386016299"/>
    <n v="29.420810736655245"/>
    <n v="32.099288195634074"/>
    <n v="34.999994724357698"/>
    <n v="38.140513669751982"/>
    <n v="41.524280641697459"/>
  </r>
  <r>
    <x v="1"/>
    <x v="2"/>
    <x v="6"/>
    <x v="19"/>
    <x v="21"/>
    <n v="530.15735221822592"/>
    <n v="580.67372024010388"/>
    <n v="637.1346746917834"/>
    <n v="699.33608688958623"/>
    <n v="766.68306250508363"/>
    <n v="839.85263397509789"/>
    <n v="920.30508950308706"/>
    <n v="1010.0603565730175"/>
    <n v="1110.7021505786186"/>
    <n v="1223.2374128116639"/>
    <n v="1347.0641822280854"/>
    <n v="1481.5718630324645"/>
    <n v="1628.2978477955689"/>
  </r>
  <r>
    <x v="1"/>
    <x v="2"/>
    <x v="7"/>
    <x v="20"/>
    <x v="22"/>
    <n v="970.73937558843397"/>
    <n v="1045.1963967763068"/>
    <n v="1122.1089872711657"/>
    <n v="1203.004899056001"/>
    <n v="1290.7881364949164"/>
    <n v="1388.7777220791913"/>
    <n v="1499.5454102375586"/>
    <n v="1622.3066920012711"/>
    <n v="1754.4038027517654"/>
    <n v="1895.9497903463123"/>
    <n v="2048.6789677591987"/>
    <n v="2214.6589394468892"/>
    <n v="2393.2072382110896"/>
  </r>
  <r>
    <x v="1"/>
    <x v="3"/>
    <x v="8"/>
    <x v="21"/>
    <x v="23"/>
    <n v="106.49936328465546"/>
    <n v="113.3125763269729"/>
    <n v="120.20968432691895"/>
    <n v="127.34739706946893"/>
    <n v="135.02009957131756"/>
    <n v="143.55188860477466"/>
    <n v="153.17383787691315"/>
    <n v="163.76328563108314"/>
    <n v="175.01330045105016"/>
    <n v="186.90631780984944"/>
    <n v="199.58413692255209"/>
    <n v="213.21364171737045"/>
    <n v="227.68920758138768"/>
  </r>
  <r>
    <x v="1"/>
    <x v="3"/>
    <x v="9"/>
    <x v="22"/>
    <x v="24"/>
    <n v="276.58918009720668"/>
    <n v="295.52840370705655"/>
    <n v="314.86619375929462"/>
    <n v="335.00811023097424"/>
    <n v="356.7193779578356"/>
    <n v="380.86923579460301"/>
    <n v="408.09687550801391"/>
    <n v="438.12706270598278"/>
    <n v="470.18757344362967"/>
    <n v="504.25761948954619"/>
    <n v="540.73167630445437"/>
    <n v="580.07827628175778"/>
    <n v="622.05487837109035"/>
  </r>
  <r>
    <x v="1"/>
    <x v="3"/>
    <x v="10"/>
    <x v="23"/>
    <x v="25"/>
    <n v="453.36970581732157"/>
    <n v="500.46739175769903"/>
    <n v="550.37469675449927"/>
    <n v="603.45325646778076"/>
    <n v="660.20217126256557"/>
    <n v="721.96468455560421"/>
    <n v="791.00154862189765"/>
    <n v="867.82763323415656"/>
    <n v="952.8250140109393"/>
    <n v="1047.6671570306753"/>
    <n v="1153.6912963165571"/>
    <n v="1272.0987466668018"/>
    <n v="1403.1184698964596"/>
  </r>
  <r>
    <x v="1"/>
    <x v="3"/>
    <x v="11"/>
    <x v="24"/>
    <x v="26"/>
    <n v="335.53697481024432"/>
    <n v="363.28442681467982"/>
    <n v="393.93446787788309"/>
    <n v="427.82970188849521"/>
    <n v="465.49996304763516"/>
    <n v="507.7315708973648"/>
    <n v="554.98268700573021"/>
    <n v="607.74481462188658"/>
    <n v="665.72964065859605"/>
    <n v="728.8073553137267"/>
    <n v="796.40882993031732"/>
    <n v="868.42767973628895"/>
    <n v="945.60305388096981"/>
  </r>
  <r>
    <x v="1"/>
    <x v="3"/>
    <x v="12"/>
    <x v="25"/>
    <x v="27"/>
    <n v="112.01237987485598"/>
    <n v="121.16816654819721"/>
    <n v="131.22251856870889"/>
    <n v="142.04577608709346"/>
    <n v="153.53347939416437"/>
    <n v="165.90904237160376"/>
    <n v="179.38378150677343"/>
    <n v="194.44637767111337"/>
    <n v="211.33753955879996"/>
    <n v="229.82839437657924"/>
    <n v="250.0727076705345"/>
    <n v="271.86512810101232"/>
    <n v="295.16660153982372"/>
  </r>
  <r>
    <x v="1"/>
    <x v="3"/>
    <x v="13"/>
    <x v="26"/>
    <x v="28"/>
    <n v="216.88912392237597"/>
    <n v="232.10915186180489"/>
    <n v="248.63610067564412"/>
    <n v="266.65674420177459"/>
    <n v="286.49610776648194"/>
    <n v="308.60393383033897"/>
    <n v="333.2117692213173"/>
    <n v="360.45787471006645"/>
    <n v="390.01288520736887"/>
    <n v="421.72035913759919"/>
    <n v="455.25450284286927"/>
    <n v="490.54732997612194"/>
    <n v="527.87287473692697"/>
  </r>
  <r>
    <x v="1"/>
    <x v="4"/>
    <x v="14"/>
    <x v="27"/>
    <x v="29"/>
    <n v="603.90088245525669"/>
    <n v="657.66003710380528"/>
    <n v="716.97967778678935"/>
    <n v="782.49842216491822"/>
    <n v="854.89279657303621"/>
    <n v="934.87190050418781"/>
    <n v="1023.6277412064579"/>
    <n v="1121.7177481248648"/>
    <n v="1229.68995854331"/>
    <n v="1347.9913068637213"/>
    <n v="1476.760819870553"/>
    <n v="1616.8948707817531"/>
    <n v="1768.6954061291412"/>
  </r>
  <r>
    <x v="1"/>
    <x v="4"/>
    <x v="15"/>
    <x v="28"/>
    <x v="30"/>
    <n v="896.99584535140332"/>
    <n v="968.21007991260512"/>
    <n v="1042.2639841761595"/>
    <n v="1119.842563780669"/>
    <n v="1202.578402426964"/>
    <n v="1293.7584555501016"/>
    <n v="1396.2227585341875"/>
    <n v="1510.6493004494239"/>
    <n v="1635.4159947870739"/>
    <n v="1771.1958962942547"/>
    <n v="1918.9823301167316"/>
    <n v="2079.3359316976007"/>
    <n v="2252.8096798775168"/>
  </r>
  <r>
    <x v="1"/>
    <x v="5"/>
    <x v="16"/>
    <x v="29"/>
    <x v="31"/>
    <n v="105.39483754885219"/>
    <n v="116.34904660444177"/>
    <n v="128.6549237863367"/>
    <n v="142.29863583839986"/>
    <n v="157.16397649560164"/>
    <n v="173.43471752998474"/>
    <n v="191.41919000203404"/>
    <n v="211.56967055810159"/>
    <n v="234.24165696115622"/>
    <n v="259.69091420629758"/>
    <n v="287.84160563311781"/>
    <n v="318.6048345551763"/>
    <n v="352.37369731196389"/>
  </r>
  <r>
    <x v="1"/>
    <x v="5"/>
    <x v="17"/>
    <x v="30"/>
    <x v="32"/>
    <n v="353.50903503101745"/>
    <n v="390.83984455737095"/>
    <n v="427.75511960673964"/>
    <n v="465.39920835207948"/>
    <n v="505.85708262418677"/>
    <n v="552.16768995081202"/>
    <n v="606.27785046371673"/>
    <n v="667.66810167784911"/>
    <n v="734.29379460808377"/>
    <n v="806.87393337634285"/>
    <n v="887.85049947917673"/>
    <n v="979.07844117028708"/>
    <n v="1080.2966453688741"/>
  </r>
  <r>
    <x v="1"/>
    <x v="5"/>
    <x v="18"/>
    <x v="31"/>
    <x v="33"/>
    <n v="123.61308619093714"/>
    <n v="133.17891214419686"/>
    <n v="143.75301759920461"/>
    <n v="155.12055167148577"/>
    <n v="167.18208306524789"/>
    <n v="179.7377050657704"/>
    <n v="193.29838621745253"/>
    <n v="208.27112889148648"/>
    <n v="225.10039842092496"/>
    <n v="243.89250877176607"/>
    <n v="264.3376323069171"/>
    <n v="286.1472989914646"/>
    <n v="309.38623939873389"/>
  </r>
  <r>
    <x v="1"/>
    <x v="5"/>
    <x v="19"/>
    <x v="32"/>
    <x v="34"/>
    <n v="390.7285868977001"/>
    <n v="422.36743948028305"/>
    <n v="457.0143048204377"/>
    <n v="495.1545671971694"/>
    <n v="537.23062268282183"/>
    <n v="583.74360125001158"/>
    <n v="635.17796809471031"/>
    <n v="691.59259120851073"/>
    <n v="753.01188297851081"/>
    <n v="819.54577230243751"/>
    <n v="891.28590691576869"/>
    <n v="968.83553288449377"/>
    <n v="1052.2005449095047"/>
  </r>
  <r>
    <x v="1"/>
    <x v="5"/>
    <x v="20"/>
    <x v="33"/>
    <x v="35"/>
    <n v="106.56139420119419"/>
    <n v="116.10553002361731"/>
    <n v="126.73860871167469"/>
    <n v="138.30530697869511"/>
    <n v="150.74547928216708"/>
    <n v="163.90507183682621"/>
    <n v="178.2707466382399"/>
    <n v="194.25493675548344"/>
    <n v="212.32293710499425"/>
    <n v="232.64104393274738"/>
    <n v="254.98469665685201"/>
    <n v="279.13833397338391"/>
    <n v="305.21993522579419"/>
  </r>
  <r>
    <x v="1"/>
    <x v="5"/>
    <x v="21"/>
    <x v="34"/>
    <x v="36"/>
    <n v="283.19074117418461"/>
    <n v="299.48591020815843"/>
    <n v="317.21970917030808"/>
    <n v="336.53423074763617"/>
    <n v="357.69985145542068"/>
    <n v="381.15264196796704"/>
    <n v="407.03473592024443"/>
    <n v="435.49079817561812"/>
    <n v="466.08392751981432"/>
    <n v="498.51817107365321"/>
    <n v="532.21528149328446"/>
    <n v="566.95131214533387"/>
    <n v="603.06863007992035"/>
  </r>
  <r>
    <x v="1"/>
    <x v="5"/>
    <x v="22"/>
    <x v="35"/>
    <x v="37"/>
    <n v="137.8990467627745"/>
    <n v="147.54343399834198"/>
    <n v="158.10797826824751"/>
    <n v="169.52848516012151"/>
    <n v="181.59210339455421"/>
    <n v="194.48892845291743"/>
    <n v="208.37162240424763"/>
    <n v="223.51982130723883"/>
    <n v="240.05135573689969"/>
    <n v="258.02485949473123"/>
    <n v="277.22752750216779"/>
    <n v="297.47504875921396"/>
    <n v="318.95939371186677"/>
  </r>
  <r>
    <x v="1"/>
    <x v="7"/>
    <x v="28"/>
    <x v="41"/>
    <x v="43"/>
    <n v="1310.3473454435498"/>
    <n v="1420.6522148421882"/>
    <n v="1537.8530376871549"/>
    <n v="1663.3666691382618"/>
    <n v="1799.8046781058506"/>
    <n v="1950.833138412803"/>
    <n v="2120.2218000977755"/>
    <n v="2308.7011754096852"/>
    <n v="2514.9830255458851"/>
    <n v="2740.0616491289657"/>
    <n v="2985.3911181108015"/>
    <n v="3252.7216839120638"/>
    <n v="3542.5092217565707"/>
  </r>
  <r>
    <x v="1"/>
    <x v="7"/>
    <x v="29"/>
    <x v="42"/>
    <x v="44"/>
    <n v="190.54938236311025"/>
    <n v="205.21790217422227"/>
    <n v="221.39062427579398"/>
    <n v="238.97431680732538"/>
    <n v="257.66652089414953"/>
    <n v="277.79721764148638"/>
    <n v="299.62869964286989"/>
    <n v="323.66587316460334"/>
    <n v="350.12292778449881"/>
    <n v="379.12555402901035"/>
    <n v="410.35203187648307"/>
    <n v="443.50911856728987"/>
    <n v="478.99586425008727"/>
  </r>
  <r>
    <x v="2"/>
    <x v="0"/>
    <x v="0"/>
    <x v="0"/>
    <x v="0"/>
    <n v="133.62327459721197"/>
    <n v="148.93715299595692"/>
    <n v="166.30395078784989"/>
    <n v="185.64036717830047"/>
    <n v="206.97753798217283"/>
    <n v="230.21522482257967"/>
    <n v="256.13858094828817"/>
    <n v="285.49331045699768"/>
    <n v="319.16387937760862"/>
    <n v="357.6565984771691"/>
    <n v="400.9109459366166"/>
    <n v="448.86184866073245"/>
    <n v="501.96198914098193"/>
  </r>
  <r>
    <x v="2"/>
    <x v="0"/>
    <x v="1"/>
    <x v="1"/>
    <x v="1"/>
    <n v="321.91061672489474"/>
    <n v="350.70579981986299"/>
    <n v="382.69669723249285"/>
    <n v="417.76539866667662"/>
    <n v="455.35058356078019"/>
    <n v="496.07471009726424"/>
    <n v="540.48957593145667"/>
    <n v="589.65961598209901"/>
    <n v="644.1997084226407"/>
    <n v="704.5481699878552"/>
    <n v="770.27236793930877"/>
    <n v="840.9094484833804"/>
    <n v="917.35191658748852"/>
  </r>
  <r>
    <x v="2"/>
    <x v="0"/>
    <x v="2"/>
    <x v="2"/>
    <x v="2"/>
    <n v="854.81345412144299"/>
    <n v="921.00926202636833"/>
    <n v="988.85238966681231"/>
    <n v="1059.9609032932847"/>
    <n v="1137.4765565628975"/>
    <n v="1224.543203492959"/>
    <n v="1323.5936432180308"/>
    <n v="1433.5482489705885"/>
    <n v="1551.6194377456357"/>
    <n v="1677.8568806639416"/>
    <n v="1814.207804234876"/>
    <n v="1962.9503867679509"/>
    <n v="2123.1953160281005"/>
  </r>
  <r>
    <x v="2"/>
    <x v="1"/>
    <x v="3"/>
    <x v="3"/>
    <x v="3"/>
    <n v="52.150972669949034"/>
    <n v="58.194146486375544"/>
    <n v="65.040466630600292"/>
    <n v="72.719361392952749"/>
    <n v="81.183516045009526"/>
    <n v="90.58962072099051"/>
    <n v="101.09441111991083"/>
    <n v="112.96296932298397"/>
    <n v="126.39672676115046"/>
    <n v="141.57789943190249"/>
    <n v="158.52664037539301"/>
    <n v="177.25364828747266"/>
    <n v="198.05119140761795"/>
  </r>
  <r>
    <x v="2"/>
    <x v="1"/>
    <x v="3"/>
    <x v="3"/>
    <x v="4"/>
    <n v="84.296200301181997"/>
    <n v="91.78730666504589"/>
    <n v="99.597424819598544"/>
    <n v="107.89764749230611"/>
    <n v="117.02128438920295"/>
    <n v="127.31579523028088"/>
    <n v="139.06898448010602"/>
    <n v="152.21105435035867"/>
    <n v="166.48700254466436"/>
    <n v="181.93468091008845"/>
    <n v="198.79866401953223"/>
    <n v="217.36948202042188"/>
    <n v="237.5983894737698"/>
  </r>
  <r>
    <x v="2"/>
    <x v="1"/>
    <x v="3"/>
    <x v="3"/>
    <x v="5"/>
    <n v="135.53127151183688"/>
    <n v="146.46099654236559"/>
    <n v="154.09999462370524"/>
    <n v="160.065385920399"/>
    <n v="167.48671328204665"/>
    <n v="178.2457680354396"/>
    <n v="193.338707359246"/>
    <n v="210.35874058109084"/>
    <n v="226.10332532322963"/>
    <n v="240.63671344334608"/>
    <n v="255.8597427153166"/>
    <n v="274.05241762282122"/>
    <n v="293.86808827092426"/>
  </r>
  <r>
    <x v="2"/>
    <x v="1"/>
    <x v="3"/>
    <x v="4"/>
    <x v="6"/>
    <n v="235.07051926379057"/>
    <n v="254.55279925908152"/>
    <n v="276.09972618765187"/>
    <n v="299.58569122641404"/>
    <n v="324.56957643089663"/>
    <n v="351.4641411922039"/>
    <n v="380.62167610367089"/>
    <n v="412.746425448764"/>
    <n v="448.21033320265877"/>
    <n v="487.25273611961006"/>
    <n v="529.50397165648701"/>
    <n v="574.58149945829075"/>
    <n v="623.03716501116787"/>
  </r>
  <r>
    <x v="2"/>
    <x v="1"/>
    <x v="3"/>
    <x v="5"/>
    <x v="7"/>
    <n v="147.19458409870401"/>
    <n v="158.40931606586034"/>
    <n v="170.75852479567794"/>
    <n v="184.14167855390625"/>
    <n v="198.2664833401405"/>
    <n v="213.36916313311528"/>
    <n v="229.6431686194702"/>
    <n v="247.48922783860675"/>
    <n v="267.09858457431699"/>
    <n v="288.57830998082829"/>
    <n v="311.67166658430494"/>
    <n v="336.12012912096282"/>
    <n v="362.21767039735352"/>
  </r>
  <r>
    <x v="2"/>
    <x v="1"/>
    <x v="3"/>
    <x v="6"/>
    <x v="8"/>
    <n v="96.486116601974345"/>
    <n v="103.09756475707361"/>
    <n v="110.34429512806776"/>
    <n v="118.14642753621605"/>
    <n v="126.30309309075615"/>
    <n v="134.95562208867875"/>
    <n v="144.21412083247154"/>
    <n v="154.31553560207908"/>
    <n v="165.35922042817913"/>
    <n v="177.38929388166613"/>
    <n v="190.22465248989226"/>
    <n v="203.68788591467373"/>
    <n v="217.94113464342803"/>
  </r>
  <r>
    <x v="2"/>
    <x v="1"/>
    <x v="3"/>
    <x v="7"/>
    <x v="9"/>
    <n v="158.8317672808069"/>
    <n v="173.48884464198744"/>
    <n v="189.68023487586044"/>
    <n v="207.65145102193816"/>
    <n v="227.63929568682795"/>
    <n v="249.91424331501702"/>
    <n v="274.74965957663483"/>
    <n v="302.24478464075156"/>
    <n v="332.48640218797465"/>
    <n v="365.60111095197487"/>
    <n v="401.71102476208614"/>
    <n v="441.17226225811214"/>
    <n v="484.08195971021257"/>
  </r>
  <r>
    <x v="2"/>
    <x v="1"/>
    <x v="3"/>
    <x v="8"/>
    <x v="10"/>
    <n v="177.60577148828281"/>
    <n v="188.49202904874349"/>
    <n v="200.42253841811629"/>
    <n v="213.04137594026537"/>
    <n v="226.17065506949359"/>
    <n v="239.50594152218486"/>
    <n v="253.70732738084985"/>
    <n v="269.25819201604702"/>
    <n v="286.65976648287898"/>
    <n v="305.95039310682978"/>
    <n v="326.64115633366083"/>
    <n v="348.29566957565294"/>
    <n v="370.93110867250658"/>
  </r>
  <r>
    <x v="2"/>
    <x v="1"/>
    <x v="4"/>
    <x v="9"/>
    <x v="11"/>
    <n v="34.403545264336337"/>
    <n v="38.509622095020305"/>
    <n v="43.153897858569692"/>
    <n v="48.32590970568544"/>
    <n v="54.021137413347112"/>
    <n v="60.360539406134286"/>
    <n v="67.474053017545444"/>
    <n v="75.628319200520252"/>
    <n v="85.013823737060918"/>
    <n v="95.627833492759208"/>
    <n v="107.63872746927596"/>
    <n v="121.0505557858713"/>
    <n v="135.95192741914354"/>
  </r>
  <r>
    <x v="2"/>
    <x v="1"/>
    <x v="4"/>
    <x v="10"/>
    <x v="12"/>
    <n v="27.18781919174366"/>
    <n v="30.792748392772616"/>
    <n v="34.930101809597332"/>
    <n v="39.637926165117769"/>
    <n v="44.914125742131503"/>
    <n v="50.868721044793936"/>
    <n v="57.6177433627822"/>
    <n v="65.345194656727571"/>
    <n v="74.208412460955955"/>
    <n v="84.361786741494186"/>
    <n v="95.871119720747544"/>
    <n v="108.79902438606969"/>
    <n v="123.38322825331539"/>
  </r>
  <r>
    <x v="2"/>
    <x v="1"/>
    <x v="4"/>
    <x v="11"/>
    <x v="13"/>
    <n v="23.795209851273714"/>
    <n v="26.020887772685459"/>
    <n v="28.50678559628324"/>
    <n v="31.220670671953513"/>
    <n v="34.151293767058519"/>
    <n v="37.265938584951094"/>
    <n v="40.677065260389917"/>
    <n v="44.481782538520093"/>
    <n v="48.790645531341191"/>
    <n v="53.647008015554846"/>
    <n v="59.004629440474027"/>
    <n v="64.818633165177573"/>
    <n v="71.120906729250535"/>
  </r>
  <r>
    <x v="2"/>
    <x v="1"/>
    <x v="4"/>
    <x v="12"/>
    <x v="14"/>
    <n v="29.3719297806092"/>
    <n v="32.355065074960187"/>
    <n v="35.681623822725122"/>
    <n v="39.323438686746542"/>
    <n v="43.258305438274121"/>
    <n v="47.565282162381784"/>
    <n v="52.324862035310474"/>
    <n v="57.717679843092846"/>
    <n v="63.853886332812806"/>
    <n v="70.690348858818837"/>
    <n v="78.311769245242075"/>
    <n v="86.676574878268667"/>
    <n v="95.804845313052283"/>
  </r>
  <r>
    <x v="2"/>
    <x v="1"/>
    <x v="4"/>
    <x v="13"/>
    <x v="15"/>
    <n v="20.228037750971755"/>
    <n v="22.401569039939577"/>
    <n v="24.832117652945964"/>
    <n v="27.561557277206862"/>
    <n v="30.632675621361578"/>
    <n v="34.094867741360765"/>
    <n v="38.000320745633609"/>
    <n v="42.379640069855981"/>
    <n v="47.262944536899695"/>
    <n v="52.68722203857179"/>
    <n v="58.690378339375314"/>
    <n v="65.346090057818387"/>
    <n v="72.693199844763924"/>
  </r>
  <r>
    <x v="2"/>
    <x v="1"/>
    <x v="5"/>
    <x v="14"/>
    <x v="16"/>
    <n v="25.016435722913219"/>
    <n v="27.400759009807121"/>
    <n v="30.046583745870006"/>
    <n v="32.925355099632831"/>
    <n v="36.014091608898077"/>
    <n v="39.374576283648132"/>
    <n v="43.068315984742803"/>
    <n v="47.237771358914316"/>
    <n v="51.964395597813116"/>
    <n v="57.202940439200766"/>
    <n v="63.012486614937309"/>
    <n v="69.349039392393863"/>
    <n v="76.21877408000249"/>
  </r>
  <r>
    <x v="2"/>
    <x v="1"/>
    <x v="5"/>
    <x v="15"/>
    <x v="17"/>
    <n v="24.170812812933189"/>
    <n v="26.092723307147335"/>
    <n v="28.068895291574684"/>
    <n v="30.145570700762658"/>
    <n v="32.412682448008269"/>
    <n v="34.960918288911188"/>
    <n v="37.861362078883353"/>
    <n v="41.085165336425341"/>
    <n v="44.554301959312689"/>
    <n v="48.271614579970297"/>
    <n v="52.29455774499548"/>
    <n v="56.69056466888442"/>
    <n v="61.436105077484527"/>
  </r>
  <r>
    <x v="2"/>
    <x v="1"/>
    <x v="5"/>
    <x v="16"/>
    <x v="18"/>
    <n v="13.898337613645992"/>
    <n v="15.518650033639787"/>
    <n v="17.347261943522799"/>
    <n v="19.378334566470265"/>
    <n v="21.608454965338844"/>
    <n v="24.084420487905586"/>
    <n v="26.85613222818802"/>
    <n v="30.027389771112418"/>
    <n v="33.670708511600829"/>
    <n v="37.78133573837512"/>
    <n v="42.422137417773925"/>
    <n v="47.590561395892649"/>
    <n v="53.31728506978957"/>
  </r>
  <r>
    <x v="2"/>
    <x v="1"/>
    <x v="5"/>
    <x v="17"/>
    <x v="19"/>
    <n v="12.177746518396223"/>
    <n v="13.054939517821069"/>
    <n v="14.021428763075903"/>
    <n v="15.054795771993778"/>
    <n v="16.144247962609484"/>
    <n v="17.26948789385915"/>
    <n v="18.478912557917369"/>
    <n v="19.809994027572046"/>
    <n v="21.302989879048429"/>
    <n v="22.965314515476457"/>
    <n v="24.765009532043056"/>
    <n v="26.672719057786384"/>
    <n v="28.692566779165492"/>
  </r>
  <r>
    <x v="2"/>
    <x v="1"/>
    <x v="5"/>
    <x v="18"/>
    <x v="20"/>
    <n v="12.930267720199865"/>
    <n v="14.022247131861445"/>
    <n v="15.221135723711742"/>
    <n v="16.544091408294413"/>
    <n v="18.007045804449035"/>
    <n v="19.628091280946226"/>
    <n v="21.42497735402198"/>
    <n v="23.401308806262332"/>
    <n v="25.559555493986576"/>
    <n v="27.905106882498103"/>
    <n v="30.442783649263895"/>
    <n v="33.194926865492711"/>
    <n v="36.163675603622337"/>
  </r>
  <r>
    <x v="2"/>
    <x v="2"/>
    <x v="6"/>
    <x v="19"/>
    <x v="21"/>
    <n v="455.53389132210668"/>
    <n v="499.64295281581991"/>
    <n v="549.00064802034274"/>
    <n v="603.40576584497705"/>
    <n v="662.328121542953"/>
    <n v="726.28993491984397"/>
    <n v="796.62815687974489"/>
    <n v="875.15292643909675"/>
    <n v="963.36358780024932"/>
    <n v="1062.2047684650242"/>
    <n v="1171.1833138759253"/>
    <n v="1289.7712971441129"/>
    <n v="1419.3139057284704"/>
  </r>
  <r>
    <x v="2"/>
    <x v="2"/>
    <x v="7"/>
    <x v="20"/>
    <x v="22"/>
    <n v="854.81345412144299"/>
    <n v="921.00926202636833"/>
    <n v="988.85238966681231"/>
    <n v="1059.9609032932847"/>
    <n v="1137.4765565628975"/>
    <n v="1224.543203492959"/>
    <n v="1323.5936432180308"/>
    <n v="1433.5482489705885"/>
    <n v="1551.6194377456357"/>
    <n v="1677.8568806639416"/>
    <n v="1814.207804234876"/>
    <n v="1962.9503867679509"/>
    <n v="2123.1953160281005"/>
  </r>
  <r>
    <x v="2"/>
    <x v="3"/>
    <x v="8"/>
    <x v="21"/>
    <x v="23"/>
    <n v="93.621391979088358"/>
    <n v="99.681592210324737"/>
    <n v="105.75756035185145"/>
    <n v="112.01863862602298"/>
    <n v="118.78710875498615"/>
    <n v="126.36997011740128"/>
    <n v="134.98583752764975"/>
    <n v="144.48409212652089"/>
    <n v="154.54812288993611"/>
    <n v="165.15793650949936"/>
    <n v="176.48066462661151"/>
    <n v="188.70718558713696"/>
    <n v="201.71416308836066"/>
  </r>
  <r>
    <x v="2"/>
    <x v="3"/>
    <x v="9"/>
    <x v="22"/>
    <x v="24"/>
    <n v="239.82090742282668"/>
    <n v="256.44196094124442"/>
    <n v="273.24632958860633"/>
    <n v="290.6732573971675"/>
    <n v="309.56640463420626"/>
    <n v="330.74412054529068"/>
    <n v="354.8073687784476"/>
    <n v="381.39663140864536"/>
    <n v="409.70774616911581"/>
    <n v="439.70889175751603"/>
    <n v="471.86574610564782"/>
    <n v="506.71531302957857"/>
    <n v="543.95987466138558"/>
  </r>
  <r>
    <x v="2"/>
    <x v="3"/>
    <x v="10"/>
    <x v="23"/>
    <x v="25"/>
    <n v="392.71466924928689"/>
    <n v="434.03208528182472"/>
    <n v="477.34782159915608"/>
    <n v="523.16543769347913"/>
    <n v="572.33788763766051"/>
    <n v="626.13213562392889"/>
    <n v="686.71631011294403"/>
    <n v="754.21915378560379"/>
    <n v="828.71404896580725"/>
    <n v="911.73029541149845"/>
    <n v="1004.7985966935221"/>
    <n v="1109.3679623095504"/>
    <n v="1225.3814022704851"/>
  </r>
  <r>
    <x v="2"/>
    <x v="3"/>
    <x v="11"/>
    <x v="24"/>
    <x v="26"/>
    <n v="293.3769781532917"/>
    <n v="317.94283409156969"/>
    <n v="345.09561123015106"/>
    <n v="375.14243409683206"/>
    <n v="408.55566193002812"/>
    <n v="446.03442460250778"/>
    <n v="487.99204021394536"/>
    <n v="534.87251353415456"/>
    <n v="586.43499619090232"/>
    <n v="642.5772199674866"/>
    <n v="702.8090525959808"/>
    <n v="767.04681485446088"/>
    <n v="835.9532202009367"/>
  </r>
  <r>
    <x v="2"/>
    <x v="3"/>
    <x v="12"/>
    <x v="25"/>
    <x v="27"/>
    <n v="99.400610830840051"/>
    <n v="107.65312902923083"/>
    <n v="116.72536090355291"/>
    <n v="126.47459124587057"/>
    <n v="136.78515553604464"/>
    <n v="147.86787343986038"/>
    <n v="159.92247824652179"/>
    <n v="173.43957576599936"/>
    <n v="188.66285499542803"/>
    <n v="205.36382138774991"/>
    <n v="223.69722714969103"/>
    <n v="243.44361036535213"/>
    <n v="264.56789693331734"/>
  </r>
  <r>
    <x v="2"/>
    <x v="3"/>
    <x v="13"/>
    <x v="26"/>
    <x v="28"/>
    <n v="191.41278780821608"/>
    <n v="204.90061328799374"/>
    <n v="219.6803540138371"/>
    <n v="235.89231007888958"/>
    <n v="253.77245961292496"/>
    <n v="273.68461408381404"/>
    <n v="295.79776521826722"/>
    <n v="320.28920878876158"/>
    <n v="346.91525633469575"/>
    <n v="375.52348409521517"/>
    <n v="405.73983093934828"/>
    <n v="437.4407977659846"/>
    <n v="470.93266460208537"/>
  </r>
  <r>
    <x v="2"/>
    <x v="4"/>
    <x v="14"/>
    <x v="27"/>
    <x v="29"/>
    <n v="522.35514748849459"/>
    <n v="569.19358638188248"/>
    <n v="620.82822326843461"/>
    <n v="678.0264247247942"/>
    <n v="741.51952737961039"/>
    <n v="812.14127797620949"/>
    <n v="890.72653850437041"/>
    <n v="977.53733569102326"/>
    <n v="1072.79247826194"/>
    <n v="1176.8366887165141"/>
    <n v="1289.9964785736645"/>
    <n v="1413.3461802205327"/>
    <n v="1547.1196746167689"/>
  </r>
  <r>
    <x v="2"/>
    <x v="4"/>
    <x v="15"/>
    <x v="28"/>
    <x v="30"/>
    <n v="787.99219795505519"/>
    <n v="851.4586284603057"/>
    <n v="917.02481441872033"/>
    <n v="985.34024441346764"/>
    <n v="1058.2851507262403"/>
    <n v="1138.6918604365935"/>
    <n v="1229.4952615934051"/>
    <n v="1331.1638397186621"/>
    <n v="1442.1905472839451"/>
    <n v="1563.2249604124515"/>
    <n v="1695.394639537137"/>
    <n v="1839.3755036915311"/>
    <n v="1995.3895471398018"/>
  </r>
  <r>
    <x v="2"/>
    <x v="5"/>
    <x v="16"/>
    <x v="29"/>
    <x v="31"/>
    <n v="83.818770278644152"/>
    <n v="92.714683921855141"/>
    <n v="102.71864144154664"/>
    <n v="113.84487883498862"/>
    <n v="125.98632746740955"/>
    <n v="139.35555736340825"/>
    <n v="154.15713326473394"/>
    <n v="170.75291965537883"/>
    <n v="189.39504834989918"/>
    <n v="210.29698711470817"/>
    <n v="233.42281026653413"/>
    <n v="258.72254700895235"/>
    <n v="286.55756613841601"/>
  </r>
  <r>
    <x v="2"/>
    <x v="5"/>
    <x v="17"/>
    <x v="30"/>
    <x v="32"/>
    <n v="317.83600088772778"/>
    <n v="351.53167952157287"/>
    <n v="384.38120768351178"/>
    <n v="417.58429597038344"/>
    <n v="453.55077888267442"/>
    <n v="494.97227608903017"/>
    <n v="543.88640809759522"/>
    <n v="599.49864709047915"/>
    <n v="659.76194160077466"/>
    <n v="725.31841984955781"/>
    <n v="798.72294297023336"/>
    <n v="882.0256609697135"/>
    <n v="974.61547758094821"/>
  </r>
  <r>
    <x v="2"/>
    <x v="5"/>
    <x v="18"/>
    <x v="31"/>
    <x v="33"/>
    <n v="103.1794794434424"/>
    <n v="111.33272144290545"/>
    <n v="120.3528980312161"/>
    <n v="130.06377165328206"/>
    <n v="140.38476489225636"/>
    <n v="151.15040392837849"/>
    <n v="162.79200735605511"/>
    <n v="175.65583104184751"/>
    <n v="190.1216734539795"/>
    <n v="206.28581727208024"/>
    <n v="223.89299846365807"/>
    <n v="242.70448718304146"/>
    <n v="262.77970168644867"/>
  </r>
  <r>
    <x v="2"/>
    <x v="5"/>
    <x v="19"/>
    <x v="32"/>
    <x v="34"/>
    <n v="349.47883417063571"/>
    <n v="378.14240494127375"/>
    <n v="409.55305493726081"/>
    <n v="444.15305159656765"/>
    <n v="482.34765373236797"/>
    <n v="524.59623083305917"/>
    <n v="571.34472329663026"/>
    <n v="622.65770836819922"/>
    <n v="678.56878129560528"/>
    <n v="739.18852776346944"/>
    <n v="804.61125131291806"/>
    <n v="875.39324587013868"/>
    <n v="951.55284189740917"/>
  </r>
  <r>
    <x v="2"/>
    <x v="5"/>
    <x v="20"/>
    <x v="33"/>
    <x v="35"/>
    <n v="80.720577631842062"/>
    <n v="88.143872643956854"/>
    <n v="96.426122825869555"/>
    <n v="105.45445486395535"/>
    <n v="115.18749939877443"/>
    <n v="125.51170020840956"/>
    <n v="136.80309146176995"/>
    <n v="149.38389472511827"/>
    <n v="163.61961092726517"/>
    <n v="179.64825562573697"/>
    <n v="197.30699491935783"/>
    <n v="216.43844503468148"/>
    <n v="237.1424063145202"/>
  </r>
  <r>
    <x v="2"/>
    <x v="5"/>
    <x v="21"/>
    <x v="34"/>
    <x v="36"/>
    <n v="262.91319974732016"/>
    <n v="278.2277492678603"/>
    <n v="294.89807580425139"/>
    <n v="313.05872037833552"/>
    <n v="332.96386544958233"/>
    <n v="355.02253870629426"/>
    <n v="379.3709728775691"/>
    <n v="406.14803240187018"/>
    <n v="434.95047401853674"/>
    <n v="465.50550598851709"/>
    <n v="497.2760011647477"/>
    <n v="530.05450452230116"/>
    <n v="564.16247834685259"/>
  </r>
  <r>
    <x v="2"/>
    <x v="5"/>
    <x v="22"/>
    <x v="35"/>
    <x v="37"/>
    <n v="112.40048328393759"/>
    <n v="120.55910310276374"/>
    <n v="129.52303696349867"/>
    <n v="139.20749584074932"/>
    <n v="149.38378828278553"/>
    <n v="160.2244312842231"/>
    <n v="171.86746374342201"/>
    <n v="184.6041421267918"/>
    <n v="198.5654958998247"/>
    <n v="213.81813551489586"/>
    <n v="230.15811901335249"/>
    <n v="247.38279332323503"/>
    <n v="265.69874979197573"/>
  </r>
  <r>
    <x v="3"/>
    <x v="0"/>
    <x v="0"/>
    <x v="0"/>
    <x v="0"/>
    <n v="18.866920523450556"/>
    <n v="20.743290842558803"/>
    <n v="22.840843818482316"/>
    <n v="25.188568555332612"/>
    <n v="27.827984256568147"/>
    <n v="30.818182395574787"/>
    <n v="34.201595145343241"/>
    <n v="38.024863291387753"/>
    <n v="42.288195209677816"/>
    <n v="47.00133800618152"/>
    <n v="52.145771649134439"/>
    <n v="57.731605103868119"/>
    <n v="63.825263673355543"/>
  </r>
  <r>
    <x v="3"/>
    <x v="0"/>
    <x v="1"/>
    <x v="1"/>
    <x v="1"/>
    <n v="55.756540372668738"/>
    <n v="60.287476581725116"/>
    <n v="65.293182852958338"/>
    <n v="70.741752489276479"/>
    <n v="76.526956705562426"/>
    <n v="82.744516659679206"/>
    <n v="89.475337477998963"/>
    <n v="96.882566842533009"/>
    <n v="105.05036756869137"/>
    <n v="114.03130634045809"/>
    <n v="123.73509670302582"/>
    <n v="134.06896078448344"/>
    <n v="145.15867839374278"/>
  </r>
  <r>
    <x v="3"/>
    <x v="0"/>
    <x v="2"/>
    <x v="2"/>
    <x v="2"/>
    <n v="115.92592146699096"/>
    <n v="124.18713474993837"/>
    <n v="133.25659760435332"/>
    <n v="143.04399576271629"/>
    <n v="153.31157993201896"/>
    <n v="164.23451858623238"/>
    <n v="175.95176701952769"/>
    <n v="188.75844303068254"/>
    <n v="202.78436500612963"/>
    <n v="218.09290968237073"/>
    <n v="234.4711635243228"/>
    <n v="251.70855267893828"/>
    <n v="270.01192218298894"/>
  </r>
  <r>
    <x v="3"/>
    <x v="1"/>
    <x v="3"/>
    <x v="3"/>
    <x v="3"/>
    <n v="7.2450862243482614"/>
    <n v="7.9959756347919342"/>
    <n v="8.8330648591128149"/>
    <n v="9.770301472010603"/>
    <n v="10.821755793688974"/>
    <n v="12.003628159875282"/>
    <n v="13.33286715346442"/>
    <n v="14.818602597006141"/>
    <n v="16.469652588061344"/>
    <n v="18.297090058620256"/>
    <n v="20.312135641298212"/>
    <n v="22.538215267083761"/>
    <n v="24.986397131166427"/>
  </r>
  <r>
    <x v="3"/>
    <x v="1"/>
    <x v="3"/>
    <x v="3"/>
    <x v="4"/>
    <n v="14.9410581554126"/>
    <n v="16.152124434618401"/>
    <n v="17.400345864043629"/>
    <n v="18.714550581520555"/>
    <n v="20.150855615834633"/>
    <n v="21.766169367563492"/>
    <n v="23.605520164242414"/>
    <n v="25.651886184509934"/>
    <n v="27.857442131366724"/>
    <n v="30.224652622142493"/>
    <n v="32.790190550352051"/>
    <n v="35.597194385964109"/>
    <n v="38.631929886249928"/>
  </r>
  <r>
    <x v="3"/>
    <x v="1"/>
    <x v="3"/>
    <x v="3"/>
    <x v="5"/>
    <n v="14.749902652884458"/>
    <n v="16.213937678645806"/>
    <n v="18.126868100732459"/>
    <n v="20.324335597902362"/>
    <n v="22.336530431308773"/>
    <n v="24.255065517834716"/>
    <n v="25.942133595825105"/>
    <n v="27.698519817076864"/>
    <n v="29.678827206311972"/>
    <n v="31.982347132429958"/>
    <n v="34.235186632434761"/>
    <n v="36.09135431477506"/>
    <n v="37.956034521417372"/>
  </r>
  <r>
    <x v="3"/>
    <x v="1"/>
    <x v="3"/>
    <x v="4"/>
    <x v="6"/>
    <n v="34.345391745424493"/>
    <n v="36.894583603147687"/>
    <n v="39.706771354139576"/>
    <n v="42.720074760160848"/>
    <n v="45.905094362939003"/>
    <n v="49.205161338555079"/>
    <n v="52.758868236492027"/>
    <n v="56.674749538066457"/>
    <n v="61.070192147362491"/>
    <n v="65.969379667437323"/>
    <n v="71.283580770457448"/>
    <n v="76.930825607841854"/>
    <n v="82.925035817321884"/>
  </r>
  <r>
    <x v="3"/>
    <x v="1"/>
    <x v="3"/>
    <x v="5"/>
    <x v="7"/>
    <n v="22.184215452411372"/>
    <n v="23.672429254064181"/>
    <n v="25.290069456400701"/>
    <n v="26.999282507722096"/>
    <n v="28.770013056957165"/>
    <n v="30.642490821958834"/>
    <n v="32.65215884138042"/>
    <n v="34.891586119670187"/>
    <n v="37.398000730000426"/>
    <n v="40.11251051967718"/>
    <n v="43.054135636529978"/>
    <n v="46.168428800576322"/>
    <n v="49.438739711089006"/>
  </r>
  <r>
    <x v="3"/>
    <x v="1"/>
    <x v="3"/>
    <x v="6"/>
    <x v="8"/>
    <n v="14.173648586373046"/>
    <n v="14.971412720499695"/>
    <n v="15.829763364256403"/>
    <n v="16.759751016167815"/>
    <n v="17.76971394694413"/>
    <n v="18.86888539394285"/>
    <n v="20.064800273390652"/>
    <n v="21.350510136787655"/>
    <n v="22.718249720642859"/>
    <n v="24.163168785055714"/>
    <n v="25.679966231857666"/>
    <n v="27.27822065909087"/>
    <n v="28.949486751917991"/>
  </r>
  <r>
    <x v="3"/>
    <x v="1"/>
    <x v="3"/>
    <x v="7"/>
    <x v="9"/>
    <n v="23.695212205172329"/>
    <n v="25.696753823455897"/>
    <n v="27.89428666595402"/>
    <n v="30.319264844239999"/>
    <n v="33.000897330039095"/>
    <n v="35.972355079167407"/>
    <n v="39.266183029484999"/>
    <n v="42.889004936604792"/>
    <n v="46.845365003916434"/>
    <n v="51.14515883101771"/>
    <n v="55.797240261642933"/>
    <n v="60.842576162192444"/>
    <n v="66.28510829228982"/>
  </r>
  <r>
    <x v="3"/>
    <x v="1"/>
    <x v="3"/>
    <x v="8"/>
    <x v="10"/>
    <n v="27.087904544791506"/>
    <n v="28.505097812856238"/>
    <n v="29.888767574824893"/>
    <n v="31.287249622438395"/>
    <n v="32.789353116385001"/>
    <n v="34.475483201651222"/>
    <n v="36.39808011711515"/>
    <n v="38.507428714805471"/>
    <n v="40.711682911628728"/>
    <n v="43.001223301217664"/>
    <n v="45.415498740958213"/>
    <n v="47.998143434753743"/>
    <n v="50.710717449167888"/>
  </r>
  <r>
    <x v="3"/>
    <x v="1"/>
    <x v="4"/>
    <x v="9"/>
    <x v="11"/>
    <n v="4.7418365252346115"/>
    <n v="5.2585195040228756"/>
    <n v="5.8324656548830021"/>
    <n v="6.4850065372161705"/>
    <n v="7.223423246746588"/>
    <n v="8.0549606330883066"/>
    <n v="8.9838445973003171"/>
    <n v="10.012358896781201"/>
    <n v="11.14886412909622"/>
    <n v="12.429057783796601"/>
    <n v="13.873790294855795"/>
    <n v="15.488032518791178"/>
    <n v="17.277391420830885"/>
  </r>
  <r>
    <x v="3"/>
    <x v="1"/>
    <x v="4"/>
    <x v="10"/>
    <x v="12"/>
    <n v="3.5634633147664543"/>
    <n v="3.9923485345918022"/>
    <n v="4.477035248164281"/>
    <n v="5.0269072894458198"/>
    <n v="5.6519151358131694"/>
    <n v="6.3636479076195345"/>
    <n v="7.1747045500427422"/>
    <n v="8.0941368104930742"/>
    <n v="9.1312586275884087"/>
    <n v="10.297073403664967"/>
    <n v="11.603199336904881"/>
    <n v="13.068784009972564"/>
    <n v="14.706808172793332"/>
  </r>
  <r>
    <x v="3"/>
    <x v="1"/>
    <x v="4"/>
    <x v="11"/>
    <x v="13"/>
    <n v="3.3380452987382632"/>
    <n v="3.6226978166712946"/>
    <n v="3.9361525104680166"/>
    <n v="4.2737768234725397"/>
    <n v="4.6318133795932326"/>
    <n v="5.0175286171398943"/>
    <n v="5.4378731368750461"/>
    <n v="5.909745726949474"/>
    <n v="6.4417718343121209"/>
    <n v="7.0265250332437574"/>
    <n v="7.6696292210986305"/>
    <n v="8.363924026366373"/>
    <n v="9.1085241294947856"/>
  </r>
  <r>
    <x v="3"/>
    <x v="1"/>
    <x v="4"/>
    <x v="12"/>
    <x v="14"/>
    <n v="4.0261376762979619"/>
    <n v="4.3773749483887148"/>
    <n v="4.7665495251432546"/>
    <n v="5.1982682775412332"/>
    <n v="5.6794854535488435"/>
    <n v="6.2203954461048436"/>
    <n v="6.8273355621936078"/>
    <n v="7.5071510706148485"/>
    <n v="8.2571599559812885"/>
    <n v="9.0765944008474122"/>
    <n v="9.9591957249512948"/>
    <n v="10.904382425448935"/>
    <n v="11.922174138640525"/>
  </r>
  <r>
    <x v="3"/>
    <x v="1"/>
    <x v="4"/>
    <x v="13"/>
    <x v="15"/>
    <n v="2.9777048099489125"/>
    <n v="3.2744068822581016"/>
    <n v="3.6041030352971259"/>
    <n v="3.9721017163556249"/>
    <n v="4.3836805199721658"/>
    <n v="4.8448990582241871"/>
    <n v="5.3620263132883075"/>
    <n v="5.9380905398658772"/>
    <n v="6.5759447137175293"/>
    <n v="7.2792937135061084"/>
    <n v="8.0518400051061612"/>
    <n v="8.9020626023281011"/>
    <n v="9.8334283539719767"/>
  </r>
  <r>
    <x v="3"/>
    <x v="1"/>
    <x v="5"/>
    <x v="14"/>
    <x v="16"/>
    <n v="3.8910904630909044"/>
    <n v="4.2193751009820515"/>
    <n v="4.5797768492261648"/>
    <n v="4.9774506566295091"/>
    <n v="5.4171809352785978"/>
    <n v="5.9044006491304311"/>
    <n v="6.444437947528395"/>
    <n v="7.038364723717117"/>
    <n v="7.6869111652039894"/>
    <n v="8.391685261118301"/>
    <n v="9.1541234268905995"/>
    <n v="9.9809299715799806"/>
    <n v="10.872732855815141"/>
  </r>
  <r>
    <x v="3"/>
    <x v="1"/>
    <x v="5"/>
    <x v="15"/>
    <x v="17"/>
    <n v="3.6697083524915066"/>
    <n v="3.940222527133471"/>
    <n v="4.2376431034002424"/>
    <n v="4.5592816309737518"/>
    <n v="4.8977252291559941"/>
    <n v="5.2586838644431833"/>
    <n v="5.646759967608074"/>
    <n v="6.0716093633096264"/>
    <n v="6.5376586545505688"/>
    <n v="7.0472319999596076"/>
    <n v="7.593746084027253"/>
    <n v="8.1706324014904901"/>
    <n v="8.784811448546856"/>
  </r>
  <r>
    <x v="3"/>
    <x v="1"/>
    <x v="5"/>
    <x v="16"/>
    <x v="18"/>
    <n v="2.2426575307465533"/>
    <n v="2.4849907136811584"/>
    <n v="2.7441232765084664"/>
    <n v="3.0254713907590034"/>
    <n v="3.3393581107881771"/>
    <n v="3.6972072334536499"/>
    <n v="4.1094644371548776"/>
    <n v="4.5766700543628431"/>
    <n v="5.0937434454553188"/>
    <n v="5.6641198193735081"/>
    <n v="6.2978345529272897"/>
    <n v="7.0070021308535635"/>
    <n v="7.7935528199387933"/>
  </r>
  <r>
    <x v="3"/>
    <x v="1"/>
    <x v="5"/>
    <x v="17"/>
    <x v="19"/>
    <n v="1.5993853854229809"/>
    <n v="1.7021014951091993"/>
    <n v="1.8148184662803495"/>
    <n v="1.9343948681113499"/>
    <n v="2.0592708349860427"/>
    <n v="2.1867168524180696"/>
    <n v="2.3227792699550998"/>
    <n v="2.471953354227781"/>
    <n v="2.6389475766336825"/>
    <n v="2.824260382765829"/>
    <n v="3.0235276890960581"/>
    <n v="3.2328230439212433"/>
    <n v="3.4523863113595707"/>
  </r>
  <r>
    <x v="3"/>
    <x v="1"/>
    <x v="5"/>
    <x v="18"/>
    <x v="20"/>
    <n v="2.0769334395540286"/>
    <n v="2.2435496893037623"/>
    <n v="2.4280193669585617"/>
    <n v="2.6268472146576989"/>
    <n v="2.8384543941699509"/>
    <n v="3.0595384993154098"/>
    <n v="3.2988624495282446"/>
    <n v="3.5635045797539679"/>
    <n v="3.8612552426686699"/>
    <n v="4.1941813131359735"/>
    <n v="4.5572110750938064"/>
    <n v="4.9455868042592677"/>
    <n v="5.360605038075124"/>
  </r>
  <r>
    <x v="3"/>
    <x v="2"/>
    <x v="6"/>
    <x v="19"/>
    <x v="21"/>
    <n v="74.623460896119298"/>
    <n v="81.030767424283923"/>
    <n v="88.134026671440651"/>
    <n v="95.930321044609087"/>
    <n v="104.35494096213057"/>
    <n v="113.562699055254"/>
    <n v="123.6769326233422"/>
    <n v="134.90743013392077"/>
    <n v="147.33856277836918"/>
    <n v="161.03264434663961"/>
    <n v="175.88086835216026"/>
    <n v="191.80056588835157"/>
    <n v="208.98394206709833"/>
  </r>
  <r>
    <x v="3"/>
    <x v="2"/>
    <x v="7"/>
    <x v="20"/>
    <x v="22"/>
    <n v="115.92592146699096"/>
    <n v="124.18713474993837"/>
    <n v="133.25659760435332"/>
    <n v="143.04399576271629"/>
    <n v="153.31157993201896"/>
    <n v="164.23451858623238"/>
    <n v="175.95176701952769"/>
    <n v="188.75844303068254"/>
    <n v="202.78436500612963"/>
    <n v="218.09290968237073"/>
    <n v="234.4711635243228"/>
    <n v="251.70855267893828"/>
    <n v="270.01192218298894"/>
  </r>
  <r>
    <x v="3"/>
    <x v="3"/>
    <x v="8"/>
    <x v="21"/>
    <x v="23"/>
    <n v="12.877971305567094"/>
    <n v="13.63098411664817"/>
    <n v="14.452123975067492"/>
    <n v="15.328758443445945"/>
    <n v="16.232990816331419"/>
    <n v="17.18191848737338"/>
    <n v="18.188000349263408"/>
    <n v="19.279193504562251"/>
    <n v="20.465177561114061"/>
    <n v="21.748381300350072"/>
    <n v="23.103472295940566"/>
    <n v="24.506456130233488"/>
    <n v="25.975044493027024"/>
  </r>
  <r>
    <x v="3"/>
    <x v="3"/>
    <x v="9"/>
    <x v="22"/>
    <x v="24"/>
    <n v="36.768272674380007"/>
    <n v="39.086442765812151"/>
    <n v="41.619864170688309"/>
    <n v="44.334852833806728"/>
    <n v="47.152973323629361"/>
    <n v="50.125115249312316"/>
    <n v="53.289506729566305"/>
    <n v="56.730431297337404"/>
    <n v="60.479827274513866"/>
    <n v="64.54872773203013"/>
    <n v="68.865930198806524"/>
    <n v="73.36296325217927"/>
    <n v="78.095003709704741"/>
  </r>
  <r>
    <x v="3"/>
    <x v="3"/>
    <x v="10"/>
    <x v="23"/>
    <x v="25"/>
    <n v="60.655036568034717"/>
    <n v="66.435306475874313"/>
    <n v="73.026875155343163"/>
    <n v="80.287818774301655"/>
    <n v="87.864283624904999"/>
    <n v="95.832548931675348"/>
    <n v="104.28523850895365"/>
    <n v="113.60847944855283"/>
    <n v="124.11096504513208"/>
    <n v="135.93686161917674"/>
    <n v="148.89269962303496"/>
    <n v="162.73078435725148"/>
    <n v="177.73706762597448"/>
  </r>
  <r>
    <x v="3"/>
    <x v="3"/>
    <x v="11"/>
    <x v="24"/>
    <x v="26"/>
    <n v="42.159996656952622"/>
    <n v="45.341592723110118"/>
    <n v="48.838856647732044"/>
    <n v="52.687267791663125"/>
    <n v="56.944301117607047"/>
    <n v="61.697146294857042"/>
    <n v="66.990646791784826"/>
    <n v="72.872301087732012"/>
    <n v="79.294644467693729"/>
    <n v="86.230135346240061"/>
    <n v="93.599777334336579"/>
    <n v="101.3808648818281"/>
    <n v="109.64983368003305"/>
  </r>
  <r>
    <x v="3"/>
    <x v="3"/>
    <x v="12"/>
    <x v="25"/>
    <x v="27"/>
    <n v="12.611769044015928"/>
    <n v="13.515037518966384"/>
    <n v="14.497157665155973"/>
    <n v="15.571184841222898"/>
    <n v="16.748323858119718"/>
    <n v="18.041168931743378"/>
    <n v="19.461303260251633"/>
    <n v="21.006801905113999"/>
    <n v="22.67468456337194"/>
    <n v="24.464572988829321"/>
    <n v="26.375480520843457"/>
    <n v="28.421517735660171"/>
    <n v="30.598704606506359"/>
  </r>
  <r>
    <x v="3"/>
    <x v="3"/>
    <x v="13"/>
    <x v="26"/>
    <x v="28"/>
    <n v="25.476336114159878"/>
    <n v="27.208538573811147"/>
    <n v="28.955746661807005"/>
    <n v="30.764434122885028"/>
    <n v="32.723648153556994"/>
    <n v="34.919319746524906"/>
    <n v="37.41400400305006"/>
    <n v="40.168665921304836"/>
    <n v="43.097628872673141"/>
    <n v="46.196875042384015"/>
    <n v="49.514671903520977"/>
    <n v="53.106532210137352"/>
    <n v="56.940210134841585"/>
  </r>
  <r>
    <x v="3"/>
    <x v="4"/>
    <x v="14"/>
    <x v="27"/>
    <x v="29"/>
    <n v="81.54573496676214"/>
    <n v="88.466450721922826"/>
    <n v="96.15145451835474"/>
    <n v="104.471997440124"/>
    <n v="113.3732691934258"/>
    <n v="122.73062252797834"/>
    <n v="132.90120270208755"/>
    <n v="144.18041243384161"/>
    <n v="156.89748028137001"/>
    <n v="171.15461814720729"/>
    <n v="186.7643412968884"/>
    <n v="203.54869056122027"/>
    <n v="221.5757315123725"/>
  </r>
  <r>
    <x v="3"/>
    <x v="4"/>
    <x v="15"/>
    <x v="28"/>
    <x v="30"/>
    <n v="109.00364739634811"/>
    <n v="116.75145145229945"/>
    <n v="125.23916975743924"/>
    <n v="134.50231936720138"/>
    <n v="144.29325170072372"/>
    <n v="155.06659511350804"/>
    <n v="166.72749694078234"/>
    <n v="179.48546073076173"/>
    <n v="193.22544750312881"/>
    <n v="207.97093588180306"/>
    <n v="223.58769057959466"/>
    <n v="239.96042800606961"/>
    <n v="257.42013273771477"/>
  </r>
  <r>
    <x v="3"/>
    <x v="5"/>
    <x v="16"/>
    <x v="29"/>
    <x v="31"/>
    <n v="21.576067270208036"/>
    <n v="23.634362682586627"/>
    <n v="25.936282344790058"/>
    <n v="28.45375700341123"/>
    <n v="31.177649028192093"/>
    <n v="34.079160166576479"/>
    <n v="37.262056737300085"/>
    <n v="40.816750902722752"/>
    <n v="44.846608611257032"/>
    <n v="49.393927091589411"/>
    <n v="54.418795366583694"/>
    <n v="59.882287546223957"/>
    <n v="65.816131173547873"/>
  </r>
  <r>
    <x v="3"/>
    <x v="5"/>
    <x v="17"/>
    <x v="30"/>
    <x v="32"/>
    <n v="35.673034143289641"/>
    <n v="39.308165035798083"/>
    <n v="43.373911923227894"/>
    <n v="47.814912381696047"/>
    <n v="52.306303741512352"/>
    <n v="57.195413861781788"/>
    <n v="62.391442366121453"/>
    <n v="68.169454587370012"/>
    <n v="74.531853007309053"/>
    <n v="81.555513526785035"/>
    <n v="89.127556508943428"/>
    <n v="97.052780200573579"/>
    <n v="105.6811677879258"/>
  </r>
  <r>
    <x v="3"/>
    <x v="5"/>
    <x v="18"/>
    <x v="31"/>
    <x v="33"/>
    <n v="20.433606747494736"/>
    <n v="21.846190701291416"/>
    <n v="23.400119567988501"/>
    <n v="25.056780018203717"/>
    <n v="26.797318172991549"/>
    <n v="28.587301137391904"/>
    <n v="30.506378861397422"/>
    <n v="32.615297849638971"/>
    <n v="34.978724966945457"/>
    <n v="37.606691499685851"/>
    <n v="40.444633843259041"/>
    <n v="43.442811808423158"/>
    <n v="46.606537712285196"/>
  </r>
  <r>
    <x v="3"/>
    <x v="5"/>
    <x v="19"/>
    <x v="32"/>
    <x v="34"/>
    <n v="41.249752727064369"/>
    <n v="44.2250345390093"/>
    <n v="47.461249883176876"/>
    <n v="51.001515600601735"/>
    <n v="54.882968950453851"/>
    <n v="59.147370416952391"/>
    <n v="63.833244798080052"/>
    <n v="68.934882840311474"/>
    <n v="74.443101682905592"/>
    <n v="80.357244538968104"/>
    <n v="86.674655602850649"/>
    <n v="93.442287014355117"/>
    <n v="100.64770301209552"/>
  </r>
  <r>
    <x v="3"/>
    <x v="5"/>
    <x v="20"/>
    <x v="33"/>
    <x v="35"/>
    <n v="25.840816569352121"/>
    <n v="27.961657379660455"/>
    <n v="30.312485885805138"/>
    <n v="32.850852114739766"/>
    <n v="35.55797988339264"/>
    <n v="38.393371628416645"/>
    <n v="41.467655176469947"/>
    <n v="44.871042030365174"/>
    <n v="48.703326177729075"/>
    <n v="52.992788307010429"/>
    <n v="57.677701737494161"/>
    <n v="62.699888938702443"/>
    <n v="68.077528911273987"/>
  </r>
  <r>
    <x v="3"/>
    <x v="5"/>
    <x v="21"/>
    <x v="34"/>
    <x v="36"/>
    <n v="20.277541426864456"/>
    <n v="21.258160940298151"/>
    <n v="22.321633366056687"/>
    <n v="23.475510369300675"/>
    <n v="24.735986005838356"/>
    <n v="26.130103261672808"/>
    <n v="27.663763042675313"/>
    <n v="29.342765773747914"/>
    <n v="31.133453501277565"/>
    <n v="33.012665085136128"/>
    <n v="34.939280328536825"/>
    <n v="36.896807623032707"/>
    <n v="38.906151733067802"/>
  </r>
  <r>
    <x v="3"/>
    <x v="5"/>
    <x v="22"/>
    <x v="35"/>
    <x v="37"/>
    <n v="25.498563478836914"/>
    <n v="26.984330895578239"/>
    <n v="28.584941304748831"/>
    <n v="30.320989319372199"/>
    <n v="32.208315111768691"/>
    <n v="34.264497168694348"/>
    <n v="36.504158660825624"/>
    <n v="38.915679180447036"/>
    <n v="41.485859837074997"/>
    <n v="44.206723979835367"/>
    <n v="47.069408488815291"/>
    <n v="50.092255435978942"/>
    <n v="53.260643919891031"/>
  </r>
  <r>
    <x v="4"/>
    <x v="0"/>
    <x v="0"/>
    <x v="0"/>
    <x v="0"/>
    <n v="136.65269523259332"/>
    <n v="150.81959102930787"/>
    <n v="166.41659443280125"/>
    <n v="183.73014603773078"/>
    <n v="203.048716697061"/>
    <n v="224.66100303449747"/>
    <n v="248.9996607508416"/>
    <n v="276.28971697738768"/>
    <n v="306.69441919127371"/>
    <n v="340.68842227058963"/>
    <n v="378.57136256195082"/>
    <n v="420.56775355411622"/>
    <n v="466.898729190974"/>
  </r>
  <r>
    <x v="4"/>
    <x v="0"/>
    <x v="1"/>
    <x v="1"/>
    <x v="1"/>
    <n v="341.56797287378225"/>
    <n v="367.91358054756995"/>
    <n v="396.45565284511002"/>
    <n v="427.32703029840144"/>
    <n v="460.87805878601068"/>
    <n v="497.64770704559544"/>
    <n v="538.36301391965026"/>
    <n v="583.42929503559776"/>
    <n v="632.85763290783166"/>
    <n v="686.57259371945383"/>
    <n v="744.60331832788859"/>
    <n v="807.06877893331193"/>
    <n v="874.00906352753168"/>
  </r>
  <r>
    <x v="4"/>
    <x v="0"/>
    <x v="2"/>
    <x v="2"/>
    <x v="2"/>
    <n v="865.46645541383361"/>
    <n v="923.24153056280215"/>
    <n v="985.67867997915232"/>
    <n v="1052.9811697053856"/>
    <n v="1125.746584916928"/>
    <n v="1204.8044902644917"/>
    <n v="1291.6863608357075"/>
    <n v="1387.3177308580359"/>
    <n v="1491.6559630530023"/>
    <n v="1604.5875723996085"/>
    <n v="1725.2916074126251"/>
    <n v="1853.1751216237608"/>
    <n v="1988.4997522844121"/>
  </r>
  <r>
    <x v="4"/>
    <x v="1"/>
    <x v="3"/>
    <x v="3"/>
    <x v="3"/>
    <n v="53.061152204793558"/>
    <n v="58.658948310595079"/>
    <n v="64.896856417715796"/>
    <n v="71.784994982567483"/>
    <n v="79.362452535032915"/>
    <n v="87.746871329507883"/>
    <n v="97.133466619422023"/>
    <n v="107.75145186325298"/>
    <n v="119.7629267605404"/>
    <n v="133.22090853834641"/>
    <n v="148.2225358455745"/>
    <n v="164.7961080660946"/>
    <n v="183.04595517185908"/>
  </r>
  <r>
    <x v="4"/>
    <x v="1"/>
    <x v="3"/>
    <x v="3"/>
    <x v="4"/>
    <n v="88.871138502863815"/>
    <n v="96.0300433572651"/>
    <n v="103.77834431691267"/>
    <n v="112.1002540930924"/>
    <n v="121.05485367140813"/>
    <n v="130.74111941950545"/>
    <n v="141.43211831257574"/>
    <n v="153.30400709355021"/>
    <n v="166.44959826105671"/>
    <n v="180.89259278918547"/>
    <n v="196.63469771593444"/>
    <n v="213.65089946898919"/>
    <n v="231.95322508910482"/>
  </r>
  <r>
    <x v="4"/>
    <x v="1"/>
    <x v="3"/>
    <x v="3"/>
    <x v="5"/>
    <n v="130.93339475558247"/>
    <n v="139.29059966812389"/>
    <n v="147.64808391639352"/>
    <n v="156.23428670822742"/>
    <n v="166.1156046651067"/>
    <n v="177.22862594450754"/>
    <n v="190.18093329615121"/>
    <n v="204.33618524948611"/>
    <n v="219.04085464956927"/>
    <n v="233.92469602547681"/>
    <n v="248.63522202185911"/>
    <n v="263.7306665656148"/>
    <n v="278.85605799174209"/>
  </r>
  <r>
    <x v="4"/>
    <x v="1"/>
    <x v="3"/>
    <x v="4"/>
    <x v="6"/>
    <n v="246.06121966230646"/>
    <n v="263.18174219956899"/>
    <n v="281.92557780646086"/>
    <n v="302.2387048729023"/>
    <n v="324.17319227406585"/>
    <n v="348.08935501098728"/>
    <n v="374.33691886507262"/>
    <n v="403.43413294941467"/>
    <n v="435.43978565738689"/>
    <n v="470.0728209561704"/>
    <n v="507.11573451198365"/>
    <n v="546.27734485124529"/>
    <n v="587.71649632476988"/>
  </r>
  <r>
    <x v="4"/>
    <x v="1"/>
    <x v="3"/>
    <x v="5"/>
    <x v="7"/>
    <n v="152.45383731601726"/>
    <n v="162.53566815353147"/>
    <n v="173.33779834720875"/>
    <n v="184.83770828569789"/>
    <n v="197.05315764823951"/>
    <n v="210.18977834909134"/>
    <n v="224.56300253585707"/>
    <n v="240.35716479067264"/>
    <n v="257.56547702435387"/>
    <n v="276.21143277826019"/>
    <n v="296.15541537375776"/>
    <n v="317.29944417313669"/>
    <n v="339.72310323030217"/>
  </r>
  <r>
    <x v="4"/>
    <x v="1"/>
    <x v="3"/>
    <x v="6"/>
    <x v="8"/>
    <n v="99.630162093376796"/>
    <n v="105.40717009530763"/>
    <n v="111.64121458454228"/>
    <n v="118.32281284362779"/>
    <n v="125.36916642501043"/>
    <n v="132.80274023324407"/>
    <n v="140.74202576139768"/>
    <n v="149.3664643071063"/>
    <n v="158.79261001253204"/>
    <n v="169.05078359883535"/>
    <n v="180.14181792556585"/>
    <n v="191.86110137269733"/>
    <n v="204.13227645227187"/>
  </r>
  <r>
    <x v="4"/>
    <x v="1"/>
    <x v="3"/>
    <x v="7"/>
    <x v="9"/>
    <n v="163.69317780720706"/>
    <n v="177.37403140406232"/>
    <n v="192.38471341216973"/>
    <n v="209.03790627390086"/>
    <n v="227.42873231437136"/>
    <n v="247.79374098131225"/>
    <n v="270.25727474995062"/>
    <n v="294.9811032579068"/>
    <n v="322.01796119459021"/>
    <n v="351.74191806512295"/>
    <n v="384.22888750125992"/>
    <n v="419.36485650170562"/>
    <n v="457.27791312732847"/>
  </r>
  <r>
    <x v="4"/>
    <x v="1"/>
    <x v="3"/>
    <x v="8"/>
    <x v="10"/>
    <n v="184.57224267756558"/>
    <n v="194.21807496046731"/>
    <n v="204.70966860617168"/>
    <n v="215.91498800203084"/>
    <n v="227.55782216290106"/>
    <n v="239.85830640395008"/>
    <n v="252.96886770322658"/>
    <n v="267.1982748432946"/>
    <n v="282.61667703124971"/>
    <n v="299.18008236000793"/>
    <n v="316.61035583854607"/>
    <n v="334.6441309287888"/>
    <n v="353.43725068983849"/>
  </r>
  <r>
    <x v="4"/>
    <x v="1"/>
    <x v="4"/>
    <x v="9"/>
    <x v="11"/>
    <n v="33.260915977814719"/>
    <n v="36.877100242356079"/>
    <n v="40.925031374035413"/>
    <n v="45.479934845792393"/>
    <n v="50.579272379600539"/>
    <n v="56.30656218255443"/>
    <n v="62.733012192610438"/>
    <n v="69.961347501452465"/>
    <n v="78.072470864308912"/>
    <n v="87.181550145885652"/>
    <n v="97.382194218283757"/>
    <n v="108.70020595232495"/>
    <n v="121.21667249995681"/>
  </r>
  <r>
    <x v="4"/>
    <x v="1"/>
    <x v="4"/>
    <x v="10"/>
    <x v="12"/>
    <n v="25.689496901681657"/>
    <n v="28.812667246370474"/>
    <n v="32.322464975919239"/>
    <n v="36.299464172305285"/>
    <n v="40.808083362221623"/>
    <n v="45.913694050391278"/>
    <n v="51.71478664927163"/>
    <n v="58.284916802580547"/>
    <n v="65.707711225312678"/>
    <n v="74.150255447984605"/>
    <n v="83.728260734039182"/>
    <n v="94.525354249153196"/>
    <n v="106.63849058470299"/>
  </r>
  <r>
    <x v="4"/>
    <x v="1"/>
    <x v="4"/>
    <x v="11"/>
    <x v="13"/>
    <n v="23.8811377341252"/>
    <n v="25.881657991469677"/>
    <n v="28.035070143513209"/>
    <n v="30.358377722199926"/>
    <n v="32.886398602956433"/>
    <n v="35.671356781345295"/>
    <n v="38.775854801967725"/>
    <n v="42.233996444657684"/>
    <n v="46.043037027716892"/>
    <n v="50.209215793225319"/>
    <n v="54.760190308367243"/>
    <n v="59.70791263146188"/>
    <n v="65.053572347685488"/>
  </r>
  <r>
    <x v="4"/>
    <x v="1"/>
    <x v="4"/>
    <x v="12"/>
    <x v="14"/>
    <n v="27.874109121037147"/>
    <n v="30.473238153066042"/>
    <n v="33.324616421189354"/>
    <n v="36.454402649603693"/>
    <n v="39.875293569518597"/>
    <n v="43.645862569038052"/>
    <n v="47.831551862151777"/>
    <n v="52.488206167048595"/>
    <n v="57.643894171600529"/>
    <n v="63.351437740110285"/>
    <n v="69.632614385985278"/>
    <n v="76.496744591055005"/>
    <n v="83.984863749138782"/>
  </r>
  <r>
    <x v="4"/>
    <x v="1"/>
    <x v="4"/>
    <x v="13"/>
    <x v="15"/>
    <n v="21.240588359419547"/>
    <n v="23.412388403585137"/>
    <n v="25.816888379728908"/>
    <n v="28.465454430996637"/>
    <n v="31.368033841107071"/>
    <n v="34.574863687001397"/>
    <n v="38.153349739987242"/>
    <n v="42.177313034821644"/>
    <n v="46.693615672590688"/>
    <n v="51.738008898347601"/>
    <n v="57.343339703811999"/>
    <n v="63.518377367130867"/>
    <n v="70.304894103409353"/>
  </r>
  <r>
    <x v="4"/>
    <x v="1"/>
    <x v="5"/>
    <x v="14"/>
    <x v="16"/>
    <n v="26.614282306197428"/>
    <n v="28.888048989124623"/>
    <n v="31.359130853451934"/>
    <n v="34.034230594826759"/>
    <n v="36.941431382713176"/>
    <n v="40.130663344823006"/>
    <n v="43.680313600995277"/>
    <n v="47.64037151055075"/>
    <n v="52.021083723723791"/>
    <n v="56.83306260096515"/>
    <n v="62.076046375185449"/>
    <n v="67.754661662810165"/>
    <n v="73.892794571161318"/>
  </r>
  <r>
    <x v="4"/>
    <x v="1"/>
    <x v="5"/>
    <x v="15"/>
    <x v="17"/>
    <n v="25.57505219675383"/>
    <n v="27.363058727478155"/>
    <n v="29.270925961290224"/>
    <n v="31.336799432244682"/>
    <n v="33.582246228696285"/>
    <n v="36.03337784689198"/>
    <n v="38.723116857131217"/>
    <n v="41.652047226531216"/>
    <n v="44.81077708552079"/>
    <n v="48.245555304619415"/>
    <n v="51.967676532052799"/>
    <n v="55.967618586539245"/>
    <n v="60.235851995772009"/>
  </r>
  <r>
    <x v="4"/>
    <x v="1"/>
    <x v="5"/>
    <x v="16"/>
    <x v="18"/>
    <n v="14.943490162260133"/>
    <n v="16.514602715682422"/>
    <n v="18.248519158725422"/>
    <n v="20.179891194328341"/>
    <n v="22.346543491335613"/>
    <n v="24.791706974130232"/>
    <n v="27.560002281643555"/>
    <n v="30.674736273249923"/>
    <n v="34.143272684058644"/>
    <n v="38.010316555482262"/>
    <n v="42.309542031966203"/>
    <n v="47.074402906472336"/>
    <n v="52.336492859069949"/>
  </r>
  <r>
    <x v="4"/>
    <x v="1"/>
    <x v="5"/>
    <x v="17"/>
    <x v="19"/>
    <n v="11.678237039024426"/>
    <n v="12.376494859899312"/>
    <n v="13.136059523678275"/>
    <n v="13.957171732626454"/>
    <n v="14.843444033179892"/>
    <n v="15.798338374829941"/>
    <n v="16.838712653332266"/>
    <n v="17.972504005041205"/>
    <n v="19.201935914521705"/>
    <n v="20.523764090767838"/>
    <n v="21.922478780170668"/>
    <n v="23.393282917403468"/>
    <n v="24.937412540017839"/>
  </r>
  <r>
    <x v="4"/>
    <x v="1"/>
    <x v="5"/>
    <x v="18"/>
    <x v="20"/>
    <n v="13.653488702181942"/>
    <n v="14.679166661726253"/>
    <n v="15.789963057956287"/>
    <n v="17.00096320454675"/>
    <n v="18.327631812534563"/>
    <n v="19.79623686147319"/>
    <n v="21.423727023454752"/>
    <n v="23.222519550402897"/>
    <n v="25.184326191473748"/>
    <n v="27.310186700858182"/>
    <n v="29.599278498120484"/>
    <n v="32.048541318565775"/>
    <n v="34.664221674786106"/>
  </r>
  <r>
    <x v="4"/>
    <x v="2"/>
    <x v="6"/>
    <x v="19"/>
    <x v="21"/>
    <n v="478.22066810637557"/>
    <n v="518.73317157687779"/>
    <n v="562.87224727791124"/>
    <n v="611.05717633613222"/>
    <n v="663.92677548307165"/>
    <n v="722.30871008009285"/>
    <n v="787.36267467049186"/>
    <n v="859.71901201298544"/>
    <n v="939.55205209910537"/>
    <n v="1027.2610159900435"/>
    <n v="1123.1746808898395"/>
    <n v="1227.6365324874282"/>
    <n v="1340.9077927185058"/>
  </r>
  <r>
    <x v="4"/>
    <x v="2"/>
    <x v="7"/>
    <x v="20"/>
    <x v="22"/>
    <n v="865.46645541383361"/>
    <n v="923.24153056280215"/>
    <n v="985.67867997915232"/>
    <n v="1052.9811697053856"/>
    <n v="1125.746584916928"/>
    <n v="1204.8044902644917"/>
    <n v="1291.6863608357075"/>
    <n v="1387.3177308580359"/>
    <n v="1491.6559630530023"/>
    <n v="1604.5875723996085"/>
    <n v="1725.2916074126251"/>
    <n v="1853.1751216237608"/>
    <n v="1988.4997522844121"/>
  </r>
  <r>
    <x v="4"/>
    <x v="3"/>
    <x v="8"/>
    <x v="21"/>
    <x v="23"/>
    <n v="93.14148970557649"/>
    <n v="98.390080773061896"/>
    <n v="104.12323528272746"/>
    <n v="110.20123797750124"/>
    <n v="116.54536763133851"/>
    <n v="123.12758529555853"/>
    <n v="130.17714858623438"/>
    <n v="137.92770369511271"/>
    <n v="146.53197397450631"/>
    <n v="155.9283400080439"/>
    <n v="165.95057018841126"/>
    <n v="176.40241415344181"/>
    <n v="187.29417328074572"/>
  </r>
  <r>
    <x v="4"/>
    <x v="3"/>
    <x v="9"/>
    <x v="22"/>
    <x v="24"/>
    <n v="244.50949040588239"/>
    <n v="259.56225483694436"/>
    <n v="275.75286715787479"/>
    <n v="292.81929965503929"/>
    <n v="310.71354005525035"/>
    <n v="329.42387895265978"/>
    <n v="349.68406428150547"/>
    <n v="371.95569307897932"/>
    <n v="396.54067874192566"/>
    <n v="423.42254224262342"/>
    <n v="452.26144901292389"/>
    <n v="482.71728274063531"/>
    <n v="514.76418909667632"/>
  </r>
  <r>
    <x v="4"/>
    <x v="3"/>
    <x v="10"/>
    <x v="23"/>
    <x v="25"/>
    <n v="421.06166286323759"/>
    <n v="455.51131196005213"/>
    <n v="493.93432800183371"/>
    <n v="536.85023098778834"/>
    <n v="584.62665848176971"/>
    <n v="637.60793689147908"/>
    <n v="696.22113252229735"/>
    <n v="761.0710977747691"/>
    <n v="832.51380521661531"/>
    <n v="910.92321918673508"/>
    <n v="995.86932173115304"/>
    <n v="1087.1605069237023"/>
    <n v="1185.4369259408907"/>
  </r>
  <r>
    <x v="4"/>
    <x v="3"/>
    <x v="11"/>
    <x v="24"/>
    <x v="26"/>
    <n v="299.14502838353491"/>
    <n v="322.95375712630971"/>
    <n v="348.25400344382024"/>
    <n v="375.36375426539416"/>
    <n v="404.93770744737458"/>
    <n v="437.85205332232562"/>
    <n v="474.81035562201691"/>
    <n v="515.93197818738201"/>
    <n v="560.76220416135209"/>
    <n v="609.2077525209728"/>
    <n v="661.67330208950204"/>
    <n v="718.6050543530904"/>
    <n v="779.94615888621092"/>
  </r>
  <r>
    <x v="4"/>
    <x v="3"/>
    <x v="12"/>
    <x v="25"/>
    <x v="27"/>
    <n v="96.760934797053622"/>
    <n v="103.97171454379757"/>
    <n v="111.72646125091157"/>
    <n v="120.00204470291266"/>
    <n v="128.81921395462516"/>
    <n v="138.33276100875875"/>
    <n v="148.78459891148518"/>
    <n v="160.34826171516775"/>
    <n v="173.06396043520132"/>
    <n v="186.93647267264288"/>
    <n v="201.95009350948402"/>
    <n v="218.05729244823161"/>
    <n v="235.28567404840712"/>
  </r>
  <r>
    <x v="4"/>
    <x v="3"/>
    <x v="13"/>
    <x v="26"/>
    <x v="28"/>
    <n v="189.06851736492405"/>
    <n v="201.58558289951429"/>
    <n v="214.76003211989581"/>
    <n v="228.80177845288216"/>
    <n v="244.03087282964142"/>
    <n v="260.76898487380288"/>
    <n v="279.37173558266016"/>
    <n v="299.80200841961039"/>
    <n v="321.79539262250654"/>
    <n v="345.430261758634"/>
    <n v="370.76155177099002"/>
    <n v="397.8691034920879"/>
    <n v="426.68042374998669"/>
  </r>
  <r>
    <x v="4"/>
    <x v="4"/>
    <x v="14"/>
    <x v="27"/>
    <x v="29"/>
    <n v="537.96373726407512"/>
    <n v="582.20390616376653"/>
    <n v="629.64276292776458"/>
    <n v="681.08812682635289"/>
    <n v="737.39423076843445"/>
    <n v="799.94012665334901"/>
    <n v="869.75234742173825"/>
    <n v="947.05799676034485"/>
    <n v="1031.3089490361945"/>
    <n v="1123.1213914791538"/>
    <n v="1222.9594168540168"/>
    <n v="1331.2732712462391"/>
    <n v="1448.3717992957522"/>
  </r>
  <r>
    <x v="4"/>
    <x v="4"/>
    <x v="15"/>
    <x v="28"/>
    <x v="30"/>
    <n v="805.72338625613406"/>
    <n v="859.77079597591342"/>
    <n v="918.90816432929887"/>
    <n v="982.95021921516513"/>
    <n v="1052.2791296315654"/>
    <n v="1127.1730736912357"/>
    <n v="1209.2966880844613"/>
    <n v="1299.9787461106762"/>
    <n v="1399.899066115913"/>
    <n v="1508.7271969104984"/>
    <n v="1625.5068714484476"/>
    <n v="1749.5383828649497"/>
    <n v="1881.035745707165"/>
  </r>
  <r>
    <x v="4"/>
    <x v="5"/>
    <x v="16"/>
    <x v="29"/>
    <x v="31"/>
    <n v="65.967321205238875"/>
    <n v="72.142925748397261"/>
    <n v="78.919553402436335"/>
    <n v="86.398112768826323"/>
    <n v="94.624672328078589"/>
    <n v="103.73814439081782"/>
    <n v="113.85574214256133"/>
    <n v="125.08961234130035"/>
    <n v="137.50437324363995"/>
    <n v="151.23690526406861"/>
    <n v="166.40418474239831"/>
    <n v="183.03899539110807"/>
    <n v="201.19189627392637"/>
  </r>
  <r>
    <x v="4"/>
    <x v="5"/>
    <x v="17"/>
    <x v="30"/>
    <x v="32"/>
    <n v="266.40832052270349"/>
    <n v="288.97549613661801"/>
    <n v="313.09568544479038"/>
    <n v="339.1008434874019"/>
    <n v="368.22242519051503"/>
    <n v="401.00663199467078"/>
    <n v="438.47016184383472"/>
    <n v="480.82697943524738"/>
    <n v="527.7136426987081"/>
    <n v="578.88763083923982"/>
    <n v="634.67317903291894"/>
    <n v="695.38815204190223"/>
    <n v="760.92405866128013"/>
  </r>
  <r>
    <x v="4"/>
    <x v="5"/>
    <x v="18"/>
    <x v="31"/>
    <x v="33"/>
    <n v="145.19711307498073"/>
    <n v="155.27981708730283"/>
    <n v="166.33752910194985"/>
    <n v="178.2919751398245"/>
    <n v="190.91559229132321"/>
    <n v="204.41576332951254"/>
    <n v="218.9607643099657"/>
    <n v="234.87229388562292"/>
    <n v="252.28981499294065"/>
    <n v="271.2632511550616"/>
    <n v="291.58629454639993"/>
    <n v="313.05428852896227"/>
    <n v="335.87182666829887"/>
  </r>
  <r>
    <x v="4"/>
    <x v="5"/>
    <x v="19"/>
    <x v="32"/>
    <x v="34"/>
    <n v="361.44835940109033"/>
    <n v="388.64961536696967"/>
    <n v="418.34034987265522"/>
    <n v="450.69579120479563"/>
    <n v="485.93873458800567"/>
    <n v="524.46363571822883"/>
    <n v="566.88906694801278"/>
    <n v="613.5602593023284"/>
    <n v="664.58853506360344"/>
    <n v="720.06243326139202"/>
    <n v="779.74149481943334"/>
    <n v="843.69077901433832"/>
    <n v="912.10017048722466"/>
  </r>
  <r>
    <x v="4"/>
    <x v="5"/>
    <x v="20"/>
    <x v="33"/>
    <x v="35"/>
    <n v="118.54470173949875"/>
    <n v="128.17419797921696"/>
    <n v="138.60573809033713"/>
    <n v="149.96251984999751"/>
    <n v="162.36654042494553"/>
    <n v="175.97457657768553"/>
    <n v="191.02910298981968"/>
    <n v="207.6394271999574"/>
    <n v="225.83796838498779"/>
    <n v="245.75887360165299"/>
    <n v="267.48493063419551"/>
    <n v="291.05087495573804"/>
    <n v="316.45192433045219"/>
  </r>
  <r>
    <x v="4"/>
    <x v="5"/>
    <x v="21"/>
    <x v="34"/>
    <x v="36"/>
    <n v="193.31942050427034"/>
    <n v="203.8889943699258"/>
    <n v="215.22871375075636"/>
    <n v="227.36285216080063"/>
    <n v="240.26095021275182"/>
    <n v="254.08629491322895"/>
    <n v="269.06886510805862"/>
    <n v="285.37629567183689"/>
    <n v="302.98041302994835"/>
    <n v="321.91850148757231"/>
    <n v="341.92925210841651"/>
    <n v="362.78133460478932"/>
    <n v="384.559219781313"/>
  </r>
  <r>
    <x v="4"/>
    <x v="5"/>
    <x v="22"/>
    <x v="35"/>
    <x v="37"/>
    <n v="192.80188707242664"/>
    <n v="204.86365545124946"/>
    <n v="218.0233575941383"/>
    <n v="232.22625142987133"/>
    <n v="247.34444536437999"/>
    <n v="263.4281534204402"/>
    <n v="280.77533216394653"/>
    <n v="299.67187503472786"/>
    <n v="320.29326773827921"/>
    <n v="342.72099278066435"/>
    <n v="366.64695241870209"/>
    <n v="391.80722957435086"/>
    <n v="418.30844880042207"/>
  </r>
  <r>
    <x v="4"/>
    <x v="7"/>
    <x v="30"/>
    <x v="43"/>
    <x v="45"/>
    <n v="277.54639155712908"/>
    <n v="299.24577430493389"/>
    <n v="322.7272145722103"/>
    <n v="348.39121447773368"/>
    <n v="376.77157824336911"/>
    <n v="408.5293312275403"/>
    <n v="444.07314703547297"/>
    <n v="483.51494886428151"/>
    <n v="526.4633162047511"/>
    <n v="573.02086091933904"/>
    <n v="623.15817611166278"/>
    <n v="677.01548462630706"/>
    <n v="734.86326549455862"/>
  </r>
  <r>
    <x v="4"/>
    <x v="7"/>
    <x v="31"/>
    <x v="44"/>
    <x v="46"/>
    <n v="313.76499662197972"/>
    <n v="341.56321527912047"/>
    <n v="372.46262278531856"/>
    <n v="406.23348117895404"/>
    <n v="442.85467303097994"/>
    <n v="482.11519645352575"/>
    <n v="525.22156035283024"/>
    <n v="573.1305205010085"/>
    <n v="626.90959623473088"/>
    <n v="686.98775122749703"/>
    <n v="752.93409651288664"/>
    <n v="824.45359504111389"/>
    <n v="901.86613016522529"/>
  </r>
  <r>
    <x v="4"/>
    <x v="7"/>
    <x v="32"/>
    <x v="45"/>
    <x v="47"/>
    <n v="134.32587532300803"/>
    <n v="141.84717642849412"/>
    <n v="149.94183351335892"/>
    <n v="158.74696974762583"/>
    <n v="168.33561310693065"/>
    <n v="178.78639141644965"/>
    <n v="190.15434041189488"/>
    <n v="202.36707064712471"/>
    <n v="215.36053034343792"/>
    <n v="229.15769285036288"/>
    <n v="243.73885068857027"/>
    <n v="259.17030055048167"/>
    <n v="275.36958416199747"/>
  </r>
  <r>
    <x v="4"/>
    <x v="7"/>
    <x v="33"/>
    <x v="46"/>
    <x v="48"/>
    <n v="204.38769218296309"/>
    <n v="219.69767945867267"/>
    <n v="235.65455569376419"/>
    <n v="252.59131904087417"/>
    <n v="271.13551410059995"/>
    <n v="291.94829054365448"/>
    <n v="315.51035376418019"/>
    <n v="341.68702448042438"/>
    <n v="369.92941261717885"/>
    <n v="400.21545499798924"/>
    <n v="432.79400086575777"/>
    <n v="468.0420726751172"/>
    <n v="505.90551209487529"/>
  </r>
  <r>
    <x v="4"/>
    <x v="7"/>
    <x v="34"/>
    <x v="47"/>
    <x v="49"/>
    <n v="110.17622464908015"/>
    <n v="117.29311441393926"/>
    <n v="125.03006271639251"/>
    <n v="133.22409035702742"/>
    <n v="141.75630577425738"/>
    <n v="150.82839743337482"/>
    <n v="160.60765051592918"/>
    <n v="171.50900670941667"/>
    <n v="183.67450411615027"/>
    <n v="196.83341794978725"/>
    <n v="211.04014173060409"/>
    <n v="226.04855331430088"/>
    <n v="241.8065270870884"/>
  </r>
  <r>
    <x v="4"/>
    <x v="7"/>
    <x v="35"/>
    <x v="48"/>
    <x v="50"/>
    <n v="88.425564691055172"/>
    <n v="92.907135896285183"/>
    <n v="97.685160784004609"/>
    <n v="102.88103845892019"/>
    <n v="108.45420564023998"/>
    <n v="114.44151317226959"/>
    <n v="120.83481447028024"/>
    <n v="127.67222091260936"/>
    <n v="134.96318791562499"/>
    <n v="142.81359382276298"/>
    <n v="151.25021632872654"/>
    <n v="160.12235020602253"/>
    <n v="169.35403400888291"/>
  </r>
  <r>
    <x v="4"/>
    <x v="7"/>
    <x v="36"/>
    <x v="49"/>
    <x v="51"/>
    <n v="215.06037849499381"/>
    <n v="229.42060635823435"/>
    <n v="245.04947719201451"/>
    <n v="261.9702327803825"/>
    <n v="280.36547050362282"/>
    <n v="300.46408009777008"/>
    <n v="322.64716895561173"/>
    <n v="347.15595075615613"/>
    <n v="373.90746772023346"/>
    <n v="402.81981662191356"/>
    <n v="433.55080606425645"/>
    <n v="465.95929769784595"/>
    <n v="500.24249199028952"/>
  </r>
  <r>
    <x v="5"/>
    <x v="0"/>
    <x v="0"/>
    <x v="0"/>
    <x v="0"/>
    <n v="29.328513413667434"/>
    <n v="32.553095654261128"/>
    <n v="36.138178963939865"/>
    <n v="40.216920638965547"/>
    <n v="44.835817810960918"/>
    <n v="50.041309092866385"/>
    <n v="55.861244750890272"/>
    <n v="62.311500679914758"/>
    <n v="69.445831843124481"/>
    <n v="77.488468082190565"/>
    <n v="86.571873444805476"/>
    <n v="96.7298969473608"/>
    <n v="108.00048606928658"/>
  </r>
  <r>
    <x v="5"/>
    <x v="0"/>
    <x v="1"/>
    <x v="1"/>
    <x v="1"/>
    <n v="69.445443292893799"/>
    <n v="75.404407582418628"/>
    <n v="81.589882380066953"/>
    <n v="88.1398445481057"/>
    <n v="95.323209295572383"/>
    <n v="103.41735493033984"/>
    <n v="112.64803875410976"/>
    <n v="122.9487714129536"/>
    <n v="134.10414171091634"/>
    <n v="146.13696659667215"/>
    <n v="159.23579126485433"/>
    <n v="173.62379271002899"/>
    <n v="189.25057480745627"/>
  </r>
  <r>
    <x v="5"/>
    <x v="0"/>
    <x v="2"/>
    <x v="2"/>
    <x v="2"/>
    <n v="178.77243485056786"/>
    <n v="191.28827106825415"/>
    <n v="204.99915322820351"/>
    <n v="220.03444929066242"/>
    <n v="236.6125511368358"/>
    <n v="255.07066720433409"/>
    <n v="275.56386353047293"/>
    <n v="298.25467677141313"/>
    <n v="322.91334265071026"/>
    <n v="349.3954262404763"/>
    <n v="377.35051140200301"/>
    <n v="406.66179496891726"/>
    <n v="437.61220461781585"/>
  </r>
  <r>
    <x v="5"/>
    <x v="1"/>
    <x v="3"/>
    <x v="3"/>
    <x v="3"/>
    <n v="11.328845664153922"/>
    <n v="12.609625736532175"/>
    <n v="14.050966141140181"/>
    <n v="15.646520408584292"/>
    <n v="17.391964437503045"/>
    <n v="19.323425096242762"/>
    <n v="21.479045392113225"/>
    <n v="23.939572556457755"/>
    <n v="26.759768461832078"/>
    <n v="29.932266731369943"/>
    <n v="33.503329012434477"/>
    <n v="37.466932738498855"/>
    <n v="41.843249303642672"/>
  </r>
  <r>
    <x v="5"/>
    <x v="1"/>
    <x v="3"/>
    <x v="3"/>
    <x v="4"/>
    <n v="18.062428912806645"/>
    <n v="19.639966561953777"/>
    <n v="21.281099770690254"/>
    <n v="23.022091960011526"/>
    <n v="24.933612733411451"/>
    <n v="27.08894551900816"/>
    <n v="29.548265263573636"/>
    <n v="32.295425298694852"/>
    <n v="35.275068194823263"/>
    <n v="38.494189193444178"/>
    <n v="42.003477532270644"/>
    <n v="45.86304251489026"/>
    <n v="50.061065990602224"/>
  </r>
  <r>
    <x v="5"/>
    <x v="1"/>
    <x v="3"/>
    <x v="3"/>
    <x v="5"/>
    <n v="26.999374972286688"/>
    <n v="28.618611123573842"/>
    <n v="30.340040802443944"/>
    <n v="32.280976658024699"/>
    <n v="34.630017685293666"/>
    <n v="37.434270228408565"/>
    <n v="40.65079412640965"/>
    <n v="44.121778605244835"/>
    <n v="47.620879064619643"/>
    <n v="51.126056236035794"/>
    <n v="54.541730333568978"/>
    <n v="57.911364439039033"/>
    <n v="61.253232124555836"/>
  </r>
  <r>
    <x v="5"/>
    <x v="1"/>
    <x v="3"/>
    <x v="4"/>
    <x v="6"/>
    <n v="50.498381548346316"/>
    <n v="54.212037270747132"/>
    <n v="58.28914897924988"/>
    <n v="62.770035633573748"/>
    <n v="67.720923473463159"/>
    <n v="73.242893934545791"/>
    <n v="79.386026471553507"/>
    <n v="86.203176641518795"/>
    <n v="93.634473252964682"/>
    <n v="101.64397489015097"/>
    <n v="110.13532209993792"/>
    <n v="119.07905483499329"/>
    <n v="128.5623551435099"/>
  </r>
  <r>
    <x v="5"/>
    <x v="1"/>
    <x v="3"/>
    <x v="5"/>
    <x v="7"/>
    <n v="31.792653930057501"/>
    <n v="34.1023730861967"/>
    <n v="36.451081565068009"/>
    <n v="38.897703930848202"/>
    <n v="41.556021222352399"/>
    <n v="44.537842436631571"/>
    <n v="47.927093484993648"/>
    <n v="51.67898686311181"/>
    <n v="55.687904970560467"/>
    <n v="59.95187636904911"/>
    <n v="64.536725977799847"/>
    <n v="69.518844316791004"/>
    <n v="74.861040723635512"/>
  </r>
  <r>
    <x v="5"/>
    <x v="1"/>
    <x v="3"/>
    <x v="6"/>
    <x v="8"/>
    <n v="20.568578521328806"/>
    <n v="21.866888759142491"/>
    <n v="23.251158521314924"/>
    <n v="24.786646690351962"/>
    <n v="26.472724630535598"/>
    <n v="28.306628470632862"/>
    <n v="30.273278707737916"/>
    <n v="32.35133616820864"/>
    <n v="34.540507586578372"/>
    <n v="36.923308347807627"/>
    <n v="39.522587975700993"/>
    <n v="42.309339267100199"/>
    <n v="45.257882604473636"/>
  </r>
  <r>
    <x v="5"/>
    <x v="1"/>
    <x v="3"/>
    <x v="7"/>
    <x v="9"/>
    <n v="33.588718841143596"/>
    <n v="36.523338131450636"/>
    <n v="39.775224973863622"/>
    <n v="43.382938401478377"/>
    <n v="47.404646431424212"/>
    <n v="51.925589350146844"/>
    <n v="56.998850659317277"/>
    <n v="62.681780121181838"/>
    <n v="68.952205939363139"/>
    <n v="75.803931063283642"/>
    <n v="83.184898727674522"/>
    <n v="91.090447166942582"/>
    <n v="99.604470240622604"/>
  </r>
  <r>
    <x v="5"/>
    <x v="1"/>
    <x v="3"/>
    <x v="8"/>
    <x v="10"/>
    <n v="37.547172515772147"/>
    <n v="39.822984982460866"/>
    <n v="42.307136284930529"/>
    <n v="44.963896600797391"/>
    <n v="47.712468810849046"/>
    <n v="50.603648119034965"/>
    <n v="53.674977645749976"/>
    <n v="57.010038726677919"/>
    <n v="60.639036578702154"/>
    <n v="64.57093005170735"/>
    <n v="68.732321182063913"/>
    <n v="73.053195859789625"/>
    <n v="77.587296486514447"/>
  </r>
  <r>
    <x v="5"/>
    <x v="1"/>
    <x v="4"/>
    <x v="9"/>
    <x v="11"/>
    <n v="7.3530649137751505"/>
    <n v="8.1715147932340404"/>
    <n v="9.0946833188737859"/>
    <n v="10.137303669978417"/>
    <n v="11.319725296743783"/>
    <n v="12.670251277458094"/>
    <n v="14.211468800334556"/>
    <n v="15.968583952576283"/>
    <n v="17.948272814841953"/>
    <n v="20.161426063698535"/>
    <n v="22.607154435260941"/>
    <n v="25.296817510767088"/>
    <n v="28.266813383524244"/>
  </r>
  <r>
    <x v="5"/>
    <x v="1"/>
    <x v="4"/>
    <x v="10"/>
    <x v="12"/>
    <n v="5.7796851333587638"/>
    <n v="6.5148166611175737"/>
    <n v="7.3446456199168502"/>
    <n v="8.3002609664652773"/>
    <n v="9.3966831613896264"/>
    <n v="10.649697846936087"/>
    <n v="12.071942995116107"/>
    <n v="13.674065553818805"/>
    <n v="15.475485874544272"/>
    <n v="17.534606922822128"/>
    <n v="19.892450119243207"/>
    <n v="22.56960809144379"/>
    <n v="25.588550367652815"/>
  </r>
  <r>
    <x v="5"/>
    <x v="1"/>
    <x v="4"/>
    <x v="11"/>
    <x v="13"/>
    <n v="5.0477232571547423"/>
    <n v="5.5098777588950565"/>
    <n v="6.0212330970246049"/>
    <n v="6.5755298756806333"/>
    <n v="7.1677025045018548"/>
    <n v="7.8096205846449003"/>
    <n v="8.5129317457438081"/>
    <n v="9.3051198097338403"/>
    <n v="10.20126817401713"/>
    <n v="11.191372868322189"/>
    <n v="12.28596770389211"/>
    <n v="13.475335631281366"/>
    <n v="14.759629720554086"/>
  </r>
  <r>
    <x v="5"/>
    <x v="1"/>
    <x v="4"/>
    <x v="12"/>
    <x v="14"/>
    <n v="6.2719308483052183"/>
    <n v="6.8948530225103104"/>
    <n v="7.5536001857715069"/>
    <n v="8.2620545394733949"/>
    <n v="9.0470391367797784"/>
    <n v="9.9374834250325108"/>
    <n v="10.958736881392035"/>
    <n v="12.10888844879528"/>
    <n v="13.371155898042661"/>
    <n v="14.751576098147424"/>
    <n v="16.27312861478638"/>
    <n v="17.963382223425945"/>
    <n v="19.822859626163314"/>
  </r>
  <r>
    <x v="5"/>
    <x v="1"/>
    <x v="4"/>
    <x v="13"/>
    <x v="15"/>
    <n v="4.544903506093342"/>
    <n v="5.0372895723260598"/>
    <n v="5.563993084807386"/>
    <n v="6.1360234011183339"/>
    <n v="6.7743529768157771"/>
    <n v="7.5022088327915748"/>
    <n v="8.3408570462340155"/>
    <n v="9.2914808433535754"/>
    <n v="10.343853227689126"/>
    <n v="11.50503022651918"/>
    <n v="12.795481654828889"/>
    <n v="14.239922585568094"/>
    <n v="15.842396711802486"/>
  </r>
  <r>
    <x v="5"/>
    <x v="1"/>
    <x v="5"/>
    <x v="14"/>
    <x v="16"/>
    <n v="5.0816692786650517"/>
    <n v="5.5251322462800037"/>
    <n v="6.0165035319999491"/>
    <n v="6.5616018641184892"/>
    <n v="7.1692095908148286"/>
    <n v="7.8521999995388914"/>
    <n v="8.6185787811525216"/>
    <n v="9.4769936858339321"/>
    <n v="10.424066156943825"/>
    <n v="11.458833849448288"/>
    <n v="12.573402349110975"/>
    <n v="13.767043849218839"/>
    <n v="15.052414679852362"/>
  </r>
  <r>
    <x v="5"/>
    <x v="1"/>
    <x v="5"/>
    <x v="15"/>
    <x v="17"/>
    <n v="5.0927292760663816"/>
    <n v="5.4898871950533854"/>
    <n v="5.8972813375336841"/>
    <n v="6.3245778595287216"/>
    <n v="6.7905541546802421"/>
    <n v="7.3140384597498578"/>
    <n v="7.909650241928424"/>
    <n v="8.5710486176116163"/>
    <n v="9.2816681313392273"/>
    <n v="10.041882185494556"/>
    <n v="10.863421799272187"/>
    <n v="11.760023542087705"/>
    <n v="12.726475436194967"/>
  </r>
  <r>
    <x v="5"/>
    <x v="1"/>
    <x v="5"/>
    <x v="16"/>
    <x v="18"/>
    <n v="2.9665734196097993"/>
    <n v="3.3057656937297235"/>
    <n v="3.6712541117050748"/>
    <n v="4.0707207558650129"/>
    <n v="4.5186215378727255"/>
    <n v="5.0312268867171888"/>
    <n v="5.6238391996765547"/>
    <n v="6.2985421919572264"/>
    <n v="7.0497193925308546"/>
    <n v="7.8834028751894687"/>
    <n v="8.8149381271114375"/>
    <n v="9.8629178803578661"/>
    <n v="11.032008072731871"/>
  </r>
  <r>
    <x v="5"/>
    <x v="1"/>
    <x v="5"/>
    <x v="17"/>
    <x v="19"/>
    <n v="2.2788995405425156"/>
    <n v="2.4395711826377746"/>
    <n v="2.6164499682296976"/>
    <n v="2.8052810317542711"/>
    <n v="3.0039997933343821"/>
    <n v="3.2087846054476192"/>
    <n v="3.4285993393791965"/>
    <n v="3.6703294710258212"/>
    <n v="3.9413369869943331"/>
    <n v="4.2428652201696675"/>
    <n v="4.5688758721099916"/>
    <n v="4.9138444942647475"/>
    <n v="5.2784453343487447"/>
  </r>
  <r>
    <x v="5"/>
    <x v="1"/>
    <x v="5"/>
    <x v="18"/>
    <x v="20"/>
    <n v="2.7430574776624823"/>
    <n v="2.9612405270923636"/>
    <n v="3.2017132776464159"/>
    <n v="3.4670502300809174"/>
    <n v="3.761310665603554"/>
    <n v="4.0905761545720711"/>
    <n v="4.4582102530669472"/>
    <n v="4.8678013084787208"/>
    <n v="5.316645498363922"/>
    <n v="5.803331726679029"/>
    <n v="6.3229625945953964"/>
    <n v="6.874367679846765"/>
    <n v="7.4630795441768534"/>
  </r>
  <r>
    <x v="5"/>
    <x v="2"/>
    <x v="6"/>
    <x v="19"/>
    <x v="21"/>
    <n v="98.773956706561236"/>
    <n v="107.95750323667976"/>
    <n v="117.72806134400682"/>
    <n v="128.35676518707123"/>
    <n v="140.1590271065333"/>
    <n v="153.45866402320621"/>
    <n v="168.50928350500004"/>
    <n v="185.26027209286838"/>
    <n v="203.54997355404083"/>
    <n v="223.62543467886272"/>
    <n v="245.8076647096598"/>
    <n v="270.35368965738979"/>
    <n v="297.25106087674283"/>
  </r>
  <r>
    <x v="5"/>
    <x v="2"/>
    <x v="7"/>
    <x v="20"/>
    <x v="22"/>
    <n v="178.77243485056786"/>
    <n v="191.28827106825415"/>
    <n v="204.99915322820351"/>
    <n v="220.03444929066242"/>
    <n v="236.6125511368358"/>
    <n v="255.07066720433409"/>
    <n v="275.56386353047293"/>
    <n v="298.25467677141313"/>
    <n v="322.91334265071026"/>
    <n v="349.3954262404763"/>
    <n v="377.35051140200301"/>
    <n v="406.66179496891726"/>
    <n v="437.61220461781585"/>
  </r>
  <r>
    <x v="5"/>
    <x v="3"/>
    <x v="8"/>
    <x v="21"/>
    <x v="23"/>
    <n v="20.273254140792144"/>
    <n v="21.572431113080164"/>
    <n v="22.981829168416468"/>
    <n v="24.466071474035981"/>
    <n v="25.997238898792471"/>
    <n v="27.611233210255033"/>
    <n v="29.339235226997403"/>
    <n v="31.263399013364875"/>
    <n v="33.415361852175813"/>
    <n v="35.740512910232489"/>
    <n v="38.25426103030572"/>
    <n v="40.906555083208268"/>
    <n v="43.681381595575758"/>
  </r>
  <r>
    <x v="5"/>
    <x v="3"/>
    <x v="9"/>
    <x v="22"/>
    <x v="24"/>
    <n v="51.048807367323754"/>
    <n v="54.51715344360467"/>
    <n v="58.015224409996513"/>
    <n v="61.63612928110512"/>
    <n v="65.558254614346225"/>
    <n v="69.953709831897427"/>
    <n v="74.947742681435116"/>
    <n v="80.462071818704615"/>
    <n v="86.325002645606631"/>
    <n v="92.528436465380722"/>
    <n v="99.168999034636215"/>
    <n v="106.35780867196311"/>
    <n v="114.03020615227855"/>
  </r>
  <r>
    <x v="5"/>
    <x v="3"/>
    <x v="10"/>
    <x v="23"/>
    <x v="25"/>
    <n v="83.914416809759018"/>
    <n v="90.719073023137526"/>
    <n v="98.689798107604418"/>
    <n v="108.00645934578282"/>
    <n v="118.68304714666124"/>
    <n v="130.81283094176194"/>
    <n v="144.24126464138163"/>
    <n v="159.10772349815068"/>
    <n v="175.39562222571737"/>
    <n v="193.22146799037102"/>
    <n v="212.23386836941745"/>
    <n v="232.2521932932458"/>
    <n v="253.69433287137537"/>
  </r>
  <r>
    <x v="5"/>
    <x v="3"/>
    <x v="11"/>
    <x v="24"/>
    <x v="26"/>
    <n v="61.223949761937398"/>
    <n v="66.621968035605533"/>
    <n v="72.244278364348688"/>
    <n v="78.214520676017628"/>
    <n v="84.773605104758047"/>
    <n v="92.172068972228004"/>
    <n v="100.61661405984674"/>
    <n v="110.05468365836506"/>
    <n v="120.29993989227418"/>
    <n v="131.37812369961375"/>
    <n v="143.46418155207414"/>
    <n v="156.76576980181667"/>
    <n v="171.24532230586561"/>
  </r>
  <r>
    <x v="5"/>
    <x v="3"/>
    <x v="12"/>
    <x v="25"/>
    <x v="27"/>
    <n v="21.354363297060665"/>
    <n v="23.107721904372919"/>
    <n v="25.051260276184252"/>
    <n v="27.149914856865685"/>
    <n v="29.38818310298279"/>
    <n v="31.732608107699452"/>
    <n v="34.274635772920597"/>
    <n v="37.088848812614209"/>
    <n v="40.257760033813142"/>
    <n v="43.804780472327032"/>
    <n v="47.678922475156405"/>
    <n v="51.83212587608061"/>
    <n v="56.279446155305585"/>
  </r>
  <r>
    <x v="5"/>
    <x v="3"/>
    <x v="13"/>
    <x v="26"/>
    <x v="28"/>
    <n v="39.731600180256102"/>
    <n v="42.70742678513308"/>
    <n v="45.744824245659927"/>
    <n v="48.918118843926464"/>
    <n v="52.371249375828313"/>
    <n v="56.246880163698407"/>
    <n v="60.653654652891483"/>
    <n v="65.538222063082074"/>
    <n v="70.769629555163931"/>
    <n v="76.347539381414023"/>
    <n v="82.357943650072826"/>
    <n v="88.901031899992574"/>
    <n v="95.932576414157722"/>
  </r>
  <r>
    <x v="5"/>
    <x v="4"/>
    <x v="14"/>
    <x v="27"/>
    <x v="29"/>
    <n v="112.4864515848062"/>
    <n v="122.66962708544283"/>
    <n v="133.31132100234942"/>
    <n v="144.64268522116089"/>
    <n v="157.11374812748491"/>
    <n v="171.19629474604076"/>
    <n v="187.28477280930656"/>
    <n v="205.29443356741416"/>
    <n v="224.89020254804225"/>
    <n v="246.13054982878819"/>
    <n v="269.35396538708159"/>
    <n v="294.96326391196681"/>
    <n v="322.90332188239944"/>
  </r>
  <r>
    <x v="5"/>
    <x v="4"/>
    <x v="15"/>
    <x v="28"/>
    <x v="30"/>
    <n v="165.05993997232287"/>
    <n v="176.57614721949108"/>
    <n v="189.41589356986088"/>
    <n v="203.74852925657279"/>
    <n v="219.6578301158842"/>
    <n v="237.33303648149953"/>
    <n v="256.78837422616641"/>
    <n v="278.22051529686735"/>
    <n v="301.57311365670887"/>
    <n v="326.89031109055088"/>
    <n v="353.8042107245812"/>
    <n v="382.05222071434025"/>
    <n v="411.95994361215918"/>
  </r>
  <r>
    <x v="5"/>
    <x v="5"/>
    <x v="16"/>
    <x v="29"/>
    <x v="31"/>
    <n v="11.673783305447323"/>
    <n v="12.862650099103984"/>
    <n v="14.174950061955377"/>
    <n v="15.659902356715527"/>
    <n v="17.331492599194977"/>
    <n v="19.203205717702527"/>
    <n v="21.280922781270935"/>
    <n v="23.565706227824339"/>
    <n v="26.072822889470757"/>
    <n v="28.881006381999278"/>
    <n v="32.032398187791756"/>
    <n v="35.531298373823539"/>
    <n v="39.383240274861357"/>
  </r>
  <r>
    <x v="5"/>
    <x v="5"/>
    <x v="17"/>
    <x v="30"/>
    <x v="32"/>
    <n v="68.465854197532252"/>
    <n v="74.184618391685291"/>
    <n v="80.062162188970944"/>
    <n v="86.527677786267304"/>
    <n v="94.192894560842262"/>
    <n v="103.57192185351471"/>
    <n v="114.67238016280999"/>
    <n v="127.18417489232473"/>
    <n v="140.45791662926592"/>
    <n v="154.4398926110407"/>
    <n v="169.39795170697727"/>
    <n v="185.7050435778807"/>
    <n v="203.37816768237838"/>
  </r>
  <r>
    <x v="5"/>
    <x v="5"/>
    <x v="18"/>
    <x v="31"/>
    <x v="33"/>
    <n v="24.319760231744205"/>
    <n v="26.251888216102991"/>
    <n v="28.383924437474008"/>
    <n v="30.700953208665329"/>
    <n v="33.155898885416477"/>
    <n v="35.789492972145013"/>
    <n v="38.635780703386601"/>
    <n v="41.764085936001869"/>
    <n v="45.209212355615392"/>
    <n v="48.992125338593794"/>
    <n v="53.072266413450485"/>
    <n v="57.408270610633913"/>
    <n v="62.052627737193312"/>
  </r>
  <r>
    <x v="5"/>
    <x v="5"/>
    <x v="19"/>
    <x v="32"/>
    <x v="34"/>
    <n v="56.574125624332545"/>
    <n v="61.393105913499056"/>
    <n v="66.745352837673636"/>
    <n v="72.541959844728552"/>
    <n v="78.745259852864137"/>
    <n v="85.269036953597407"/>
    <n v="92.361709823225567"/>
    <n v="100.22907417397759"/>
    <n v="109.10067701512462"/>
    <n v="119.04846954930515"/>
    <n v="129.94298397379924"/>
    <n v="141.66123369778182"/>
    <n v="154.25131626917803"/>
  </r>
  <r>
    <x v="5"/>
    <x v="5"/>
    <x v="20"/>
    <x v="33"/>
    <x v="35"/>
    <n v="22.968663031162997"/>
    <n v="24.989047828571831"/>
    <n v="27.213330058315503"/>
    <n v="29.674148497328606"/>
    <n v="32.402355728929741"/>
    <n v="35.433080681441943"/>
    <n v="38.801275009165181"/>
    <n v="42.516711333320472"/>
    <n v="46.587212588515179"/>
    <n v="51.026011039158746"/>
    <n v="55.845456541958264"/>
    <n v="61.090185124561131"/>
    <n v="66.768215897084204"/>
  </r>
  <r>
    <x v="5"/>
    <x v="5"/>
    <x v="21"/>
    <x v="34"/>
    <x v="36"/>
    <n v="50.953738749590535"/>
    <n v="53.900408677247874"/>
    <n v="57.107319421216154"/>
    <n v="60.600210488095463"/>
    <n v="64.427939879616119"/>
    <n v="68.669250401315935"/>
    <n v="73.349995912132741"/>
    <n v="78.496498029036957"/>
    <n v="84.030262925657965"/>
    <n v="89.898121278812852"/>
    <n v="95.995937690466519"/>
    <n v="102.28338028897042"/>
    <n v="108.82224405800605"/>
  </r>
  <r>
    <x v="5"/>
    <x v="5"/>
    <x v="22"/>
    <x v="35"/>
    <x v="37"/>
    <n v="42.59046641731922"/>
    <n v="45.664055178722869"/>
    <n v="49.040175566604674"/>
    <n v="52.686362295932874"/>
    <n v="56.515736736505374"/>
    <n v="60.593342647822766"/>
    <n v="64.971082643481964"/>
    <n v="69.758698271795538"/>
    <n v="75.005211801101254"/>
    <n v="80.735234720428494"/>
    <n v="86.871181597219277"/>
    <n v="93.336072952655542"/>
    <n v="100.20745357585726"/>
  </r>
  <r>
    <x v="6"/>
    <x v="0"/>
    <x v="0"/>
    <x v="0"/>
    <x v="0"/>
    <n v="31.476303600842545"/>
    <n v="35.234647900937517"/>
    <n v="39.512216600266463"/>
    <n v="44.295921409740529"/>
    <n v="49.599723379469751"/>
    <n v="55.406313719518508"/>
    <n v="61.911144593225906"/>
    <n v="69.303480121088768"/>
    <n v="77.809489408414777"/>
    <n v="87.566981443568153"/>
    <n v="98.577274804912889"/>
    <n v="110.84051844769955"/>
    <n v="124.4846521158595"/>
  </r>
  <r>
    <x v="6"/>
    <x v="0"/>
    <x v="1"/>
    <x v="1"/>
    <x v="1"/>
    <n v="77.323575844596277"/>
    <n v="84.268879839370257"/>
    <n v="91.92630174176935"/>
    <n v="100.40977421187978"/>
    <n v="109.82795891168307"/>
    <n v="120.30474743196392"/>
    <n v="131.96426690109126"/>
    <n v="144.84584740289492"/>
    <n v="158.98243841256189"/>
    <n v="174.42566899312575"/>
    <n v="191.22449944369575"/>
    <n v="209.53877337602216"/>
    <n v="229.40382266291249"/>
  </r>
  <r>
    <x v="6"/>
    <x v="0"/>
    <x v="2"/>
    <x v="2"/>
    <x v="2"/>
    <n v="204.9651171765409"/>
    <n v="222.05968753881268"/>
    <n v="241.02410444328274"/>
    <n v="261.52778555733374"/>
    <n v="283.42699073982709"/>
    <n v="306.4041353020433"/>
    <n v="331.34614885851312"/>
    <n v="358.98119297702488"/>
    <n v="390.11766841375425"/>
    <n v="424.99510079080318"/>
    <n v="463.132322264278"/>
    <n v="504.07430321739218"/>
    <n v="547.97765538645331"/>
  </r>
  <r>
    <x v="6"/>
    <x v="1"/>
    <x v="3"/>
    <x v="3"/>
    <x v="3"/>
    <n v="12.373431280220943"/>
    <n v="13.856774594685618"/>
    <n v="15.545656617645657"/>
    <n v="17.43519993076276"/>
    <n v="19.531166502124542"/>
    <n v="21.827015864307032"/>
    <n v="24.400013376018041"/>
    <n v="27.325119265765927"/>
    <n v="30.691974450978755"/>
    <n v="34.555520806656034"/>
    <n v="38.916933996787137"/>
    <n v="43.776932209405345"/>
    <n v="49.18670901076726"/>
  </r>
  <r>
    <x v="6"/>
    <x v="1"/>
    <x v="3"/>
    <x v="3"/>
    <x v="4"/>
    <n v="19.999149867362934"/>
    <n v="21.896695669762565"/>
    <n v="24.01807652007636"/>
    <n v="26.336973528684581"/>
    <n v="28.844639417489489"/>
    <n v="31.514152814164362"/>
    <n v="34.441229027242919"/>
    <n v="37.709058410169916"/>
    <n v="41.412640630325924"/>
    <n v="45.590402614545269"/>
    <n v="50.204819556641631"/>
    <n v="55.219343365250189"/>
    <n v="60.662643624510046"/>
  </r>
  <r>
    <x v="6"/>
    <x v="1"/>
    <x v="3"/>
    <x v="3"/>
    <x v="5"/>
    <n v="29.949150619781129"/>
    <n v="32.497894199433588"/>
    <n v="35.490418805183189"/>
    <n v="38.633917448568184"/>
    <n v="42.046261219851438"/>
    <n v="45.060241898057072"/>
    <n v="48.295409825224652"/>
    <n v="51.814031624901247"/>
    <n v="56.076277259808791"/>
    <n v="61.129116032684635"/>
    <n v="66.301325678716381"/>
    <n v="71.558259609214389"/>
    <n v="76.887148249210583"/>
  </r>
  <r>
    <x v="6"/>
    <x v="1"/>
    <x v="3"/>
    <x v="4"/>
    <x v="6"/>
    <n v="57.85202928503206"/>
    <n v="62.852298668686259"/>
    <n v="68.363316950059243"/>
    <n v="74.30628011430025"/>
    <n v="80.617264678559593"/>
    <n v="87.423945455683238"/>
    <n v="94.849040204993486"/>
    <n v="103.1893105800596"/>
    <n v="112.59832327113548"/>
    <n v="122.94971775338048"/>
    <n v="134.34494942042349"/>
    <n v="146.66196954866555"/>
    <n v="159.88824635566726"/>
  </r>
  <r>
    <x v="6"/>
    <x v="1"/>
    <x v="3"/>
    <x v="5"/>
    <x v="7"/>
    <n v="35.483059506084238"/>
    <n v="38.358560787023322"/>
    <n v="41.534897332695571"/>
    <n v="44.991580984323527"/>
    <n v="48.660871472644075"/>
    <n v="52.603497261993958"/>
    <n v="56.870717009689258"/>
    <n v="61.566019937769568"/>
    <n v="66.742616437931147"/>
    <n v="72.433598035586925"/>
    <n v="78.581286775967385"/>
    <n v="85.126469322783436"/>
    <n v="92.148752726359689"/>
  </r>
  <r>
    <x v="6"/>
    <x v="1"/>
    <x v="3"/>
    <x v="6"/>
    <x v="8"/>
    <n v="23.360999099052243"/>
    <n v="25.044763521353577"/>
    <n v="26.881192690023799"/>
    <n v="28.832118737593582"/>
    <n v="30.866970710259302"/>
    <n v="33.030000653541833"/>
    <n v="35.361121810426305"/>
    <n v="37.962847245262594"/>
    <n v="40.879376155834493"/>
    <n v="44.050629480465531"/>
    <n v="47.500933524824347"/>
    <n v="51.173984714719225"/>
    <n v="55.054296820217829"/>
  </r>
  <r>
    <x v="6"/>
    <x v="1"/>
    <x v="3"/>
    <x v="7"/>
    <x v="9"/>
    <n v="38.489046581921478"/>
    <n v="42.248795140497229"/>
    <n v="46.38355486924133"/>
    <n v="51.049822174465639"/>
    <n v="56.286828942237548"/>
    <n v="62.131527768369303"/>
    <n v="68.595643340228392"/>
    <n v="75.675114345896105"/>
    <n v="83.411472491705098"/>
    <n v="92.048583681538616"/>
    <n v="101.70993538836599"/>
    <n v="112.39689267789383"/>
    <n v="124.11456990294408"/>
  </r>
  <r>
    <x v="6"/>
    <x v="1"/>
    <x v="3"/>
    <x v="8"/>
    <x v="10"/>
    <n v="43.246302303890971"/>
    <n v="46.143344498885746"/>
    <n v="49.316027613109178"/>
    <n v="52.727427015975906"/>
    <n v="56.286828942237548"/>
    <n v="60.056535808109231"/>
    <n v="64.084594421084503"/>
    <n v="68.475135622414285"/>
    <n v="73.27063381065939"/>
    <n v="78.488839213443882"/>
    <n v="84.047740280898054"/>
    <n v="89.867418225200495"/>
    <n v="96.018215275484991"/>
  </r>
  <r>
    <x v="6"/>
    <x v="1"/>
    <x v="4"/>
    <x v="9"/>
    <x v="11"/>
    <n v="7.7651846045273771"/>
    <n v="8.7296148231858126"/>
    <n v="9.8247385844492001"/>
    <n v="11.049876262453065"/>
    <n v="12.405687955616841"/>
    <n v="13.921653902715827"/>
    <n v="15.629830600912715"/>
    <n v="17.594488815872367"/>
    <n v="19.863285212621495"/>
    <n v="22.439538700545768"/>
    <n v="25.366760025731359"/>
    <n v="28.650468460570494"/>
    <n v="32.316274835316243"/>
  </r>
  <r>
    <x v="6"/>
    <x v="1"/>
    <x v="4"/>
    <x v="10"/>
    <x v="12"/>
    <n v="6.1251453281218753"/>
    <n v="6.9432784763047355"/>
    <n v="7.8719622333439148"/>
    <n v="8.9463886673966577"/>
    <n v="10.185214625039507"/>
    <n v="11.608331129778607"/>
    <n v="13.232629297444772"/>
    <n v="15.073179945420744"/>
    <n v="17.155045306098256"/>
    <n v="19.547045869153422"/>
    <n v="22.300154563483989"/>
    <n v="25.443559504852185"/>
    <n v="29.009186119706403"/>
  </r>
  <r>
    <x v="6"/>
    <x v="1"/>
    <x v="4"/>
    <x v="11"/>
    <x v="13"/>
    <n v="5.8676752975183604"/>
    <n v="6.4381165570554959"/>
    <n v="7.0396968684513839"/>
    <n v="7.685158493467263"/>
    <n v="8.3991817287055657"/>
    <n v="9.2082109262145"/>
    <n v="10.135168025135751"/>
    <n v="11.177585053832434"/>
    <n v="12.319281435665539"/>
    <n v="13.565219144451598"/>
    <n v="14.935898115182537"/>
    <n v="16.455869493577662"/>
    <n v="18.124715667669985"/>
  </r>
  <r>
    <x v="6"/>
    <x v="1"/>
    <x v="4"/>
    <x v="12"/>
    <x v="14"/>
    <n v="6.4504020231133667"/>
    <n v="7.1451637995794997"/>
    <n v="7.9273880449331662"/>
    <n v="8.7985539461082887"/>
    <n v="9.7507741907961165"/>
    <n v="10.800855442663861"/>
    <n v="11.965080087332176"/>
    <n v="13.272032692275376"/>
    <n v="14.741931845451928"/>
    <n v="16.392101923300491"/>
    <n v="18.220526552242887"/>
    <n v="20.224082182421096"/>
    <n v="22.43178230540687"/>
  </r>
  <r>
    <x v="6"/>
    <x v="1"/>
    <x v="4"/>
    <x v="13"/>
    <x v="15"/>
    <n v="4.822666249624187"/>
    <n v="5.3856031333076215"/>
    <n v="6.0237705296547404"/>
    <n v="6.7400703779113691"/>
    <n v="7.5303008602187829"/>
    <n v="8.4091706663831243"/>
    <n v="9.3914380287774986"/>
    <n v="10.501971835838525"/>
    <n v="11.759799796503664"/>
    <n v="13.182220385696032"/>
    <n v="14.771495888020581"/>
    <n v="16.529015567891513"/>
    <n v="18.482430633364682"/>
  </r>
  <r>
    <x v="6"/>
    <x v="1"/>
    <x v="5"/>
    <x v="14"/>
    <x v="16"/>
    <n v="6.4492691809352394"/>
    <n v="7.0906002037068632"/>
    <n v="7.7689243278014679"/>
    <n v="8.4985326024030829"/>
    <n v="9.3070338084190709"/>
    <n v="10.224216163728812"/>
    <n v="11.276198082523829"/>
    <n v="12.461059503233795"/>
    <n v="13.761575906302463"/>
    <n v="15.18400058444572"/>
    <n v="16.752029112857798"/>
    <n v="18.494092081029883"/>
    <n v="20.410787837351414"/>
  </r>
  <r>
    <x v="6"/>
    <x v="1"/>
    <x v="5"/>
    <x v="15"/>
    <x v="17"/>
    <n v="6.0689184228757771"/>
    <n v="6.5696145703743358"/>
    <n v="7.1128234029691431"/>
    <n v="7.7203998741469348"/>
    <n v="8.3951960366482865"/>
    <n v="9.1394795486840401"/>
    <n v="9.9515892988802701"/>
    <n v="10.82756751808772"/>
    <n v="11.770099876048249"/>
    <n v="12.810180665289623"/>
    <n v="13.96024508488067"/>
    <n v="15.215145561331827"/>
    <n v="16.570370616190651"/>
  </r>
  <r>
    <x v="6"/>
    <x v="1"/>
    <x v="5"/>
    <x v="16"/>
    <x v="18"/>
    <n v="3.6456501890074202"/>
    <n v="4.0789521125662214"/>
    <n v="4.564501706445184"/>
    <n v="5.1203332257656351"/>
    <n v="5.7540107666915219"/>
    <n v="6.4733120027043762"/>
    <n v="7.2838361634236595"/>
    <n v="8.1897759616533659"/>
    <n v="9.2004115567169862"/>
    <n v="10.347878975648067"/>
    <n v="11.653058660418731"/>
    <n v="13.124185000819523"/>
    <n v="14.770267261164463"/>
  </r>
  <r>
    <x v="6"/>
    <x v="1"/>
    <x v="5"/>
    <x v="17"/>
    <x v="19"/>
    <n v="2.6588107740006079"/>
    <n v="2.8537023533741492"/>
    <n v="3.0658691334061725"/>
    <n v="3.2981533827996694"/>
    <n v="3.5530230417275517"/>
    <n v="3.833256046534081"/>
    <n v="4.1414326598438631"/>
    <n v="4.4772744345529665"/>
    <n v="4.8402760517696048"/>
    <n v="5.2304843375030217"/>
    <n v="5.6478161946757419"/>
    <n v="6.0954206676606439"/>
    <n v="6.5725865035319693"/>
  </r>
  <r>
    <x v="6"/>
    <x v="1"/>
    <x v="5"/>
    <x v="18"/>
    <x v="20"/>
    <n v="3.1581060089094657"/>
    <n v="3.4294421693378325"/>
    <n v="3.729806555829871"/>
    <n v="4.0626944118276418"/>
    <n v="4.4334181317131396"/>
    <n v="4.849793099892497"/>
    <n v="5.3165890936481039"/>
    <n v="5.838947708001883"/>
    <n v="6.414574739173668"/>
    <n v="7.0426730231618411"/>
    <n v="7.7181876927679332"/>
    <n v="8.4404868478266053"/>
    <n v="9.2171464203609226"/>
  </r>
  <r>
    <x v="6"/>
    <x v="2"/>
    <x v="6"/>
    <x v="19"/>
    <x v="21"/>
    <n v="108.79987944543882"/>
    <n v="119.50352774030777"/>
    <n v="131.43851834203582"/>
    <n v="144.70569562162029"/>
    <n v="159.42768229115282"/>
    <n v="175.71106115148243"/>
    <n v="193.87541149431718"/>
    <n v="214.14932752398369"/>
    <n v="236.79192782097667"/>
    <n v="261.99265043669391"/>
    <n v="289.80177424860864"/>
    <n v="320.3792918237217"/>
    <n v="353.88847477877198"/>
  </r>
  <r>
    <x v="6"/>
    <x v="2"/>
    <x v="7"/>
    <x v="20"/>
    <x v="22"/>
    <n v="204.9651171765409"/>
    <n v="222.05968753881268"/>
    <n v="241.02410444328274"/>
    <n v="261.52778555733374"/>
    <n v="283.42699073982709"/>
    <n v="306.4041353020433"/>
    <n v="331.34614885851312"/>
    <n v="358.98119297702488"/>
    <n v="390.11766841375425"/>
    <n v="424.99510079080318"/>
    <n v="463.132322264278"/>
    <n v="504.07430321739218"/>
    <n v="547.97765538645331"/>
  </r>
  <r>
    <x v="6"/>
    <x v="3"/>
    <x v="8"/>
    <x v="21"/>
    <x v="23"/>
    <n v="22.183041024056379"/>
    <n v="23.744426990392803"/>
    <n v="25.46320225822884"/>
    <n v="27.297905867486545"/>
    <n v="29.228408420044676"/>
    <n v="31.217493312287701"/>
    <n v="33.352347502974219"/>
    <n v="35.699901532155607"/>
    <n v="38.331691275924157"/>
    <n v="41.259713887174904"/>
    <n v="44.425151049693582"/>
    <n v="47.774206396161979"/>
    <n v="51.313372926288629"/>
  </r>
  <r>
    <x v="6"/>
    <x v="3"/>
    <x v="9"/>
    <x v="22"/>
    <x v="24"/>
    <n v="56.502898428052539"/>
    <n v="60.738448525461159"/>
    <n v="65.412979314004858"/>
    <n v="70.425465345601083"/>
    <n v="75.72814908829757"/>
    <n v="81.228156546717969"/>
    <n v="87.154696301885735"/>
    <n v="93.687955527182339"/>
    <n v="101.02325178289347"/>
    <n v="109.20226022303909"/>
    <n v="118.07985537758027"/>
    <n v="127.52171461246213"/>
    <n v="137.55209937040576"/>
  </r>
  <r>
    <x v="6"/>
    <x v="3"/>
    <x v="10"/>
    <x v="23"/>
    <x v="25"/>
    <n v="95.82804811316214"/>
    <n v="105.50560347148681"/>
    <n v="117.16487530507979"/>
    <n v="130.43546364312073"/>
    <n v="144.81347808113043"/>
    <n v="159.64439134937908"/>
    <n v="175.34335372744778"/>
    <n v="192.73484137709187"/>
    <n v="213.03926286283865"/>
    <n v="236.56814339439734"/>
    <n v="262.6896248329499"/>
    <n v="290.81586499490402"/>
    <n v="321.31402004488325"/>
  </r>
  <r>
    <x v="6"/>
    <x v="3"/>
    <x v="11"/>
    <x v="24"/>
    <x v="26"/>
    <n v="71.055602591232386"/>
    <n v="77.736414333372409"/>
    <n v="84.751747608277284"/>
    <n v="92.251730992330963"/>
    <n v="100.52801077803245"/>
    <n v="109.88989281439802"/>
    <n v="120.60097923227552"/>
    <n v="132.61961407966467"/>
    <n v="145.74183591249715"/>
    <n v="160.01607155770995"/>
    <n v="175.67337940936864"/>
    <n v="192.98968639453136"/>
    <n v="211.94477573861266"/>
  </r>
  <r>
    <x v="6"/>
    <x v="3"/>
    <x v="12"/>
    <x v="25"/>
    <x v="27"/>
    <n v="22.501927642194815"/>
    <n v="24.454997380019883"/>
    <n v="26.485214370694273"/>
    <n v="28.637585900986334"/>
    <n v="30.9998271121686"/>
    <n v="33.662726359693934"/>
    <n v="36.700600063731116"/>
    <n v="40.092820076429483"/>
    <n v="43.770120241632419"/>
    <n v="47.740738883976256"/>
    <n v="52.067085850091487"/>
    <n v="56.823122120848907"/>
    <n v="61.993543369531906"/>
  </r>
  <r>
    <x v="6"/>
    <x v="3"/>
    <x v="13"/>
    <x v="26"/>
    <x v="28"/>
    <n v="45.693478823281453"/>
    <n v="49.38332457838743"/>
    <n v="53.184603929033493"/>
    <n v="57.185329429428428"/>
    <n v="61.55679955130622"/>
    <n v="66.472536071049049"/>
    <n v="72.069583524515863"/>
    <n v="78.295387908484557"/>
    <n v="85.003434158945012"/>
    <n v="92.200823281199504"/>
    <n v="99.998999993202744"/>
    <n v="108.52900052220546"/>
    <n v="117.74831871550312"/>
  </r>
  <r>
    <x v="6"/>
    <x v="4"/>
    <x v="14"/>
    <x v="27"/>
    <x v="29"/>
    <n v="120.05901124867459"/>
    <n v="131.93737630040971"/>
    <n v="145.22419206581046"/>
    <n v="159.90964191704421"/>
    <n v="175.81330519329904"/>
    <n v="193.20502476492365"/>
    <n v="212.33608419964762"/>
    <n v="233.66736898178667"/>
    <n v="257.49701342476254"/>
    <n v="284.06210414775967"/>
    <n v="313.25586416071405"/>
    <n v="344.95450295026654"/>
    <n v="379.5849597657101"/>
  </r>
  <r>
    <x v="6"/>
    <x v="4"/>
    <x v="15"/>
    <x v="28"/>
    <x v="30"/>
    <n v="193.70598537330511"/>
    <n v="209.62583897871076"/>
    <n v="227.2384307195081"/>
    <n v="246.32383926190982"/>
    <n v="267.04136783768092"/>
    <n v="288.91017168860208"/>
    <n v="312.88547615318259"/>
    <n v="339.46315151922181"/>
    <n v="369.41258280996834"/>
    <n v="402.92564707973736"/>
    <n v="439.67823235217259"/>
    <n v="479.49909209084734"/>
    <n v="522.28117039951519"/>
  </r>
  <r>
    <x v="6"/>
    <x v="5"/>
    <x v="16"/>
    <x v="29"/>
    <x v="31"/>
    <n v="11.136607586816266"/>
    <n v="12.326573982866263"/>
    <n v="13.65660396575236"/>
    <n v="15.149490246363946"/>
    <n v="16.828477575177239"/>
    <n v="18.720389098486358"/>
    <n v="20.853521701651012"/>
    <n v="23.244266228102649"/>
    <n v="25.908709400067458"/>
    <n v="28.866666628938166"/>
    <n v="32.138411158603184"/>
    <n v="35.76375781443992"/>
    <n v="39.76336826713694"/>
  </r>
  <r>
    <x v="6"/>
    <x v="5"/>
    <x v="17"/>
    <x v="30"/>
    <x v="32"/>
    <n v="57.499471661129064"/>
    <n v="63.615645671409027"/>
    <n v="70.730166733138731"/>
    <n v="78.502743503249405"/>
    <n v="86.799515914072003"/>
    <n v="95.070574232476417"/>
    <n v="103.95790415805055"/>
    <n v="114.0444392815466"/>
    <n v="126.17216901923837"/>
    <n v="140.58212537958684"/>
    <n v="156.90353220645682"/>
    <n v="174.7054391626499"/>
    <n v="194.10086296645886"/>
  </r>
  <r>
    <x v="6"/>
    <x v="5"/>
    <x v="18"/>
    <x v="31"/>
    <x v="33"/>
    <n v="28.322112679569951"/>
    <n v="30.72983469154088"/>
    <n v="33.39656486018302"/>
    <n v="36.308644540739806"/>
    <n v="39.414065899757212"/>
    <n v="42.76409950866055"/>
    <n v="46.403060966233518"/>
    <n v="50.418520948485686"/>
    <n v="54.858145105523043"/>
    <n v="59.753738987063542"/>
    <n v="65.06266895516265"/>
    <n v="70.740379420385764"/>
    <n v="76.856998942589215"/>
  </r>
  <r>
    <x v="6"/>
    <x v="5"/>
    <x v="19"/>
    <x v="32"/>
    <x v="34"/>
    <n v="109.25042304126025"/>
    <n v="118.77314311019502"/>
    <n v="129.25033196990668"/>
    <n v="140.8348368120667"/>
    <n v="153.67057154175004"/>
    <n v="167.92130063217115"/>
    <n v="183.74945938188839"/>
    <n v="201.19775778497936"/>
    <n v="220.29954105744073"/>
    <n v="241.11362121947451"/>
    <n v="263.69445277910779"/>
    <n v="288.24876498841894"/>
    <n v="314.80989174950304"/>
  </r>
  <r>
    <x v="6"/>
    <x v="5"/>
    <x v="20"/>
    <x v="33"/>
    <x v="35"/>
    <n v="26.109293206563663"/>
    <n v="28.614296643262382"/>
    <n v="31.251556459147338"/>
    <n v="34.077141812052744"/>
    <n v="37.199792534602317"/>
    <n v="40.735549968919734"/>
    <n v="44.784327675311751"/>
    <n v="49.333379500795139"/>
    <n v="54.309488830345664"/>
    <n v="59.732975400828721"/>
    <n v="65.692475769071407"/>
    <n v="72.294024965711102"/>
    <n v="79.533463353033596"/>
  </r>
  <r>
    <x v="6"/>
    <x v="5"/>
    <x v="21"/>
    <x v="34"/>
    <x v="36"/>
    <n v="36.172915535559127"/>
    <n v="38.748626071772456"/>
    <n v="41.576239260006943"/>
    <n v="44.627535746324462"/>
    <n v="47.828304687345835"/>
    <n v="51.233168182488015"/>
    <n v="54.885439833173862"/>
    <n v="58.87713638341031"/>
    <n v="63.248694969907227"/>
    <n v="68.01982078406165"/>
    <n v="73.124044044920993"/>
    <n v="78.495638722923843"/>
    <n v="84.199065351202734"/>
  </r>
  <r>
    <x v="6"/>
    <x v="5"/>
    <x v="22"/>
    <x v="35"/>
    <x v="37"/>
    <n v="45.274172911081415"/>
    <n v="48.75509510807445"/>
    <n v="52.601159537183463"/>
    <n v="56.733088518156983"/>
    <n v="61.113944878275284"/>
    <n v="65.670114830323485"/>
    <n v="70.587846636521135"/>
    <n v="76.015020373688756"/>
    <n v="82.112847852208432"/>
    <n v="88.918802827543558"/>
    <n v="96.318511599563863"/>
    <n v="104.20558996658438"/>
    <n v="112.60247953530082"/>
  </r>
  <r>
    <x v="7"/>
    <x v="0"/>
    <x v="0"/>
    <x v="0"/>
    <x v="0"/>
    <n v="12.830985837157451"/>
    <n v="13.94076505047539"/>
    <n v="15.149087162502166"/>
    <n v="16.503571387251178"/>
    <n v="18.011910602441578"/>
    <n v="19.680647403781808"/>
    <n v="21.507951108977114"/>
    <n v="23.48699158806026"/>
    <n v="25.625240978068586"/>
    <n v="27.991905355424475"/>
    <n v="30.616644478455747"/>
    <n v="33.490978531466872"/>
    <n v="36.607689349124662"/>
  </r>
  <r>
    <x v="7"/>
    <x v="0"/>
    <x v="1"/>
    <x v="1"/>
    <x v="1"/>
    <n v="34.432134554240633"/>
    <n v="36.495924648411425"/>
    <n v="38.721647828062174"/>
    <n v="41.137963575415249"/>
    <n v="43.767259407801973"/>
    <n v="46.634423511024671"/>
    <n v="49.760475609593492"/>
    <n v="53.130790669067224"/>
    <n v="56.728494231255503"/>
    <n v="60.54374495098056"/>
    <n v="64.5654239157587"/>
    <n v="68.819658318301464"/>
    <n v="73.287451225401412"/>
  </r>
  <r>
    <x v="7"/>
    <x v="0"/>
    <x v="2"/>
    <x v="2"/>
    <x v="2"/>
    <n v="87.062754931609945"/>
    <n v="91.4104867296073"/>
    <n v="96.071098522794571"/>
    <n v="101.10543478495941"/>
    <n v="106.5564430966871"/>
    <n v="112.47132050164318"/>
    <n v="118.88591369332427"/>
    <n v="125.74928838999723"/>
    <n v="133.00679513411384"/>
    <n v="140.62204254395786"/>
    <n v="148.55678229435583"/>
    <n v="156.85966370071336"/>
    <n v="165.4744435874714"/>
  </r>
  <r>
    <x v="7"/>
    <x v="1"/>
    <x v="3"/>
    <x v="3"/>
    <x v="3"/>
    <n v="5.045323167046087"/>
    <n v="5.4823862967321153"/>
    <n v="5.9630545127624082"/>
    <n v="6.4943129749705877"/>
    <n v="7.082720921474106"/>
    <n v="7.7357393553475209"/>
    <n v="8.4607531044225226"/>
    <n v="9.2596194230938824"/>
    <n v="10.133760562420584"/>
    <n v="11.085767042569616"/>
    <n v="12.11802351454782"/>
    <n v="13.239907240676176"/>
    <n v="14.452812146388421"/>
  </r>
  <r>
    <x v="7"/>
    <x v="1"/>
    <x v="3"/>
    <x v="3"/>
    <x v="4"/>
    <n v="9.2181190972763574"/>
    <n v="9.8084699569281906"/>
    <n v="10.399580049563539"/>
    <n v="11.008097839366318"/>
    <n v="11.665657988310297"/>
    <n v="12.402312018386537"/>
    <n v="13.239359104267299"/>
    <n v="14.161829065478411"/>
    <n v="15.138520102935344"/>
    <n v="16.167365071808433"/>
    <n v="17.264619562151172"/>
    <n v="18.448820021636234"/>
    <n v="19.707735788796349"/>
  </r>
  <r>
    <x v="7"/>
    <x v="1"/>
    <x v="3"/>
    <x v="3"/>
    <x v="5"/>
    <n v="13.524460963889814"/>
    <n v="14.004257888779055"/>
    <n v="14.449718223662192"/>
    <n v="15.060998478350974"/>
    <n v="15.970841293520042"/>
    <n v="17.21947591329527"/>
    <n v="18.631578281873267"/>
    <n v="19.954605653528219"/>
    <n v="21.030970651801717"/>
    <n v="21.847593338497461"/>
    <n v="22.568825925783621"/>
    <n v="23.414619138753622"/>
    <n v="24.244352202523899"/>
  </r>
  <r>
    <x v="7"/>
    <x v="1"/>
    <x v="3"/>
    <x v="4"/>
    <x v="6"/>
    <n v="24.586608967318764"/>
    <n v="25.993170062523106"/>
    <n v="27.532184638204065"/>
    <n v="29.153144443081917"/>
    <n v="30.830667540534346"/>
    <n v="32.522503147765569"/>
    <n v="34.318019217912635"/>
    <n v="36.281298934955082"/>
    <n v="38.477832449179807"/>
    <n v="40.909955510652836"/>
    <n v="43.509445884180195"/>
    <n v="46.216099843851445"/>
    <n v="49.030802077117407"/>
  </r>
  <r>
    <x v="7"/>
    <x v="1"/>
    <x v="3"/>
    <x v="5"/>
    <x v="7"/>
    <n v="15.305555435330849"/>
    <n v="15.972202067500598"/>
    <n v="16.694505403934574"/>
    <n v="17.47729729804864"/>
    <n v="18.331748267344746"/>
    <n v="19.276857317453214"/>
    <n v="20.315671611323111"/>
    <n v="21.451098112898755"/>
    <n v="22.65713305195289"/>
    <n v="23.915869567350565"/>
    <n v="25.19670453343775"/>
    <n v="26.487343407275148"/>
    <n v="27.802558124472551"/>
  </r>
  <r>
    <x v="7"/>
    <x v="1"/>
    <x v="3"/>
    <x v="6"/>
    <x v="8"/>
    <n v="10.059418083436039"/>
    <n v="10.490486755080417"/>
    <n v="10.96100866156578"/>
    <n v="11.448980863418209"/>
    <n v="11.943411749936729"/>
    <n v="12.427345823384517"/>
    <n v="12.93503082853916"/>
    <n v="13.489325968744017"/>
    <n v="14.112338321283096"/>
    <n v="14.801757763270816"/>
    <n v="15.529790813602743"/>
    <n v="16.272926204501321"/>
    <n v="17.030380355218853"/>
  </r>
  <r>
    <x v="7"/>
    <x v="1"/>
    <x v="3"/>
    <x v="7"/>
    <x v="9"/>
    <n v="16.239106622213015"/>
    <n v="17.406430667162354"/>
    <n v="18.688436289300451"/>
    <n v="20.072658967722582"/>
    <n v="21.525916526048757"/>
    <n v="23.072926308305327"/>
    <n v="24.733375529258581"/>
    <n v="26.54894875475448"/>
    <n v="28.538177735224142"/>
    <n v="30.710286633191981"/>
    <n v="33.035615723901941"/>
    <n v="35.484766567017672"/>
    <n v="38.087118814500293"/>
  </r>
  <r>
    <x v="7"/>
    <x v="1"/>
    <x v="3"/>
    <x v="8"/>
    <x v="10"/>
    <n v="18.51173762324262"/>
    <n v="19.202530147644275"/>
    <n v="19.953045882442652"/>
    <n v="20.741218175096286"/>
    <n v="21.525916526048757"/>
    <n v="22.328838802824617"/>
    <n v="23.163897407719094"/>
    <n v="24.06355415756574"/>
    <n v="25.034754200211733"/>
    <n v="26.074831477031214"/>
    <n v="27.14784193456709"/>
    <n v="28.222071880272175"/>
    <n v="29.316244810491387"/>
  </r>
  <r>
    <x v="7"/>
    <x v="1"/>
    <x v="4"/>
    <x v="9"/>
    <x v="11"/>
    <n v="3.0572414239055816"/>
    <n v="3.3383511446127376"/>
    <n v="3.6459205850154608"/>
    <n v="3.9917980463649894"/>
    <n v="4.3784092969112667"/>
    <n v="4.80794432118347"/>
    <n v="5.2805865628549755"/>
    <n v="5.795290907847968"/>
    <n v="6.3545157353116846"/>
    <n v="6.9760728762713278"/>
    <n v="7.6682700820976377"/>
    <n v="8.430021534443533"/>
    <n v="9.2605295072321869"/>
  </r>
  <r>
    <x v="7"/>
    <x v="1"/>
    <x v="4"/>
    <x v="10"/>
    <x v="12"/>
    <n v="2.3474956195217418"/>
    <n v="2.5984980986163571"/>
    <n v="2.8815356408199033"/>
    <n v="3.1944421146356619"/>
    <n v="3.5370679026028267"/>
    <n v="3.907010471088856"/>
    <n v="4.3169477362137068"/>
    <n v="4.7785309549003019"/>
    <n v="5.3053967095253265"/>
    <n v="5.9045007454129053"/>
    <n v="6.5732258807799981"/>
    <n v="7.3089244150685575"/>
    <n v="8.1174241761062724"/>
  </r>
  <r>
    <x v="7"/>
    <x v="1"/>
    <x v="4"/>
    <x v="11"/>
    <x v="13"/>
    <n v="2.1933860327511652"/>
    <n v="2.3374560596266729"/>
    <n v="2.4914176817482825"/>
    <n v="2.6623339358747109"/>
    <n v="2.8502586011265501"/>
    <n v="3.0550155263248531"/>
    <n v="3.2750972086531607"/>
    <n v="3.5083040637212886"/>
    <n v="3.7546973504327115"/>
    <n v="4.023340263044763"/>
    <n v="4.3168812031523141"/>
    <n v="4.6323292700987881"/>
    <n v="4.9670286128227943"/>
  </r>
  <r>
    <x v="7"/>
    <x v="1"/>
    <x v="4"/>
    <x v="12"/>
    <x v="14"/>
    <n v="2.6173615005777835"/>
    <n v="2.8193940571448808"/>
    <n v="3.0426601730888647"/>
    <n v="3.2825923781190229"/>
    <n v="3.5370679026028267"/>
    <n v="3.8018388835329806"/>
    <n v="4.0876968575579236"/>
    <n v="4.4032237140587975"/>
    <n v="4.7577833108035881"/>
    <n v="5.1535804365884541"/>
    <n v="5.5840215468389376"/>
    <n v="6.042968911902542"/>
    <n v="6.5317486671343117"/>
  </r>
  <r>
    <x v="7"/>
    <x v="1"/>
    <x v="4"/>
    <x v="13"/>
    <x v="15"/>
    <n v="2.0676850488427085"/>
    <n v="2.2396783926180004"/>
    <n v="2.4263890139432718"/>
    <n v="2.6353005248113024"/>
    <n v="2.8674288336634568"/>
    <n v="3.1235927937122243"/>
    <n v="3.4032705985670524"/>
    <n v="3.7051537649800719"/>
    <n v="4.0302039546591475"/>
    <n v="4.3890784582348159"/>
    <n v="4.7861024859702948"/>
    <n v="5.2195840613326903"/>
    <n v="5.6880452697575867"/>
  </r>
  <r>
    <x v="7"/>
    <x v="1"/>
    <x v="5"/>
    <x v="14"/>
    <x v="16"/>
    <n v="2.6805089643682041"/>
    <n v="2.8706522395060858"/>
    <n v="3.0800247296507033"/>
    <n v="3.3036412346005037"/>
    <n v="3.5390879299601101"/>
    <n v="3.7818770715634531"/>
    <n v="4.0425827028672154"/>
    <n v="4.3293453756867395"/>
    <n v="4.6508808567057995"/>
    <n v="5.0086987555046703"/>
    <n v="5.3957151237127707"/>
    <n v="5.8054415128890353"/>
    <n v="6.2387025254548307"/>
  </r>
  <r>
    <x v="7"/>
    <x v="1"/>
    <x v="5"/>
    <x v="15"/>
    <x v="17"/>
    <n v="2.6138427554315187"/>
    <n v="2.7416379183033137"/>
    <n v="2.8802505978802087"/>
    <n v="3.0306717229897147"/>
    <n v="3.1950099367695435"/>
    <n v="3.3767794188369855"/>
    <n v="3.5767692240407847"/>
    <n v="3.7957569665190563"/>
    <n v="4.0294174887141683"/>
    <n v="4.2747754879487569"/>
    <n v="4.5265241969168475"/>
    <n v="4.7825369204339552"/>
    <n v="5.0455299597878156"/>
  </r>
  <r>
    <x v="7"/>
    <x v="1"/>
    <x v="5"/>
    <x v="16"/>
    <x v="18"/>
    <n v="1.5314665575179858"/>
    <n v="1.6726806717496026"/>
    <n v="1.8302612779268381"/>
    <n v="2.0020772172177947"/>
    <n v="2.1873529567114565"/>
    <n v="2.383941497094324"/>
    <n v="2.5989930970915003"/>
    <n v="2.8386421487134141"/>
    <n v="3.109851001654977"/>
    <n v="3.4152645604051237"/>
    <n v="3.7518107242613037"/>
    <n v="4.1165183234714151"/>
    <n v="4.511305056766342"/>
  </r>
  <r>
    <x v="7"/>
    <x v="1"/>
    <x v="5"/>
    <x v="17"/>
    <x v="19"/>
    <n v="1.2650584679040291"/>
    <n v="1.3202496550252028"/>
    <n v="1.3792318077528163"/>
    <n v="1.4428028998539053"/>
    <n v="1.5114854700871303"/>
    <n v="1.5858487551288654"/>
    <n v="1.6662871566689259"/>
    <n v="1.7519680382291936"/>
    <n v="1.8420254516125676"/>
    <n v="1.9358656830830481"/>
    <n v="2.0328825127361863"/>
    <n v="2.133672342757758"/>
    <n v="2.2373896724222675"/>
  </r>
  <r>
    <x v="7"/>
    <x v="1"/>
    <x v="5"/>
    <x v="18"/>
    <x v="20"/>
    <n v="1.461498992433772"/>
    <n v="1.5486443489411739"/>
    <n v="1.6426083440969061"/>
    <n v="1.7446006331027231"/>
    <n v="1.8555634632776965"/>
    <n v="1.9765439912210505"/>
    <n v="2.1084241820639686"/>
    <n v="2.250574641449298"/>
    <n v="2.4022714090086295"/>
    <n v="2.5630891794960893"/>
    <n v="2.732549039931659"/>
    <n v="2.9117489540996138"/>
    <n v="3.0998763950039141"/>
  </r>
  <r>
    <x v="7"/>
    <x v="2"/>
    <x v="6"/>
    <x v="19"/>
    <x v="21"/>
    <n v="47.263120391398083"/>
    <n v="50.436689698886816"/>
    <n v="53.870734990564344"/>
    <n v="57.641534962666427"/>
    <n v="61.779170010243547"/>
    <n v="66.315070914806483"/>
    <n v="71.268426718570609"/>
    <n v="76.617782257127487"/>
    <n v="82.353735209324086"/>
    <n v="88.535650306405032"/>
    <n v="95.18206839421444"/>
    <n v="102.31063684976834"/>
    <n v="109.89514057452607"/>
  </r>
  <r>
    <x v="7"/>
    <x v="2"/>
    <x v="7"/>
    <x v="20"/>
    <x v="22"/>
    <n v="87.062754931609945"/>
    <n v="91.4104867296073"/>
    <n v="96.071098522794571"/>
    <n v="101.10543478495941"/>
    <n v="106.5564430966871"/>
    <n v="112.47132050164318"/>
    <n v="118.88591369332427"/>
    <n v="125.74928838999723"/>
    <n v="133.00679513411384"/>
    <n v="140.62204254395786"/>
    <n v="148.55678229435583"/>
    <n v="156.85966370071336"/>
    <n v="165.4744435874714"/>
  </r>
  <r>
    <x v="7"/>
    <x v="3"/>
    <x v="8"/>
    <x v="21"/>
    <x v="23"/>
    <n v="8.923427492628246"/>
    <n v="9.2191619288897861"/>
    <n v="9.5400626735758109"/>
    <n v="9.8880334412781092"/>
    <n v="10.26847239952277"/>
    <n v="10.69093121938676"/>
    <n v="11.155716071717647"/>
    <n v="11.663018730596894"/>
    <n v="12.197278490296792"/>
    <n v="12.747880111131222"/>
    <n v="13.297840872376073"/>
    <n v="13.840499388095024"/>
    <n v="14.383599885170058"/>
  </r>
  <r>
    <x v="7"/>
    <x v="3"/>
    <x v="9"/>
    <x v="22"/>
    <x v="24"/>
    <n v="24.969000539123375"/>
    <n v="26.105750954706902"/>
    <n v="27.34040205141126"/>
    <n v="28.644849822454084"/>
    <n v="29.963739133033656"/>
    <n v="31.327396923518776"/>
    <n v="32.756183676189735"/>
    <n v="34.297321336394099"/>
    <n v="35.963135378493789"/>
    <n v="37.752493554664959"/>
    <n v="39.61600202935972"/>
    <n v="41.508840099109342"/>
    <n v="43.458930452193535"/>
  </r>
  <r>
    <x v="7"/>
    <x v="3"/>
    <x v="10"/>
    <x v="23"/>
    <x v="25"/>
    <n v="44.910056579559139"/>
    <n v="47.709262496714317"/>
    <n v="50.721483091571017"/>
    <n v="54.182171486352814"/>
    <n v="58.244122134997994"/>
    <n v="62.895989581352765"/>
    <n v="68.047714237186241"/>
    <n v="73.432262026178876"/>
    <n v="78.929639716324886"/>
    <n v="84.657854428823896"/>
    <n v="90.674837012268"/>
    <n v="97.197691638549884"/>
    <n v="104.14424288575759"/>
  </r>
  <r>
    <x v="7"/>
    <x v="3"/>
    <x v="11"/>
    <x v="24"/>
    <x v="26"/>
    <n v="29.625750049100308"/>
    <n v="31.535362079125751"/>
    <n v="33.607482789625735"/>
    <n v="35.790552476273511"/>
    <n v="38.043848562166332"/>
    <n v="40.419985391421044"/>
    <n v="42.964740601185184"/>
    <n v="45.798602338989788"/>
    <n v="48.968224950074692"/>
    <n v="52.393936482960967"/>
    <n v="56.098598867573337"/>
    <n v="60.00911135015685"/>
    <n v="64.102203567067974"/>
  </r>
  <r>
    <x v="7"/>
    <x v="3"/>
    <x v="12"/>
    <x v="25"/>
    <x v="27"/>
    <n v="8.7591665603520656"/>
    <n v="9.254186451623287"/>
    <n v="9.7422274892844225"/>
    <n v="10.238942200009706"/>
    <n v="10.773479238843562"/>
    <n v="11.372692486228537"/>
    <n v="12.05463629328645"/>
    <n v="12.803812473251373"/>
    <n v="13.590459530623434"/>
    <n v="14.411786881926233"/>
    <n v="15.281401805453767"/>
    <n v="16.214533480723873"/>
    <n v="17.198923253090925"/>
  </r>
  <r>
    <x v="7"/>
    <x v="3"/>
    <x v="13"/>
    <x v="26"/>
    <x v="28"/>
    <n v="17.138474102244899"/>
    <n v="18.023452517434077"/>
    <n v="18.990175417890665"/>
    <n v="20.002420321257606"/>
    <n v="21.041951638366331"/>
    <n v="22.079395814541765"/>
    <n v="23.175349532329623"/>
    <n v="24.372053741713689"/>
    <n v="25.711792277624301"/>
    <n v="27.193741390855603"/>
    <n v="28.770170101539374"/>
    <n v="30.399624593846685"/>
    <n v="32.081684118717384"/>
  </r>
  <r>
    <x v="7"/>
    <x v="4"/>
    <x v="14"/>
    <x v="27"/>
    <x v="29"/>
    <n v="53.262798296428691"/>
    <n v="56.51587138901165"/>
    <n v="60.061821952209336"/>
    <n v="63.930357574965832"/>
    <n v="68.17592330830692"/>
    <n v="72.885236249302281"/>
    <n v="78.08991474923252"/>
    <n v="83.82243515566924"/>
    <n v="90.003716275033796"/>
    <n v="96.580818422911477"/>
    <n v="103.44538656193403"/>
    <n v="110.55648745869834"/>
    <n v="117.98306362044445"/>
  </r>
  <r>
    <x v="7"/>
    <x v="4"/>
    <x v="15"/>
    <x v="28"/>
    <x v="30"/>
    <n v="81.06307702657935"/>
    <n v="85.331305039482473"/>
    <n v="89.880011561149587"/>
    <n v="94.816612172660001"/>
    <n v="100.15968979862373"/>
    <n v="105.90115516714737"/>
    <n v="112.06442566266236"/>
    <n v="118.54463549145547"/>
    <n v="125.35681406840412"/>
    <n v="132.5768744274514"/>
    <n v="140.29346412663625"/>
    <n v="148.61381309178333"/>
    <n v="157.38652054155301"/>
  </r>
  <r>
    <x v="7"/>
    <x v="5"/>
    <x v="16"/>
    <x v="29"/>
    <x v="31"/>
    <n v="7.843420017001149"/>
    <n v="8.482420857058564"/>
    <n v="9.1884756866980588"/>
    <n v="9.9571335930911165"/>
    <n v="10.773479238843562"/>
    <n v="11.651016498506495"/>
    <n v="12.601173434062563"/>
    <n v="13.64696947126326"/>
    <n v="14.800315824169756"/>
    <n v="16.068681364729855"/>
    <n v="17.439410649468623"/>
    <n v="18.899487554843951"/>
    <n v="20.466695866503571"/>
  </r>
  <r>
    <x v="7"/>
    <x v="5"/>
    <x v="17"/>
    <x v="30"/>
    <x v="32"/>
    <n v="21.680233063536321"/>
    <n v="23.162584982284059"/>
    <n v="24.789126700867058"/>
    <n v="26.529441767359799"/>
    <n v="28.448718615071272"/>
    <n v="30.589088317835376"/>
    <n v="33.001406529569266"/>
    <n v="35.670558331350833"/>
    <n v="38.562608027337205"/>
    <n v="41.571183762471151"/>
    <n v="44.684751908827195"/>
    <n v="48.00665281322793"/>
    <n v="51.529841425939821"/>
  </r>
  <r>
    <x v="7"/>
    <x v="5"/>
    <x v="18"/>
    <x v="31"/>
    <x v="33"/>
    <n v="23.033210392640857"/>
    <n v="24.202742595419071"/>
    <n v="25.457014113447016"/>
    <n v="26.812350510426587"/>
    <n v="28.280383001964353"/>
    <n v="29.873907299329474"/>
    <n v="31.602744593209426"/>
    <n v="33.453678361605739"/>
    <n v="35.412461476358274"/>
    <n v="37.469662586367988"/>
    <n v="39.615325516371122"/>
    <n v="41.862635202415404"/>
    <n v="44.196824680396659"/>
  </r>
  <r>
    <x v="7"/>
    <x v="5"/>
    <x v="19"/>
    <x v="32"/>
    <x v="34"/>
    <n v="39.449685558430602"/>
    <n v="41.712322281021066"/>
    <n v="44.148431156601397"/>
    <n v="46.789358782062095"/>
    <n v="49.65900586654454"/>
    <n v="52.783869761432108"/>
    <n v="56.185802745027864"/>
    <n v="59.846187406238087"/>
    <n v="63.744040848673357"/>
    <n v="67.866474222360765"/>
    <n v="72.199280012320202"/>
    <n v="76.770027350066584"/>
    <n v="81.555670743708347"/>
  </r>
  <r>
    <x v="7"/>
    <x v="5"/>
    <x v="20"/>
    <x v="33"/>
    <x v="35"/>
    <n v="9.6368610149419016"/>
    <n v="10.2562508669642"/>
    <n v="10.917331017285127"/>
    <n v="11.65087905333678"/>
    <n v="12.456835369912868"/>
    <n v="13.334134911863208"/>
    <n v="14.27590629948484"/>
    <n v="15.272296463791792"/>
    <n v="16.323344994538825"/>
    <n v="17.468225726901043"/>
    <n v="18.718053783724326"/>
    <n v="20.059432272327339"/>
    <n v="21.480483963502515"/>
  </r>
  <r>
    <x v="7"/>
    <x v="5"/>
    <x v="21"/>
    <x v="34"/>
    <x v="36"/>
    <n v="13.983376674949765"/>
    <n v="14.508082396183498"/>
    <n v="15.05513667396125"/>
    <n v="15.66399196098895"/>
    <n v="16.328554471372275"/>
    <n v="17.041748292156733"/>
    <n v="17.78952580397457"/>
    <n v="18.55528976253245"/>
    <n v="19.335931991204156"/>
    <n v="20.174882828577072"/>
    <n v="21.078701477318692"/>
    <n v="22.025405633672754"/>
    <n v="22.996563389465244"/>
  </r>
  <r>
    <x v="7"/>
    <x v="5"/>
    <x v="22"/>
    <x v="35"/>
    <x v="37"/>
    <n v="18.699088601507441"/>
    <n v="19.522772449563661"/>
    <n v="20.386318164499016"/>
    <n v="21.343814080360513"/>
    <n v="22.388636543221796"/>
    <n v="23.512626335326239"/>
    <n v="24.697781006566355"/>
    <n v="25.922090850342542"/>
    <n v="27.181827181156372"/>
    <n v="28.538582358955004"/>
    <n v="30.003327340540118"/>
    <n v="31.546659723927686"/>
    <n v="33.143504092481287"/>
  </r>
  <r>
    <x v="8"/>
    <x v="0"/>
    <x v="0"/>
    <x v="0"/>
    <x v="0"/>
    <n v="20.902373989809881"/>
    <n v="23.121107813549735"/>
    <n v="25.488022187805299"/>
    <n v="28.052593910019894"/>
    <n v="30.909448607468395"/>
    <n v="34.162737539232339"/>
    <n v="37.906844680988556"/>
    <n v="42.144122739421434"/>
    <n v="46.825132027443154"/>
    <n v="51.97903715794358"/>
    <n v="57.695353469855945"/>
    <n v="64.082008935624515"/>
    <n v="71.153028947251457"/>
  </r>
  <r>
    <x v="8"/>
    <x v="0"/>
    <x v="1"/>
    <x v="1"/>
    <x v="1"/>
    <n v="52.40928565115221"/>
    <n v="56.305888875463793"/>
    <n v="60.586045678010414"/>
    <n v="65.292540257878997"/>
    <n v="70.495233666155983"/>
    <n v="76.300479620724474"/>
    <n v="82.761819023227901"/>
    <n v="89.935846473252909"/>
    <n v="97.761717433247313"/>
    <n v="106.20339106348841"/>
    <n v="115.16159205423527"/>
    <n v="124.60670227403584"/>
    <n v="134.63107234133079"/>
  </r>
  <r>
    <x v="8"/>
    <x v="0"/>
    <x v="2"/>
    <x v="2"/>
    <x v="2"/>
    <n v="131.076032542001"/>
    <n v="140.27068276965915"/>
    <n v="149.58048782794847"/>
    <n v="159.24618487297528"/>
    <n v="169.73083182697556"/>
    <n v="181.48507338369768"/>
    <n v="194.84169005996375"/>
    <n v="209.60705526775007"/>
    <n v="225.34256315648835"/>
    <n v="242.03302677655725"/>
    <n v="259.93705534166656"/>
    <n v="279.35336146545683"/>
    <n v="300.12141080629306"/>
  </r>
  <r>
    <x v="8"/>
    <x v="1"/>
    <x v="3"/>
    <x v="3"/>
    <x v="3"/>
    <n v="8.0585562751870228"/>
    <n v="8.918917580099162"/>
    <n v="9.8374459579026343"/>
    <n v="10.833339297926194"/>
    <n v="11.943274289626677"/>
    <n v="13.207690750921767"/>
    <n v="14.663343019191753"/>
    <n v="16.311467448380686"/>
    <n v="18.133257854790884"/>
    <n v="20.140306990940903"/>
    <n v="22.36761830733122"/>
    <n v="24.857412266521742"/>
    <n v="27.615579332817475"/>
  </r>
  <r>
    <x v="8"/>
    <x v="1"/>
    <x v="3"/>
    <x v="3"/>
    <x v="4"/>
    <n v="13.378647767246044"/>
    <n v="14.488134772873014"/>
    <n v="15.718607452663496"/>
    <n v="17.048344250105028"/>
    <n v="18.467840799700515"/>
    <n v="19.956281336878906"/>
    <n v="21.571336840418081"/>
    <n v="23.360240946036281"/>
    <n v="25.375365770175513"/>
    <n v="27.631988980077171"/>
    <n v="30.098503637540503"/>
    <n v="32.7450554926384"/>
    <n v="35.581573902830222"/>
  </r>
  <r>
    <x v="8"/>
    <x v="1"/>
    <x v="3"/>
    <x v="3"/>
    <x v="5"/>
    <n v="21.27958635213669"/>
    <n v="22.863174911163906"/>
    <n v="23.756615486805693"/>
    <n v="24.220092217937744"/>
    <n v="24.881821436722241"/>
    <n v="26.163585280013805"/>
    <n v="28.262662895354417"/>
    <n v="30.733515191189085"/>
    <n v="32.93204244455648"/>
    <n v="34.684301380833894"/>
    <n v="36.430279697381856"/>
    <n v="38.708165261119085"/>
    <n v="41.217100527772182"/>
  </r>
  <r>
    <x v="8"/>
    <x v="1"/>
    <x v="3"/>
    <x v="4"/>
    <x v="6"/>
    <n v="37.362785291483135"/>
    <n v="39.902174201450627"/>
    <n v="42.680658151539653"/>
    <n v="45.723749023428383"/>
    <n v="49.075256916694492"/>
    <n v="52.803294545041041"/>
    <n v="56.937742953858844"/>
    <n v="61.509790278958491"/>
    <n v="66.469471976982263"/>
    <n v="71.784751706782927"/>
    <n v="77.381502147357565"/>
    <n v="83.234050473249184"/>
    <n v="89.39872444001513"/>
  </r>
  <r>
    <x v="8"/>
    <x v="1"/>
    <x v="3"/>
    <x v="5"/>
    <x v="7"/>
    <n v="22.683440292964114"/>
    <n v="24.25057263772678"/>
    <n v="25.968842515927854"/>
    <n v="27.819692772247087"/>
    <n v="29.756038130484441"/>
    <n v="31.811313442109636"/>
    <n v="34.011664329481896"/>
    <n v="36.413205938385694"/>
    <n v="39.039704975915491"/>
    <n v="41.901937722020456"/>
    <n v="44.957502455763901"/>
    <n v="48.164781097629749"/>
    <n v="51.562359408026232"/>
  </r>
  <r>
    <x v="8"/>
    <x v="1"/>
    <x v="3"/>
    <x v="6"/>
    <x v="8"/>
    <n v="15.152695811879314"/>
    <n v="16.024683187495967"/>
    <n v="16.949788322914674"/>
    <n v="17.974654655210344"/>
    <n v="19.097158800161655"/>
    <n v="20.313664142372346"/>
    <n v="21.611754054837107"/>
    <n v="22.974784142454155"/>
    <n v="24.401387043749153"/>
    <n v="25.948711319014382"/>
    <n v="27.63076775659599"/>
    <n v="29.424998703455703"/>
    <n v="31.311604972617747"/>
  </r>
  <r>
    <x v="8"/>
    <x v="1"/>
    <x v="3"/>
    <x v="7"/>
    <x v="9"/>
    <n v="24.893263907355443"/>
    <n v="26.929404152029207"/>
    <n v="29.176972478463362"/>
    <n v="31.660754504703895"/>
    <n v="34.419297837500658"/>
    <n v="37.509972773631176"/>
    <n v="40.965697604482997"/>
    <n v="44.821723405980023"/>
    <n v="49.055650401471041"/>
    <n v="53.656816703183999"/>
    <n v="58.58223497428574"/>
    <n v="63.823089287796542"/>
    <n v="69.432719353850842"/>
  </r>
  <r>
    <x v="8"/>
    <x v="1"/>
    <x v="3"/>
    <x v="8"/>
    <x v="10"/>
    <n v="27.662539190336339"/>
    <n v="29.185022296880511"/>
    <n v="30.842891235479602"/>
    <n v="32.607802048770516"/>
    <n v="34.419297837500658"/>
    <n v="36.313099922049027"/>
    <n v="38.314658758510831"/>
    <n v="40.481736135847669"/>
    <n v="42.832957973116393"/>
    <n v="45.371521604982611"/>
    <n v="48.042654452795958"/>
    <n v="50.795060695468408"/>
    <n v="53.664543456914231"/>
  </r>
  <r>
    <x v="8"/>
    <x v="1"/>
    <x v="4"/>
    <x v="9"/>
    <x v="11"/>
    <n v="5.1499362145243648"/>
    <n v="5.7147300978939253"/>
    <n v="6.3425126401638172"/>
    <n v="7.0566049532850625"/>
    <n v="7.8650989930302035"/>
    <n v="8.7760681529640081"/>
    <n v="9.7943175472197783"/>
    <n v="10.922547665429349"/>
    <n v="12.17009572653116"/>
    <n v="13.576164275398567"/>
    <n v="15.163838861402267"/>
    <n v="16.938908280827942"/>
    <n v="18.907872663921818"/>
  </r>
  <r>
    <x v="8"/>
    <x v="1"/>
    <x v="4"/>
    <x v="10"/>
    <x v="12"/>
    <n v="3.8775137652761424"/>
    <n v="4.3608255906870452"/>
    <n v="4.9131013603367615"/>
    <n v="5.5336822693461079"/>
    <n v="6.2252714037497752"/>
    <n v="6.986693315204823"/>
    <n v="7.8435747350736795"/>
    <n v="8.8212353321561316"/>
    <n v="9.950160330795228"/>
    <n v="11.250096774514082"/>
    <n v="12.723613152877553"/>
    <n v="14.373163099479887"/>
    <n v="16.217806501217325"/>
  </r>
  <r>
    <x v="8"/>
    <x v="1"/>
    <x v="4"/>
    <x v="11"/>
    <x v="13"/>
    <n v="3.6918628385571659"/>
    <n v="4.0109576681668582"/>
    <n v="4.3656543950180167"/>
    <n v="4.750262419778652"/>
    <n v="5.1624201884754237"/>
    <n v="5.5965724805803392"/>
    <n v="6.0691018952544136"/>
    <n v="6.5936660840764789"/>
    <n v="7.1855482549774354"/>
    <n v="7.8497223466930963"/>
    <n v="8.5779039055297037"/>
    <n v="9.3621982130567449"/>
    <n v="10.205981074346663"/>
  </r>
  <r>
    <x v="8"/>
    <x v="1"/>
    <x v="4"/>
    <x v="12"/>
    <x v="14"/>
    <n v="4.3006298044197155"/>
    <n v="4.7124437055846222"/>
    <n v="5.1720219499677658"/>
    <n v="5.6785777516303755"/>
    <n v="6.2252714037497752"/>
    <n v="6.8212816822291851"/>
    <n v="7.4750223995597205"/>
    <n v="8.2021846259895543"/>
    <n v="9.012560313196218"/>
    <n v="9.9136858898115428"/>
    <n v="10.901003583158717"/>
    <n v="11.969408926830235"/>
    <n v="13.132958791336749"/>
  </r>
  <r>
    <x v="8"/>
    <x v="1"/>
    <x v="4"/>
    <x v="13"/>
    <x v="15"/>
    <n v="3.2801390742990066"/>
    <n v="3.6210428853781154"/>
    <n v="4.0046188069238378"/>
    <n v="4.4274919309461627"/>
    <n v="4.8891155902620183"/>
    <n v="5.3858318826974472"/>
    <n v="5.9348080140877535"/>
    <n v="6.5516107240331323"/>
    <n v="7.2543562459255542"/>
    <n v="8.0518253215340181"/>
    <n v="8.9396438608444804"/>
    <n v="9.9134364242667594"/>
    <n v="10.980363352397807"/>
  </r>
  <r>
    <x v="8"/>
    <x v="1"/>
    <x v="5"/>
    <x v="14"/>
    <x v="16"/>
    <n v="3.834778014661135"/>
    <n v="4.178001246685306"/>
    <n v="4.5593295696514629"/>
    <n v="4.9773638102119984"/>
    <n v="5.425421637153006"/>
    <n v="5.9109239743478517"/>
    <n v="6.4404512245737013"/>
    <n v="7.0266936233613588"/>
    <n v="7.6769866843202932"/>
    <n v="8.3965632345956731"/>
    <n v="9.180277438861987"/>
    <n v="10.022622327802898"/>
    <n v="10.934244145527753"/>
  </r>
  <r>
    <x v="8"/>
    <x v="1"/>
    <x v="5"/>
    <x v="15"/>
    <x v="17"/>
    <n v="3.6898369618237115"/>
    <n v="3.9501552133684452"/>
    <n v="4.2295631110037633"/>
    <n v="4.5403016339116258"/>
    <n v="4.882879473437705"/>
    <n v="5.2574170382482404"/>
    <n v="5.6617423170782217"/>
    <n v="6.0924441388073429"/>
    <n v="6.549972534274449"/>
    <n v="7.0504867918245786"/>
    <n v="7.5991961147876239"/>
    <n v="8.1914726342811033"/>
    <n v="8.823192042269568"/>
  </r>
  <r>
    <x v="8"/>
    <x v="1"/>
    <x v="5"/>
    <x v="16"/>
    <x v="18"/>
    <n v="2.1790913790772288"/>
    <n v="2.4034631097412666"/>
    <n v="2.6549432108905"/>
    <n v="2.9371611826361206"/>
    <n v="3.255252982291803"/>
    <n v="3.6164744999515293"/>
    <n v="4.0262176668602621"/>
    <n v="4.4904367853837366"/>
    <n v="5.0096767448812338"/>
    <n v="5.5856178799100276"/>
    <n v="6.2166012711687166"/>
    <n v="6.9043587577378593"/>
    <n v="7.6573780019187838"/>
  </r>
  <r>
    <x v="8"/>
    <x v="1"/>
    <x v="5"/>
    <x v="17"/>
    <x v="19"/>
    <n v="1.9224666399670733"/>
    <n v="2.0339038186956264"/>
    <n v="2.1551903743357137"/>
    <n v="2.2873015217111425"/>
    <n v="2.4320855614823818"/>
    <n v="2.5925198565936314"/>
    <n v="2.769586529809088"/>
    <n v="2.9642858636938523"/>
    <n v="3.1736604733200475"/>
    <n v="3.3957079393998235"/>
    <n v="3.6264997022603427"/>
    <n v="3.8645155627079504"/>
    <n v="4.1120931530379989"/>
  </r>
  <r>
    <x v="8"/>
    <x v="1"/>
    <x v="5"/>
    <x v="18"/>
    <x v="20"/>
    <n v="1.9899226017694513"/>
    <n v="2.1500723827522754"/>
    <n v="2.3257986737755569"/>
    <n v="2.5141427970877337"/>
    <n v="2.7127108185765025"/>
    <n v="2.925605467819723"/>
    <n v="3.1566709785276315"/>
    <n v="3.4154561502614023"/>
    <n v="3.7065568682000363"/>
    <n v="4.0252481364714612"/>
    <n v="4.3743595458136051"/>
    <n v="4.7493751702470002"/>
    <n v="5.1494169740567584"/>
  </r>
  <r>
    <x v="8"/>
    <x v="2"/>
    <x v="6"/>
    <x v="19"/>
    <x v="21"/>
    <n v="73.311659640962091"/>
    <n v="79.426996689013521"/>
    <n v="86.074067865815721"/>
    <n v="93.345134167898891"/>
    <n v="101.40468227362437"/>
    <n v="110.46321715995681"/>
    <n v="120.66866370421646"/>
    <n v="132.07996921267434"/>
    <n v="144.58684946069047"/>
    <n v="158.18242822143199"/>
    <n v="172.8569455240912"/>
    <n v="188.68871120966037"/>
    <n v="205.78410128858224"/>
  </r>
  <r>
    <x v="8"/>
    <x v="2"/>
    <x v="7"/>
    <x v="20"/>
    <x v="22"/>
    <n v="131.076032542001"/>
    <n v="140.27068276965915"/>
    <n v="149.58048782794847"/>
    <n v="159.24618487297528"/>
    <n v="169.73083182697556"/>
    <n v="181.48507338369768"/>
    <n v="194.84169005996375"/>
    <n v="209.60705526775007"/>
    <n v="225.34256315648835"/>
    <n v="242.03302677655725"/>
    <n v="259.93705534166656"/>
    <n v="279.35336146545683"/>
    <n v="300.12141080629306"/>
  </r>
  <r>
    <x v="8"/>
    <x v="3"/>
    <x v="8"/>
    <x v="21"/>
    <x v="23"/>
    <n v="13.771471979128791"/>
    <n v="14.576958055957457"/>
    <n v="15.45871050143384"/>
    <n v="16.38864678020483"/>
    <n v="17.352672902438396"/>
    <n v="18.327131947837238"/>
    <n v="19.362421891108198"/>
    <n v="20.49491965682321"/>
    <n v="21.761973013813634"/>
    <n v="23.165391087470599"/>
    <n v="24.667036643841417"/>
    <n v="26.233133690378427"/>
    <n v="27.864417864924"/>
  </r>
  <r>
    <x v="8"/>
    <x v="3"/>
    <x v="9"/>
    <x v="22"/>
    <x v="24"/>
    <n v="37.012887092003069"/>
    <n v="39.347091521512304"/>
    <n v="41.907195897970446"/>
    <n v="44.619903480799636"/>
    <n v="47.448714967604985"/>
    <n v="50.330337465304808"/>
    <n v="53.403741444076715"/>
    <n v="56.771629215740511"/>
    <n v="60.541150384038851"/>
    <n v="64.72240318906394"/>
    <n v="69.214006851567603"/>
    <n v="73.925033366399973"/>
    <n v="78.860215828118271"/>
  </r>
  <r>
    <x v="8"/>
    <x v="3"/>
    <x v="10"/>
    <x v="23"/>
    <x v="25"/>
    <n v="65.3411265197077"/>
    <n v="71.14272277996298"/>
    <n v="76.666716321942573"/>
    <n v="82.301520672804003"/>
    <n v="88.661313110896174"/>
    <n v="96.327824495419634"/>
    <n v="105.50482111530121"/>
    <n v="115.80658820814699"/>
    <n v="126.61098515987936"/>
    <n v="137.92847944700202"/>
    <n v="150.31419740275516"/>
    <n v="164.34010004562242"/>
    <n v="179.79464431876551"/>
  </r>
  <r>
    <x v="8"/>
    <x v="3"/>
    <x v="11"/>
    <x v="24"/>
    <x v="26"/>
    <n v="45.222630280200462"/>
    <n v="48.674352968283351"/>
    <n v="52.470660359487098"/>
    <n v="56.650508042612145"/>
    <n v="61.276626186735591"/>
    <n v="66.443920550131466"/>
    <n v="72.201994872357062"/>
    <n v="78.603471732663436"/>
    <n v="85.598708943910609"/>
    <n v="93.159414476034286"/>
    <n v="101.20161812234393"/>
    <n v="109.70194663904606"/>
    <n v="118.74423168124592"/>
  </r>
  <r>
    <x v="8"/>
    <x v="3"/>
    <x v="12"/>
    <x v="25"/>
    <x v="27"/>
    <n v="14.655137291575899"/>
    <n v="15.782273175181528"/>
    <n v="17.023996911100785"/>
    <n v="18.370518877839178"/>
    <n v="19.792892529343796"/>
    <n v="21.314855760590969"/>
    <n v="22.955937288856607"/>
    <n v="24.756438467491297"/>
    <n v="26.735813870166634"/>
    <n v="28.905144666990118"/>
    <n v="31.23910117460353"/>
    <n v="33.712107075696203"/>
    <n v="36.353932274009637"/>
  </r>
  <r>
    <x v="8"/>
    <x v="3"/>
    <x v="13"/>
    <x v="26"/>
    <x v="28"/>
    <n v="28.384439020347163"/>
    <n v="30.174280957775025"/>
    <n v="32.127275701829454"/>
    <n v="34.260221186614395"/>
    <n v="36.603294403580996"/>
    <n v="39.204220324370361"/>
    <n v="42.08143715248039"/>
    <n v="45.253977199558918"/>
    <n v="48.680781245369744"/>
    <n v="52.334622131428262"/>
    <n v="56.158040670646152"/>
    <n v="60.129751857974099"/>
    <n v="64.288070127811892"/>
  </r>
  <r>
    <x v="8"/>
    <x v="4"/>
    <x v="14"/>
    <x v="27"/>
    <x v="29"/>
    <n v="82.892633402414475"/>
    <n v="89.917291797497469"/>
    <n v="97.19761519866384"/>
    <n v="104.89715419060906"/>
    <n v="113.33464489405077"/>
    <n v="122.83762482194061"/>
    <n v="133.67102286160028"/>
    <n v="145.75193581467286"/>
    <n v="158.82123004594041"/>
    <n v="172.90290414871077"/>
    <n v="188.21693144834333"/>
    <n v="205.02334622889825"/>
    <n v="223.25810215564985"/>
  </r>
  <r>
    <x v="8"/>
    <x v="4"/>
    <x v="15"/>
    <x v="28"/>
    <x v="30"/>
    <n v="121.49505878054862"/>
    <n v="129.78038766117521"/>
    <n v="138.45694049510035"/>
    <n v="147.69416485026511"/>
    <n v="157.80086920654918"/>
    <n v="169.11066572171387"/>
    <n v="181.83933090257992"/>
    <n v="195.93508866575152"/>
    <n v="211.10818257123844"/>
    <n v="227.31255084927847"/>
    <n v="244.57706941741444"/>
    <n v="263.01872644621892"/>
    <n v="282.64740993922544"/>
  </r>
  <r>
    <x v="8"/>
    <x v="5"/>
    <x v="16"/>
    <x v="29"/>
    <x v="31"/>
    <n v="11.542170279818199"/>
    <n v="12.6790176082737"/>
    <n v="13.943687611123936"/>
    <n v="15.324044496496739"/>
    <n v="16.810401874237197"/>
    <n v="18.432523448021115"/>
    <n v="20.220388082817987"/>
    <n v="22.242328008332283"/>
    <n v="24.5387396046319"/>
    <n v="27.09064852292445"/>
    <n v="29.928261475637179"/>
    <n v="33.03317224703212"/>
    <n v="36.410652568796586"/>
  </r>
  <r>
    <x v="8"/>
    <x v="5"/>
    <x v="17"/>
    <x v="30"/>
    <x v="32"/>
    <n v="44.57428823381818"/>
    <n v="48.319898674682577"/>
    <n v="51.577566388954693"/>
    <n v="54.734381050105895"/>
    <n v="58.565271045729588"/>
    <n v="63.594212831562487"/>
    <n v="70.042271344166068"/>
    <n v="77.41614119698346"/>
    <n v="84.974070211726143"/>
    <n v="92.598931711834041"/>
    <n v="100.74694282390772"/>
    <n v="110.05348699115666"/>
    <n v="120.28811271381693"/>
  </r>
  <r>
    <x v="8"/>
    <x v="5"/>
    <x v="18"/>
    <x v="31"/>
    <x v="33"/>
    <n v="25.208977732646712"/>
    <n v="27.062433775842202"/>
    <n v="29.100002297054196"/>
    <n v="31.303121021923662"/>
    <n v="33.620803748474394"/>
    <n v="36.092183258099844"/>
    <n v="38.748762814211666"/>
    <n v="41.656699989727443"/>
    <n v="44.84622775330579"/>
    <n v="48.33313520486729"/>
    <n v="52.072108410052302"/>
    <n v="56.017966927722838"/>
    <n v="60.218042984452509"/>
  </r>
  <r>
    <x v="8"/>
    <x v="5"/>
    <x v="19"/>
    <x v="32"/>
    <x v="34"/>
    <n v="45.234061449402908"/>
    <n v="48.857433728621622"/>
    <n v="52.857415800018117"/>
    <n v="57.206927385882771"/>
    <n v="61.81889721493679"/>
    <n v="66.769758776520334"/>
    <n v="72.123657833273057"/>
    <n v="78.010753342393684"/>
    <n v="84.497041057413583"/>
    <n v="91.622813077051632"/>
    <n v="99.313400591931583"/>
    <n v="107.49244564492258"/>
    <n v="116.25914183296717"/>
  </r>
  <r>
    <x v="8"/>
    <x v="5"/>
    <x v="20"/>
    <x v="33"/>
    <x v="35"/>
    <n v="16.066947677449441"/>
    <n v="17.393976250566432"/>
    <n v="18.833797826048571"/>
    <n v="20.444310867128742"/>
    <n v="22.233112156249195"/>
    <n v="24.206253441233919"/>
    <n v="26.359383099843061"/>
    <n v="28.682064837814153"/>
    <n v="31.181457309679512"/>
    <n v="33.939717165438601"/>
    <n v="36.989857890191878"/>
    <n v="40.318315939192395"/>
    <n v="43.913208918205505"/>
  </r>
  <r>
    <x v="8"/>
    <x v="5"/>
    <x v="21"/>
    <x v="34"/>
    <x v="36"/>
    <n v="33.73451502304011"/>
    <n v="35.720501908031551"/>
    <n v="37.894846963268286"/>
    <n v="40.188915105799758"/>
    <n v="42.568275713794193"/>
    <n v="44.974989537213411"/>
    <n v="47.532765168319813"/>
    <n v="50.331069758357287"/>
    <n v="53.461883757170753"/>
    <n v="56.930013185839577"/>
    <n v="60.642100541162286"/>
    <n v="64.515376191412855"/>
    <n v="68.551826647585486"/>
  </r>
  <r>
    <x v="8"/>
    <x v="5"/>
    <x v="22"/>
    <x v="35"/>
    <x v="37"/>
    <n v="28.026731786787565"/>
    <n v="29.664417512654616"/>
    <n v="31.447238807296415"/>
    <n v="33.389619113536611"/>
    <n v="35.518752347178598"/>
    <n v="37.878369251003363"/>
    <n v="40.483125421548564"/>
    <n v="43.34796734681607"/>
    <n v="46.42999292325117"/>
    <n v="49.70019613003366"/>
    <n v="53.101329132874831"/>
    <n v="56.611308733677774"/>
    <n v="60.264526429051095"/>
  </r>
  <r>
    <x v="9"/>
    <x v="0"/>
    <x v="0"/>
    <x v="0"/>
    <x v="0"/>
    <n v="10.701691925628534"/>
    <n v="11.64909335739025"/>
    <n v="12.699781680090197"/>
    <n v="13.866402989793892"/>
    <n v="15.167924717845541"/>
    <n v="16.632057059094244"/>
    <n v="18.276327580442914"/>
    <n v="20.11970584786938"/>
    <n v="22.155716626739416"/>
    <n v="24.382990749774923"/>
    <n v="26.785402730790238"/>
    <n v="29.362020746403648"/>
    <n v="32.140454537547896"/>
  </r>
  <r>
    <x v="9"/>
    <x v="0"/>
    <x v="1"/>
    <x v="1"/>
    <x v="1"/>
    <n v="29.622639855426325"/>
    <n v="31.667871937146153"/>
    <n v="33.89389755215543"/>
    <n v="36.250976473858799"/>
    <n v="38.699471476372267"/>
    <n v="41.293995123552193"/>
    <n v="44.083110080682907"/>
    <n v="47.192859197879358"/>
    <n v="50.675355736133831"/>
    <n v="54.452842206585998"/>
    <n v="58.552752992750378"/>
    <n v="62.902805077019188"/>
    <n v="67.481680809002242"/>
  </r>
  <r>
    <x v="9"/>
    <x v="0"/>
    <x v="2"/>
    <x v="2"/>
    <x v="2"/>
    <n v="69.851892868025288"/>
    <n v="73.976149119402862"/>
    <n v="78.436383484146873"/>
    <n v="83.106710893374739"/>
    <n v="87.888909580039581"/>
    <n v="92.902345250728388"/>
    <n v="98.248212854803356"/>
    <n v="104.19644166366794"/>
    <n v="110.84343175327705"/>
    <n v="117.99758499342634"/>
    <n v="125.70198600706348"/>
    <n v="133.78372749087805"/>
    <n v="142.18439174053827"/>
  </r>
  <r>
    <x v="9"/>
    <x v="1"/>
    <x v="3"/>
    <x v="3"/>
    <x v="3"/>
    <n v="4.1956029760320792"/>
    <n v="4.5704549933212473"/>
    <n v="4.9864152200392002"/>
    <n v="5.4485429627750541"/>
    <n v="5.9643965654518825"/>
    <n v="6.5449948771200557"/>
    <n v="7.1973826145472026"/>
    <n v="7.9291933972763831"/>
    <n v="8.738055824701064"/>
    <n v="9.6236054895701066"/>
    <n v="10.57965310241549"/>
    <n v="11.605992466883569"/>
    <n v="12.713698734238578"/>
  </r>
  <r>
    <x v="9"/>
    <x v="1"/>
    <x v="3"/>
    <x v="3"/>
    <x v="4"/>
    <n v="7.8184779282453327"/>
    <n v="8.3479994206087973"/>
    <n v="8.9221293002064161"/>
    <n v="9.5483843854427146"/>
    <n v="10.233033323079214"/>
    <n v="10.983097849249186"/>
    <n v="11.804877021675688"/>
    <n v="12.696378798968285"/>
    <n v="13.654994992697022"/>
    <n v="14.67971490323538"/>
    <n v="15.769170287123526"/>
    <n v="16.931031857937363"/>
    <n v="18.162075692586754"/>
  </r>
  <r>
    <x v="9"/>
    <x v="1"/>
    <x v="3"/>
    <x v="3"/>
    <x v="5"/>
    <n v="9.9586060971996435"/>
    <n v="10.693529760168493"/>
    <n v="11.552802486267762"/>
    <n v="12.382671559515272"/>
    <n v="13.039808177409505"/>
    <n v="13.580104815514797"/>
    <n v="14.017430777846595"/>
    <n v="14.618856466641127"/>
    <n v="15.511368059589508"/>
    <n v="16.509895578770596"/>
    <n v="17.664786784032536"/>
    <n v="18.78091061352093"/>
    <n v="19.8268979176203"/>
  </r>
  <r>
    <x v="9"/>
    <x v="1"/>
    <x v="3"/>
    <x v="4"/>
    <x v="6"/>
    <n v="20.257172130488605"/>
    <n v="21.467070793487803"/>
    <n v="22.771722299179309"/>
    <n v="24.18792334921611"/>
    <n v="25.728769498027717"/>
    <n v="27.408815864985137"/>
    <n v="29.240332313459238"/>
    <n v="31.214633271191722"/>
    <n v="33.321718361673312"/>
    <n v="35.555726143870196"/>
    <n v="37.910049379678988"/>
    <n v="40.399955228427025"/>
    <n v="43.014208910258134"/>
  </r>
  <r>
    <x v="9"/>
    <x v="1"/>
    <x v="3"/>
    <x v="5"/>
    <x v="7"/>
    <n v="12.888078703570537"/>
    <n v="13.602766256064196"/>
    <n v="14.305705662988082"/>
    <n v="15.019912704610274"/>
    <n v="15.788108555607918"/>
    <n v="16.649478920636653"/>
    <n v="17.63016907795221"/>
    <n v="18.707147983623198"/>
    <n v="19.836636699316628"/>
    <n v="21.014397271193776"/>
    <n v="22.260118546458973"/>
    <n v="23.595772630083733"/>
    <n v="25.003242085923745"/>
  </r>
  <r>
    <x v="9"/>
    <x v="1"/>
    <x v="3"/>
    <x v="6"/>
    <x v="8"/>
    <n v="8.1797190812861373"/>
    <n v="8.5801310122295771"/>
    <n v="9.0173040879232254"/>
    <n v="9.473746148483416"/>
    <n v="9.9406609424198003"/>
    <n v="10.404079262677397"/>
    <n v="10.892569458515849"/>
    <n v="11.425780284765164"/>
    <n v="12.023178672310959"/>
    <n v="12.683873920958783"/>
    <n v="13.385103517386405"/>
    <n v="14.107253877295406"/>
    <n v="14.84995057690438"/>
  </r>
  <r>
    <x v="9"/>
    <x v="1"/>
    <x v="3"/>
    <x v="7"/>
    <x v="9"/>
    <n v="13.485554083962507"/>
    <n v="14.519731482085822"/>
    <n v="15.651367328177912"/>
    <n v="16.859461850611968"/>
    <n v="18.127087600883165"/>
    <n v="19.480959791562714"/>
    <n v="20.945690189875297"/>
    <n v="22.583387506706277"/>
    <n v="24.422528773930136"/>
    <n v="26.429762546012931"/>
    <n v="28.621788756453231"/>
    <n v="30.966994997161827"/>
    <n v="33.457911772005779"/>
  </r>
  <r>
    <x v="9"/>
    <x v="1"/>
    <x v="3"/>
    <x v="8"/>
    <x v="10"/>
    <n v="15.36570539838922"/>
    <n v="16.012920295201742"/>
    <n v="16.707412513399856"/>
    <n v="17.419494814309804"/>
    <n v="18.127087600883165"/>
    <n v="18.854359786947377"/>
    <n v="19.620237851892362"/>
    <n v="20.476087164879058"/>
    <n v="21.435816542337498"/>
    <n v="22.456606009248954"/>
    <n v="23.542848681449772"/>
    <n v="24.658090867890056"/>
    <n v="25.78917576675434"/>
  </r>
  <r>
    <x v="9"/>
    <x v="1"/>
    <x v="4"/>
    <x v="9"/>
    <x v="11"/>
    <n v="2.4856208680788492"/>
    <n v="2.7389582749087911"/>
    <n v="3.0229579229855363"/>
    <n v="3.3376661912840526"/>
    <n v="3.6795684289823996"/>
    <n v="4.0545347659780839"/>
    <n v="4.4681091823084573"/>
    <n v="4.9303058758253169"/>
    <n v="5.4478130143527563"/>
    <n v="6.0260986578768296"/>
    <n v="6.6633942164875188"/>
    <n v="7.357548933133061"/>
    <n v="8.1181343109697384"/>
  </r>
  <r>
    <x v="9"/>
    <x v="1"/>
    <x v="4"/>
    <x v="10"/>
    <x v="12"/>
    <n v="1.8860517278415492"/>
    <n v="2.0860846899307863"/>
    <n v="2.3108097771746556"/>
    <n v="2.5635948979421643"/>
    <n v="2.8491599897567998"/>
    <n v="3.1741326340072593"/>
    <n v="3.5435776773532406"/>
    <n v="3.9631104862334086"/>
    <n v="4.4336338450030155"/>
    <n v="4.9570646976937125"/>
    <n v="5.532377200055735"/>
    <n v="6.1615510775783271"/>
    <n v="6.8526165134466659"/>
  </r>
  <r>
    <x v="9"/>
    <x v="1"/>
    <x v="4"/>
    <x v="11"/>
    <x v="13"/>
    <n v="1.832076363558405"/>
    <n v="1.9563758987542639"/>
    <n v="2.0923693194307109"/>
    <n v="2.2413033234223483"/>
    <n v="2.4053209963775997"/>
    <n v="2.5877556057905351"/>
    <n v="2.7900652950224289"/>
    <n v="3.0137716047267662"/>
    <n v="3.2564191866238978"/>
    <n v="3.5164320901443697"/>
    <n v="3.7901731882188976"/>
    <n v="4.0763802704283032"/>
    <n v="4.3778076487620083"/>
  </r>
  <r>
    <x v="9"/>
    <x v="1"/>
    <x v="4"/>
    <x v="12"/>
    <x v="14"/>
    <n v="2.176177340338346"/>
    <n v="2.3496358739214154"/>
    <n v="2.539381946868263"/>
    <n v="2.7480485208576062"/>
    <n v="2.9780164717055992"/>
    <n v="3.2319797275026261"/>
    <n v="3.5125257216306323"/>
    <n v="3.8198743942776821"/>
    <n v="4.1540526450105251"/>
    <n v="4.515557291160456"/>
    <n v="4.9047802620226442"/>
    <n v="5.3249251347605799"/>
    <n v="5.7758946245595464"/>
  </r>
  <r>
    <x v="9"/>
    <x v="1"/>
    <x v="4"/>
    <x v="13"/>
    <x v="15"/>
    <n v="1.6920320942894524"/>
    <n v="1.8474599532486748"/>
    <n v="2.0194745373371847"/>
    <n v="2.2059905688542467"/>
    <n v="2.4053209963775997"/>
    <n v="2.6214600005755861"/>
    <n v="2.8583317034865812"/>
    <n v="3.1251818193086649"/>
    <n v="3.4271015544405641"/>
    <n v="3.7607596871442261"/>
    <n v="4.12972290976849"/>
    <n v="4.5307549095133499"/>
    <n v="4.9639344707768727"/>
  </r>
  <r>
    <x v="9"/>
    <x v="1"/>
    <x v="5"/>
    <x v="14"/>
    <x v="16"/>
    <n v="2.318653772495026"/>
    <n v="2.4962296902695487"/>
    <n v="2.6905256860991895"/>
    <n v="2.897926968893366"/>
    <n v="3.1155200883066279"/>
    <n v="3.3478935977134081"/>
    <n v="3.5992728143774961"/>
    <n v="3.880324855134182"/>
    <n v="4.1959341207123018"/>
    <n v="4.5403606640410556"/>
    <n v="4.9164650008237674"/>
    <n v="5.3188077703359307"/>
    <n v="5.7460983643082937"/>
  </r>
  <r>
    <x v="9"/>
    <x v="1"/>
    <x v="5"/>
    <x v="15"/>
    <x v="17"/>
    <n v="2.2105745689306047"/>
    <n v="2.3494012453617716"/>
    <n v="2.5010995547125883"/>
    <n v="2.6636361729231055"/>
    <n v="2.8322909893696622"/>
    <n v="3.0101163012623355"/>
    <n v="3.199401212566003"/>
    <n v="3.4051977676976857"/>
    <n v="3.6294113287542391"/>
    <n v="3.8726909475148896"/>
    <n v="4.130751221886273"/>
    <n v="4.3994745104117028"/>
    <n v="4.6821619809284245"/>
  </r>
  <r>
    <x v="9"/>
    <x v="1"/>
    <x v="5"/>
    <x v="16"/>
    <x v="18"/>
    <n v="1.2901373346640708"/>
    <n v="1.4154638424835757"/>
    <n v="1.5476183662919982"/>
    <n v="1.6894006934000201"/>
    <n v="1.8462341264039279"/>
    <n v="2.0239282183974416"/>
    <n v="2.2275166978844445"/>
    <n v="2.4564516825862968"/>
    <n v="2.7071718673963518"/>
    <n v="2.9807630007146608"/>
    <n v="3.2817247611236957"/>
    <n v="3.6154457078066358"/>
    <n v="3.9818271257028841"/>
  </r>
  <r>
    <x v="9"/>
    <x v="1"/>
    <x v="5"/>
    <x v="17"/>
    <x v="19"/>
    <n v="0.93587815935356056"/>
    <n v="0.97925051126932794"/>
    <n v="1.026264996319656"/>
    <n v="1.0772471205291245"/>
    <n v="1.132916395747865"/>
    <n v="1.1944836219096022"/>
    <n v="1.2621837868147991"/>
    <n v="1.3362453851554943"/>
    <n v="1.4150981368649784"/>
    <n v="1.4976606444850222"/>
    <n v="1.5820448590397436"/>
    <n v="1.6674921810821959"/>
    <n v="1.7549398310682185"/>
  </r>
  <r>
    <x v="9"/>
    <x v="1"/>
    <x v="5"/>
    <x v="18"/>
    <x v="20"/>
    <n v="1.2001060203562444"/>
    <n v="1.2796504206234145"/>
    <n v="1.3647017109909669"/>
    <n v="1.459138123956774"/>
    <n v="1.5630050274669616"/>
    <n v="1.6762217915446052"/>
    <n v="1.797977118720653"/>
    <n v="1.9270779644199478"/>
    <n v="2.0635704904355188"/>
    <n v="2.2124484061512915"/>
    <n v="2.3751890561784315"/>
    <n v="2.5501702800508763"/>
    <n v="2.7359507602737234"/>
  </r>
  <r>
    <x v="9"/>
    <x v="2"/>
    <x v="6"/>
    <x v="19"/>
    <x v="21"/>
    <n v="40.324331781054859"/>
    <n v="43.316965294536402"/>
    <n v="46.593679232245627"/>
    <n v="50.117379463652689"/>
    <n v="53.867396194217804"/>
    <n v="57.926052182646437"/>
    <n v="62.359437661125824"/>
    <n v="67.312565045748741"/>
    <n v="72.831072362873243"/>
    <n v="78.835832956360917"/>
    <n v="85.338155723540609"/>
    <n v="92.264825823422839"/>
    <n v="99.622135346550138"/>
  </r>
  <r>
    <x v="9"/>
    <x v="2"/>
    <x v="7"/>
    <x v="20"/>
    <x v="22"/>
    <n v="69.851892868025288"/>
    <n v="73.976149119402862"/>
    <n v="78.436383484146873"/>
    <n v="83.106710893374739"/>
    <n v="87.888909580039581"/>
    <n v="92.902345250728388"/>
    <n v="98.248212854803356"/>
    <n v="104.19644166366794"/>
    <n v="110.84343175327705"/>
    <n v="117.99758499342634"/>
    <n v="125.70198600706348"/>
    <n v="133.78372749087805"/>
    <n v="142.18439174053827"/>
  </r>
  <r>
    <x v="9"/>
    <x v="3"/>
    <x v="8"/>
    <x v="21"/>
    <x v="23"/>
    <n v="7.577585647504204"/>
    <n v="7.8757431074670228"/>
    <n v="8.1987584939847391"/>
    <n v="8.548686617057335"/>
    <n v="8.9306472637782157"/>
    <n v="9.3534892096529898"/>
    <n v="9.8181763839185976"/>
    <n v="10.32558585942399"/>
    <n v="10.862660434861255"/>
    <n v="11.420428610368175"/>
    <n v="11.983995812914193"/>
    <n v="12.547410872741242"/>
    <n v="13.11763911723221"/>
  </r>
  <r>
    <x v="9"/>
    <x v="3"/>
    <x v="9"/>
    <x v="22"/>
    <x v="24"/>
    <n v="20.952316942226311"/>
    <n v="22.009091908726543"/>
    <n v="23.146678948234886"/>
    <n v="24.325704600384519"/>
    <n v="25.516135039366329"/>
    <n v="26.752063673219801"/>
    <n v="28.061233188567652"/>
    <n v="29.518653416809666"/>
    <n v="31.147703508728213"/>
    <n v="32.890016995599886"/>
    <n v="34.754458030616512"/>
    <n v="36.689834439672815"/>
    <n v="38.677951676289744"/>
  </r>
  <r>
    <x v="9"/>
    <x v="3"/>
    <x v="10"/>
    <x v="23"/>
    <x v="25"/>
    <n v="36.085928773154691"/>
    <n v="38.86915261002413"/>
    <n v="42.026341716896283"/>
    <n v="45.42224192345823"/>
    <n v="48.905925492118797"/>
    <n v="52.566972484559273"/>
    <n v="56.422907658647361"/>
    <n v="60.795526894469504"/>
    <n v="65.85381424205579"/>
    <n v="71.393318296735956"/>
    <n v="77.479130972407006"/>
    <n v="83.914511217089199"/>
    <n v="90.67720966280018"/>
  </r>
  <r>
    <x v="9"/>
    <x v="3"/>
    <x v="11"/>
    <x v="24"/>
    <x v="26"/>
    <n v="24.430712755569921"/>
    <n v="26.139569800666933"/>
    <n v="27.869222757513683"/>
    <n v="29.664511477468494"/>
    <n v="31.611656187659396"/>
    <n v="33.794500237885401"/>
    <n v="36.27487638011862"/>
    <n v="39.016566700908015"/>
    <n v="41.937779425455837"/>
    <n v="45.035584629497698"/>
    <n v="48.35800015829502"/>
    <n v="51.960468504823083"/>
    <n v="55.812969362082427"/>
  </r>
  <r>
    <x v="9"/>
    <x v="3"/>
    <x v="12"/>
    <x v="25"/>
    <x v="27"/>
    <n v="6.9198988971911879"/>
    <n v="7.3678406171535729"/>
    <n v="7.8578031858603525"/>
    <n v="8.3836261585416558"/>
    <n v="8.9306472637782157"/>
    <n v="9.5086048848264184"/>
    <n v="10.124897102823541"/>
    <n v="10.795719069299444"/>
    <n v="11.527406916320125"/>
    <n v="12.322351696491946"/>
    <n v="13.167260136212416"/>
    <n v="14.049276608118278"/>
    <n v="14.979142890379478"/>
  </r>
  <r>
    <x v="9"/>
    <x v="3"/>
    <x v="13"/>
    <x v="26"/>
    <x v="28"/>
    <n v="14.209781633433836"/>
    <n v="15.031716369901064"/>
    <n v="15.931257613902565"/>
    <n v="16.879319580117187"/>
    <n v="17.861294527556446"/>
    <n v="18.852766943230929"/>
    <n v="19.9055598018534"/>
    <n v="21.056954768506053"/>
    <n v="22.34513958872904"/>
    <n v="23.771717721093584"/>
    <n v="25.29729662015896"/>
    <n v="26.887051671856259"/>
    <n v="28.541614378304349"/>
  </r>
  <r>
    <x v="9"/>
    <x v="4"/>
    <x v="14"/>
    <x v="27"/>
    <x v="29"/>
    <n v="45.164409289990687"/>
    <n v="48.191163502161167"/>
    <n v="51.501078363381623"/>
    <n v="55.124163318557102"/>
    <n v="59.112379507865327"/>
    <n v="63.546774918608023"/>
    <n v="68.462098330190912"/>
    <n v="73.894544686071654"/>
    <n v="79.78268549720913"/>
    <n v="86.086822719582969"/>
    <n v="92.71691625881266"/>
    <n v="99.641295982943618"/>
    <n v="106.92656505464599"/>
  </r>
  <r>
    <x v="9"/>
    <x v="4"/>
    <x v="15"/>
    <x v="28"/>
    <x v="30"/>
    <n v="65.011815359089468"/>
    <n v="69.10195091177809"/>
    <n v="73.528984353010884"/>
    <n v="78.099927038470327"/>
    <n v="82.643926266392057"/>
    <n v="87.281622514766795"/>
    <n v="92.145552185738268"/>
    <n v="97.614462023345013"/>
    <n v="103.89181861894114"/>
    <n v="110.74659523020428"/>
    <n v="118.32322547179143"/>
    <n v="126.40725733135726"/>
    <n v="134.87996203244239"/>
  </r>
  <r>
    <x v="9"/>
    <x v="5"/>
    <x v="16"/>
    <x v="29"/>
    <x v="31"/>
    <n v="7.7863328478036049"/>
    <n v="8.4292216064616241"/>
    <n v="9.1267366320788863"/>
    <n v="9.9069308876457658"/>
    <n v="10.773479238843562"/>
    <n v="11.729307495794069"/>
    <n v="12.772300136622411"/>
    <n v="13.897393541081557"/>
    <n v="15.108049906799543"/>
    <n v="16.444069118926311"/>
    <n v="17.921436772378371"/>
    <n v="19.533570450639669"/>
    <n v="21.274702864314659"/>
  </r>
  <r>
    <x v="9"/>
    <x v="5"/>
    <x v="17"/>
    <x v="30"/>
    <x v="32"/>
    <n v="19.286989078308324"/>
    <n v="20.770033243653486"/>
    <n v="22.554248600085629"/>
    <n v="24.417883452424846"/>
    <n v="26.224916568237632"/>
    <n v="28.017736155508246"/>
    <n v="29.856189946830341"/>
    <n v="32.09935418710603"/>
    <n v="34.942293339529328"/>
    <n v="38.074681316676077"/>
    <n v="41.526187167857813"/>
    <n v="45.100546793844785"/>
    <n v="48.769622094518837"/>
  </r>
  <r>
    <x v="9"/>
    <x v="5"/>
    <x v="18"/>
    <x v="31"/>
    <x v="33"/>
    <n v="16.537467699775714"/>
    <n v="17.532566790731945"/>
    <n v="18.618536580663203"/>
    <n v="19.779538064168875"/>
    <n v="20.97993325459009"/>
    <n v="22.24200626167249"/>
    <n v="23.582179395140248"/>
    <n v="25.037074517133082"/>
    <n v="26.619811455282044"/>
    <n v="28.334161221569353"/>
    <n v="30.147749621123424"/>
    <n v="32.029739879471904"/>
    <n v="34.003606270533766"/>
  </r>
  <r>
    <x v="9"/>
    <x v="5"/>
    <x v="19"/>
    <x v="32"/>
    <x v="34"/>
    <n v="29.494296921185267"/>
    <n v="31.403743470578444"/>
    <n v="33.318189328390552"/>
    <n v="35.290984770968471"/>
    <n v="37.423664724403949"/>
    <n v="39.812952731610856"/>
    <n v="42.527729838775556"/>
    <n v="45.520551026484377"/>
    <n v="48.691672955830342"/>
    <n v="52.034800975350088"/>
    <n v="55.602595985502099"/>
    <n v="59.455202303360245"/>
    <n v="63.553767860066067"/>
  </r>
  <r>
    <x v="9"/>
    <x v="5"/>
    <x v="20"/>
    <x v="33"/>
    <x v="35"/>
    <n v="12.134807290650977"/>
    <n v="13.006329071926872"/>
    <n v="13.956701453247629"/>
    <n v="14.966050012246237"/>
    <n v="16.018462552491084"/>
    <n v="17.136871504495645"/>
    <n v="18.341936198061298"/>
    <n v="19.686766841693135"/>
    <n v="21.194182451669747"/>
    <n v="22.832916502009592"/>
    <n v="24.615482145919049"/>
    <n v="26.512597195994896"/>
    <n v="28.51615399493889"/>
  </r>
  <r>
    <x v="9"/>
    <x v="5"/>
    <x v="21"/>
    <x v="34"/>
    <x v="36"/>
    <n v="10.004632778993784"/>
    <n v="10.429759542655455"/>
    <n v="10.874863284620977"/>
    <n v="11.368703367935868"/>
    <n v="11.907529685037622"/>
    <n v="12.486797218754905"/>
    <n v="13.096759910394915"/>
    <n v="13.72560388100165"/>
    <n v="14.371264487385252"/>
    <n v="15.066224812394214"/>
    <n v="15.816050593189011"/>
    <n v="16.604991359681947"/>
    <n v="17.419666635353583"/>
  </r>
  <r>
    <x v="9"/>
    <x v="5"/>
    <x v="22"/>
    <x v="35"/>
    <x v="37"/>
    <n v="14.931698032362497"/>
    <n v="15.721460687931428"/>
    <n v="16.580786837305638"/>
    <n v="17.493999801637358"/>
    <n v="18.428319750653461"/>
    <n v="19.402726065538602"/>
    <n v="20.430555090104416"/>
    <n v="21.542262714916859"/>
    <n v="22.74722951965402"/>
    <n v="24.04656400286159"/>
    <n v="25.410639444634313"/>
    <n v="26.811905331307422"/>
    <n v="28.269007367362583"/>
  </r>
  <r>
    <x v="10"/>
    <x v="0"/>
    <x v="0"/>
    <x v="0"/>
    <x v="0"/>
    <n v="9.7044553880152744"/>
    <n v="10.439877512124889"/>
    <n v="11.248431122224703"/>
    <n v="12.138353440397786"/>
    <n v="13.122958882469037"/>
    <n v="14.222425387451352"/>
    <n v="15.447192950827938"/>
    <n v="16.808326051716016"/>
    <n v="18.294998496639387"/>
    <n v="19.900968331385723"/>
    <n v="21.608111322229689"/>
    <n v="23.411277365892452"/>
    <n v="25.328204579881053"/>
  </r>
  <r>
    <x v="10"/>
    <x v="0"/>
    <x v="1"/>
    <x v="1"/>
    <x v="1"/>
    <n v="24.212837932187639"/>
    <n v="25.575938012489058"/>
    <n v="27.047745894365185"/>
    <n v="28.583965483685606"/>
    <n v="30.150269167986718"/>
    <n v="31.787325810130532"/>
    <n v="33.529162699728808"/>
    <n v="35.467033789996165"/>
    <n v="37.632175070593263"/>
    <n v="39.957714962961639"/>
    <n v="42.456933564371319"/>
    <n v="45.070012820032197"/>
    <n v="47.776313160072526"/>
  </r>
  <r>
    <x v="10"/>
    <x v="0"/>
    <x v="2"/>
    <x v="2"/>
    <x v="2"/>
    <n v="54.508271370852256"/>
    <n v="56.891320371671227"/>
    <n v="59.388983767414729"/>
    <n v="62.158719534836791"/>
    <n v="65.18097758978422"/>
    <n v="68.431761974687717"/>
    <n v="71.858458819723495"/>
    <n v="75.396861070897174"/>
    <n v="79.036014348392328"/>
    <n v="82.954910528415624"/>
    <n v="87.185171442125508"/>
    <n v="91.641060020097882"/>
    <n v="96.249516268929327"/>
  </r>
  <r>
    <x v="10"/>
    <x v="1"/>
    <x v="3"/>
    <x v="3"/>
    <x v="3"/>
    <n v="3.6621402961951652"/>
    <n v="3.9725796230903332"/>
    <n v="4.3163573946205052"/>
    <n v="4.6916854240089361"/>
    <n v="5.0918217064054963"/>
    <n v="5.5233725157962104"/>
    <n v="5.9920398763463938"/>
    <n v="6.5091061975406372"/>
    <n v="7.0806919549763858"/>
    <n v="7.7108649861313721"/>
    <n v="8.3940834821701582"/>
    <n v="9.124562495510764"/>
    <n v="9.9113148442010388"/>
  </r>
  <r>
    <x v="10"/>
    <x v="1"/>
    <x v="3"/>
    <x v="3"/>
    <x v="4"/>
    <n v="6.1801155406391075"/>
    <n v="6.5495005300844635"/>
    <n v="6.9525415110332016"/>
    <n v="7.3832848868784646"/>
    <n v="7.8283954869406074"/>
    <n v="8.2961712053942271"/>
    <n v="8.7927108744289963"/>
    <n v="9.3316354939720103"/>
    <n v="9.9177858294363137"/>
    <n v="10.552512142728547"/>
    <n v="11.223700987944643"/>
    <n v="11.919829512198968"/>
    <n v="12.649604023030475"/>
  </r>
  <r>
    <x v="10"/>
    <x v="1"/>
    <x v="3"/>
    <x v="3"/>
    <x v="5"/>
    <n v="7.9555192759628817"/>
    <n v="8.293351749002051"/>
    <n v="8.5911674719511311"/>
    <n v="8.9967991018742239"/>
    <n v="9.5107154339908817"/>
    <n v="10.122295663083197"/>
    <n v="10.721250879494715"/>
    <n v="11.23125920512453"/>
    <n v="11.626091241622689"/>
    <n v="12.025820616433901"/>
    <n v="12.521055813703327"/>
    <n v="13.074927191539373"/>
    <n v="13.613707077524204"/>
  </r>
  <r>
    <x v="10"/>
    <x v="1"/>
    <x v="3"/>
    <x v="4"/>
    <x v="6"/>
    <n v="15.921664974183681"/>
    <n v="16.725305431386253"/>
    <n v="17.590415990687223"/>
    <n v="18.487081278354562"/>
    <n v="19.39247960212003"/>
    <n v="20.332523251544913"/>
    <n v="21.328301448908345"/>
    <n v="22.436832438699927"/>
    <n v="23.675898643444473"/>
    <n v="25.001148768893827"/>
    <n v="26.419330167039742"/>
    <n v="27.891538077593243"/>
    <n v="29.403946950668249"/>
  </r>
  <r>
    <x v="10"/>
    <x v="1"/>
    <x v="3"/>
    <x v="5"/>
    <x v="7"/>
    <n v="10.182555611567851"/>
    <n v="10.632984183336603"/>
    <n v="11.124603573971754"/>
    <n v="11.635244941612145"/>
    <n v="12.153812100867853"/>
    <n v="12.663080932734193"/>
    <n v="13.197910165673912"/>
    <n v="13.781723900951068"/>
    <n v="14.437301901341796"/>
    <n v="15.162564333905815"/>
    <n v="15.929314742534256"/>
    <n v="16.713599597876687"/>
    <n v="17.5146817926822"/>
  </r>
  <r>
    <x v="10"/>
    <x v="1"/>
    <x v="3"/>
    <x v="6"/>
    <x v="8"/>
    <n v="6.4772046747234633"/>
    <n v="6.7140614757354244"/>
    <n v="6.9730077199755716"/>
    <n v="7.2396166023110711"/>
    <n v="7.5067662975948508"/>
    <n v="7.7637560625769426"/>
    <n v="8.0321316409308157"/>
    <n v="8.3258486224555739"/>
    <n v="8.6580590018624726"/>
    <n v="9.0266130926286792"/>
    <n v="9.4138645728097643"/>
    <n v="9.8051777415687624"/>
    <n v="10.199957684641689"/>
  </r>
  <r>
    <x v="10"/>
    <x v="1"/>
    <x v="3"/>
    <x v="7"/>
    <x v="9"/>
    <n v="10.958606918645165"/>
    <n v="11.635040073479798"/>
    <n v="12.355359909028536"/>
    <n v="13.154064270962166"/>
    <n v="14.030503675266564"/>
    <n v="14.982899479734106"/>
    <n v="16.002962535316843"/>
    <n v="17.079136823517089"/>
    <n v="18.211036231163074"/>
    <n v="19.441935492699496"/>
    <n v="20.78346532802405"/>
    <n v="22.219924831902279"/>
    <n v="23.737440834285916"/>
  </r>
  <r>
    <x v="10"/>
    <x v="1"/>
    <x v="3"/>
    <x v="8"/>
    <x v="10"/>
    <n v="12.509751840338001"/>
    <n v="12.800253512310311"/>
    <n v="13.118834974949614"/>
    <n v="13.467210235845581"/>
    <n v="13.851771144371449"/>
    <n v="14.28425138081341"/>
    <n v="14.76356444250986"/>
    <n v="15.288488150875217"/>
    <n v="15.837171868393602"/>
    <n v="16.394989007794926"/>
    <n v="16.939663614039858"/>
    <n v="17.462907527636968"/>
    <n v="17.974930740210631"/>
  </r>
  <r>
    <x v="10"/>
    <x v="1"/>
    <x v="4"/>
    <x v="9"/>
    <x v="11"/>
    <n v="2.0199089134365327"/>
    <n v="2.1918235624367317"/>
    <n v="2.3806660804656352"/>
    <n v="2.5891514493304428"/>
    <n v="2.8198093466462382"/>
    <n v="3.0755139676239827"/>
    <n v="3.3590927718916053"/>
    <n v="3.6711624226976598"/>
    <n v="4.012163080763008"/>
    <n v="4.3829943404391498"/>
    <n v="4.7844687104314163"/>
    <n v="5.2201542997897006"/>
    <n v="5.6904510138507858"/>
  </r>
  <r>
    <x v="10"/>
    <x v="1"/>
    <x v="4"/>
    <x v="10"/>
    <x v="12"/>
    <n v="1.4872976412883512"/>
    <n v="1.6316517380979307"/>
    <n v="1.7917259006205004"/>
    <n v="1.9700425122569878"/>
    <n v="2.1690841128047995"/>
    <n v="2.3916959209038056"/>
    <n v="2.6407987350470323"/>
    <n v="2.9176886790930916"/>
    <n v="3.2235621359510738"/>
    <n v="3.5600202777492087"/>
    <n v="3.9286463863383645"/>
    <n v="4.3333376477483956"/>
    <n v="4.7755130153803513"/>
  </r>
  <r>
    <x v="10"/>
    <x v="1"/>
    <x v="4"/>
    <x v="11"/>
    <x v="13"/>
    <n v="1.4712310767067385"/>
    <n v="1.5528288158006673"/>
    <n v="1.6415401945364534"/>
    <n v="1.738055455744355"/>
    <n v="1.8437214958840797"/>
    <n v="1.9607281518749566"/>
    <n v="2.0897353421611089"/>
    <n v="2.2314101023765565"/>
    <n v="2.3834335844757701"/>
    <n v="2.5442253011707834"/>
    <n v="2.710775933150269"/>
    <n v="2.8819041951084801"/>
    <n v="3.0593165732683691"/>
  </r>
  <r>
    <x v="10"/>
    <x v="1"/>
    <x v="4"/>
    <x v="12"/>
    <x v="14"/>
    <n v="1.6515855011814022"/>
    <n v="1.7679489896885103"/>
    <n v="1.8947208767272081"/>
    <n v="2.0291619804840462"/>
    <n v="2.1690841128047995"/>
    <n v="2.3175701211360593"/>
    <n v="2.4773796170122186"/>
    <n v="2.655641015387245"/>
    <n v="2.8553601573720302"/>
    <n v="3.0722408223457229"/>
    <n v="3.3078989743658349"/>
    <n v="3.5583255332172992"/>
    <n v="3.8223733028900946"/>
  </r>
  <r>
    <x v="10"/>
    <x v="1"/>
    <x v="4"/>
    <x v="13"/>
    <x v="15"/>
    <n v="1.3457613108666473"/>
    <n v="1.4544583394917481"/>
    <n v="1.5745059372072514"/>
    <n v="1.7051187752440786"/>
    <n v="1.8437214958840797"/>
    <n v="1.9926088574256084"/>
    <n v="2.1537146034679715"/>
    <n v="2.3309485227489044"/>
    <n v="2.5263128895950548"/>
    <n v="2.7410464336522851"/>
    <n v="2.9729517087811024"/>
    <n v="3.2197753216284899"/>
    <n v="3.4845167416319023"/>
  </r>
  <r>
    <x v="10"/>
    <x v="1"/>
    <x v="5"/>
    <x v="14"/>
    <x v="16"/>
    <n v="1.9776475350318388"/>
    <n v="2.1031985577322438"/>
    <n v="2.2287760488362065"/>
    <n v="2.3579476206041639"/>
    <n v="2.4974834474834458"/>
    <n v="2.653800502497746"/>
    <n v="2.8314294703439153"/>
    <n v="3.0271348264219764"/>
    <n v="3.2342182135695738"/>
    <n v="3.452219559701617"/>
    <n v="3.684592160681798"/>
    <n v="3.9352688300459664"/>
    <n v="4.2016112629864155"/>
  </r>
  <r>
    <x v="10"/>
    <x v="1"/>
    <x v="5"/>
    <x v="15"/>
    <x v="17"/>
    <n v="1.817821652426783"/>
    <n v="1.9058135943529002"/>
    <n v="1.9908662143184015"/>
    <n v="2.0762273968231564"/>
    <n v="2.1677826623371166"/>
    <n v="2.2707739040600918"/>
    <n v="2.3885224500800706"/>
    <n v="2.5175959223008308"/>
    <n v="2.651857202442744"/>
    <n v="2.7906150250241715"/>
    <n v="2.9363721806363881"/>
    <n v="3.0918644945637102"/>
    <n v="3.2544996452535044"/>
  </r>
  <r>
    <x v="10"/>
    <x v="1"/>
    <x v="5"/>
    <x v="16"/>
    <x v="18"/>
    <n v="1.0199908109090892"/>
    <n v="1.1039797950457304"/>
    <n v="1.1960412245488419"/>
    <n v="1.2974740946242103"/>
    <n v="1.4094708565005589"/>
    <n v="1.5333835167134156"/>
    <n v="1.6705264575664329"/>
    <n v="1.8211005964650357"/>
    <n v="1.9852164951626456"/>
    <n v="2.16321011236839"/>
    <n v="2.3553701830664253"/>
    <n v="2.563338215392688"/>
    <n v="2.7871824333254245"/>
  </r>
  <r>
    <x v="10"/>
    <x v="1"/>
    <x v="5"/>
    <x v="17"/>
    <x v="19"/>
    <n v="0.82527470493683819"/>
    <n v="0.8590481845629796"/>
    <n v="0.8959219038848677"/>
    <n v="0.93407974731229293"/>
    <n v="0.97261731618167202"/>
    <n v="1.0101511932854566"/>
    <n v="1.0494702419557678"/>
    <n v="1.092418682787536"/>
    <n v="1.1407661379738805"/>
    <n v="1.1942953619792906"/>
    <n v="1.2507344856986005"/>
    <n v="1.3081731216522834"/>
    <n v="1.366541935408804"/>
  </r>
  <r>
    <x v="10"/>
    <x v="1"/>
    <x v="5"/>
    <x v="18"/>
    <x v="20"/>
    <n v="0.96148641201561758"/>
    <n v="1.0133077406505024"/>
    <n v="1.0681078566417128"/>
    <n v="1.1287926846493002"/>
    <n v="1.1951653461554443"/>
    <n v="1.2669365450712624"/>
    <n v="1.3432729171442233"/>
    <n v="1.4230893091944732"/>
    <n v="1.5062613460784118"/>
    <n v="1.5962781471158096"/>
    <n v="1.6939268973105306"/>
    <n v="1.7977415710484597"/>
    <n v="1.9064441376428185"/>
  </r>
  <r>
    <x v="10"/>
    <x v="2"/>
    <x v="6"/>
    <x v="19"/>
    <x v="21"/>
    <n v="33.917293320202916"/>
    <n v="36.015815524613949"/>
    <n v="38.296177016589887"/>
    <n v="40.722318924083396"/>
    <n v="43.273228050455756"/>
    <n v="46.009751197581885"/>
    <n v="48.976355650556748"/>
    <n v="52.275359841712181"/>
    <n v="55.92717356723265"/>
    <n v="59.858683294347358"/>
    <n v="64.065044886601015"/>
    <n v="68.481290185924649"/>
    <n v="73.104517739953579"/>
  </r>
  <r>
    <x v="10"/>
    <x v="2"/>
    <x v="7"/>
    <x v="20"/>
    <x v="22"/>
    <n v="54.508271370852256"/>
    <n v="56.891320371671227"/>
    <n v="59.388983767414729"/>
    <n v="62.158719534836791"/>
    <n v="65.18097758978422"/>
    <n v="68.431761974687717"/>
    <n v="71.858458819723495"/>
    <n v="75.396861070897174"/>
    <n v="79.036014348392328"/>
    <n v="82.954910528415624"/>
    <n v="87.185171442125508"/>
    <n v="91.641060020097882"/>
    <n v="96.249516268929327"/>
  </r>
  <r>
    <x v="10"/>
    <x v="3"/>
    <x v="8"/>
    <x v="21"/>
    <x v="23"/>
    <n v="4.7056752368671395"/>
    <n v="4.8702601574936173"/>
    <n v="5.0492109770187099"/>
    <n v="5.2368433264919867"/>
    <n v="5.422710282011999"/>
    <n v="5.6122862502480197"/>
    <n v="5.8090394506791529"/>
    <n v="6.0210584784842558"/>
    <n v="6.2499741042291994"/>
    <n v="6.4950025305354879"/>
    <n v="6.7470772738352318"/>
    <n v="6.9982642159374402"/>
    <n v="7.253207398764105"/>
  </r>
  <r>
    <x v="10"/>
    <x v="3"/>
    <x v="9"/>
    <x v="22"/>
    <x v="24"/>
    <n v="14.200310915576265"/>
    <n v="14.749934165791901"/>
    <n v="15.350330460607834"/>
    <n v="15.970049118926287"/>
    <n v="16.593493462956715"/>
    <n v="17.197026728696155"/>
    <n v="17.82824385663222"/>
    <n v="18.518286306573991"/>
    <n v="19.296764481069957"/>
    <n v="20.159426631028186"/>
    <n v="21.067373914413075"/>
    <n v="21.988123812135584"/>
    <n v="22.92041280010169"/>
  </r>
  <r>
    <x v="10"/>
    <x v="3"/>
    <x v="10"/>
    <x v="23"/>
    <x v="25"/>
    <n v="25.952317842130498"/>
    <n v="27.505813126547835"/>
    <n v="29.106877411074393"/>
    <n v="30.956754083411141"/>
    <n v="33.078532720273202"/>
    <n v="35.464430702904238"/>
    <n v="38.016086930407141"/>
    <n v="40.633561326059933"/>
    <n v="43.286403031450618"/>
    <n v="46.160051458719849"/>
    <n v="49.360828930696357"/>
    <n v="52.8566927584898"/>
    <n v="56.562840569737247"/>
  </r>
  <r>
    <x v="10"/>
    <x v="3"/>
    <x v="11"/>
    <x v="24"/>
    <x v="26"/>
    <n v="21.076568163875166"/>
    <n v="22.309176130728115"/>
    <n v="23.641756421007504"/>
    <n v="25.03620359247185"/>
    <n v="26.462826176218552"/>
    <n v="27.957509703721062"/>
    <n v="29.550595276033594"/>
    <n v="31.323110449065673"/>
    <n v="33.303745417996893"/>
    <n v="35.43459846823508"/>
    <n v="37.728364526856964"/>
    <n v="40.132883167798404"/>
    <n v="42.630448190955349"/>
  </r>
  <r>
    <x v="10"/>
    <x v="3"/>
    <x v="12"/>
    <x v="25"/>
    <x v="27"/>
    <n v="8.00705536375491"/>
    <n v="8.4278341884292249"/>
    <n v="8.8856236706256357"/>
    <n v="9.371986270772414"/>
    <n v="9.8693327132618371"/>
    <n v="10.38781619817477"/>
    <n v="10.934555603412161"/>
    <n v="11.525823041164129"/>
    <n v="12.166593553841331"/>
    <n v="12.85741131144534"/>
    <n v="13.582385978059959"/>
    <n v="14.326757403752788"/>
    <n v="15.100469071383909"/>
  </r>
  <r>
    <x v="10"/>
    <x v="3"/>
    <x v="13"/>
    <x v="26"/>
    <x v="28"/>
    <n v="14.483637168851198"/>
    <n v="15.044118127294494"/>
    <n v="15.651361843670532"/>
    <n v="16.309202066846517"/>
    <n v="17.027310285517679"/>
    <n v="17.822443588525356"/>
    <n v="18.696293353115962"/>
    <n v="19.650381311261384"/>
    <n v="20.65970732703698"/>
    <n v="21.707103422799054"/>
    <n v="22.76418570486495"/>
    <n v="23.819628847908518"/>
    <n v="24.886655977940606"/>
  </r>
  <r>
    <x v="10"/>
    <x v="4"/>
    <x v="14"/>
    <x v="27"/>
    <x v="29"/>
    <n v="39.666582277669406"/>
    <n v="42.050272574437813"/>
    <n v="44.418375243790464"/>
    <n v="46.842037550423775"/>
    <n v="49.455117771949432"/>
    <n v="52.382759455893748"/>
    <n v="55.711261175370851"/>
    <n v="59.372997961132292"/>
    <n v="63.233262000909107"/>
    <n v="67.280998605476398"/>
    <n v="71.58154608722343"/>
    <n v="76.208712412103523"/>
    <n v="81.108094282358749"/>
  </r>
  <r>
    <x v="10"/>
    <x v="4"/>
    <x v="15"/>
    <x v="28"/>
    <x v="30"/>
    <n v="48.758982413385766"/>
    <n v="50.856863321847371"/>
    <n v="53.266785540214144"/>
    <n v="56.039000908496412"/>
    <n v="58.999087868290545"/>
    <n v="62.058753716375847"/>
    <n v="65.123553294909385"/>
    <n v="68.299222951477077"/>
    <n v="71.729925914715878"/>
    <n v="75.532595217286584"/>
    <n v="79.668670241503108"/>
    <n v="83.913637793919008"/>
    <n v="88.245939726524156"/>
  </r>
  <r>
    <x v="10"/>
    <x v="5"/>
    <x v="16"/>
    <x v="29"/>
    <x v="31"/>
    <n v="5.738918111027802"/>
    <n v="6.1918140007803997"/>
    <n v="6.6913964741826755"/>
    <n v="7.2340786924521767"/>
    <n v="7.8087028060972781"/>
    <n v="8.4248125546033421"/>
    <n v="9.0903588203818053"/>
    <n v="9.8215771378807126"/>
    <n v="10.626552902815018"/>
    <n v="11.510102670220164"/>
    <n v="12.462578989124678"/>
    <n v="13.474163568112242"/>
    <n v="14.557085468368221"/>
  </r>
  <r>
    <x v="10"/>
    <x v="5"/>
    <x v="17"/>
    <x v="30"/>
    <x v="32"/>
    <n v="7.7360218189890304"/>
    <n v="8.246101862194223"/>
    <n v="8.8724970488116242"/>
    <n v="9.7048582712570379"/>
    <n v="10.628512152743511"/>
    <n v="11.574932354802272"/>
    <n v="12.427290940703401"/>
    <n v="13.219144571486183"/>
    <n v="14.037680608356979"/>
    <n v="15.035175892940543"/>
    <n v="16.266074786905506"/>
    <n v="17.589770396423717"/>
    <n v="18.965398688410261"/>
  </r>
  <r>
    <x v="10"/>
    <x v="5"/>
    <x v="18"/>
    <x v="31"/>
    <x v="33"/>
    <n v="7.4546340734456349"/>
    <n v="7.8374638467388262"/>
    <n v="8.2497505208614683"/>
    <n v="8.67753805890462"/>
    <n v="9.110153273780158"/>
    <n v="9.5597812718047699"/>
    <n v="10.03638037180192"/>
    <n v="10.566849271831229"/>
    <n v="11.159698155104694"/>
    <n v="11.794178363224857"/>
    <n v="12.473577325456457"/>
    <n v="13.179639217855195"/>
    <n v="13.905898004534233"/>
  </r>
  <r>
    <x v="10"/>
    <x v="5"/>
    <x v="19"/>
    <x v="32"/>
    <x v="34"/>
    <n v="21.400269442113888"/>
    <n v="22.573045458297724"/>
    <n v="23.833739813174258"/>
    <n v="25.198607840943424"/>
    <n v="26.679734587499034"/>
    <n v="28.290479705806398"/>
    <n v="30.041580215221209"/>
    <n v="31.922026461561995"/>
    <n v="33.919646802103188"/>
    <n v="36.026687578832309"/>
    <n v="38.234764082640787"/>
    <n v="40.557690736424334"/>
    <n v="42.98240472869297"/>
  </r>
  <r>
    <x v="10"/>
    <x v="5"/>
    <x v="20"/>
    <x v="33"/>
    <x v="35"/>
    <n v="9.0935175835655855"/>
    <n v="9.6189663694120391"/>
    <n v="10.190808660928576"/>
    <n v="10.813631345124024"/>
    <n v="11.496145797865438"/>
    <n v="12.252394303447007"/>
    <n v="13.086979863118543"/>
    <n v="14.004588112581779"/>
    <n v="14.991203688140798"/>
    <n v="16.037331655776342"/>
    <n v="17.124386684807401"/>
    <n v="18.245168430613873"/>
    <n v="19.410695074203581"/>
  </r>
  <r>
    <x v="10"/>
    <x v="5"/>
    <x v="21"/>
    <x v="34"/>
    <x v="36"/>
    <n v="27.290484561768128"/>
    <n v="28.295628796983038"/>
    <n v="29.230916352752228"/>
    <n v="30.145918697250448"/>
    <n v="31.12635701874887"/>
    <n v="32.244916869775984"/>
    <n v="33.543744662906079"/>
    <n v="34.968186356898443"/>
    <n v="36.428293915824845"/>
    <n v="37.912780505300496"/>
    <n v="39.454213515607371"/>
    <n v="41.086830281671133"/>
    <n v="42.772505693012135"/>
  </r>
  <r>
    <x v="10"/>
    <x v="5"/>
    <x v="22"/>
    <x v="35"/>
    <x v="37"/>
    <n v="9.7117191001450962"/>
    <n v="10.144115561878937"/>
    <n v="10.61605191329379"/>
    <n v="11.106405552988466"/>
    <n v="11.604600003505675"/>
    <n v="12.094196112029822"/>
    <n v="12.60847959614728"/>
    <n v="13.169849000369027"/>
    <n v="13.800111843279451"/>
    <n v="14.49733715646826"/>
    <n v="15.234620944184345"/>
    <n v="15.989087574922014"/>
    <n v="16.760046351661526"/>
  </r>
  <r>
    <x v="11"/>
    <x v="0"/>
    <x v="0"/>
    <x v="0"/>
    <x v="0"/>
    <n v="21.708371077472179"/>
    <n v="23.881003740568968"/>
    <n v="26.180876715972563"/>
    <n v="28.656382261561962"/>
    <n v="31.400932696405757"/>
    <n v="34.515512832552815"/>
    <n v="38.088955085488905"/>
    <n v="42.115589949317091"/>
    <n v="46.538009810843889"/>
    <n v="51.378071150302169"/>
    <n v="56.716702310900864"/>
    <n v="62.651052579668352"/>
    <n v="69.184213592022815"/>
  </r>
  <r>
    <x v="11"/>
    <x v="0"/>
    <x v="1"/>
    <x v="1"/>
    <x v="1"/>
    <n v="54.122055743285308"/>
    <n v="58.194669652270619"/>
    <n v="62.690131770680509"/>
    <n v="67.511965747577264"/>
    <n v="72.614656860438316"/>
    <n v="77.90938061785981"/>
    <n v="83.616140851216187"/>
    <n v="89.908146089553554"/>
    <n v="96.973310313123434"/>
    <n v="104.85226494563935"/>
    <n v="113.40632509222287"/>
    <n v="122.50703435787227"/>
    <n v="132.17814852135598"/>
  </r>
  <r>
    <x v="11"/>
    <x v="0"/>
    <x v="2"/>
    <x v="2"/>
    <x v="2"/>
    <n v="139.22995167423633"/>
    <n v="147.34493296539478"/>
    <n v="156.17846870536144"/>
    <n v="165.80188477124327"/>
    <n v="176.34988094677874"/>
    <n v="188.03918664735744"/>
    <n v="200.94207301890663"/>
    <n v="215.13221471728548"/>
    <n v="230.39614759626613"/>
    <n v="246.58948052597208"/>
    <n v="263.42777866113272"/>
    <n v="280.80121076030537"/>
    <n v="298.88012987691076"/>
  </r>
  <r>
    <x v="11"/>
    <x v="1"/>
    <x v="3"/>
    <x v="3"/>
    <x v="3"/>
    <n v="8.3972525459583345"/>
    <n v="9.2482094861344279"/>
    <n v="10.196960573605205"/>
    <n v="11.23539398353965"/>
    <n v="12.357108112447168"/>
    <n v="13.584632869772539"/>
    <n v="14.940889236782883"/>
    <n v="16.477373574737719"/>
    <n v="18.225417650840654"/>
    <n v="20.172576491108437"/>
    <n v="22.342894429888201"/>
    <n v="24.724368648598155"/>
    <n v="27.322591799803622"/>
  </r>
  <r>
    <x v="11"/>
    <x v="1"/>
    <x v="3"/>
    <x v="3"/>
    <x v="4"/>
    <n v="14.214199389287387"/>
    <n v="15.299276445054284"/>
    <n v="16.486309712679393"/>
    <n v="17.753077242603769"/>
    <n v="19.081673922476561"/>
    <n v="20.500158676424057"/>
    <n v="22.034340180969114"/>
    <n v="23.749439080230434"/>
    <n v="25.675222740663326"/>
    <n v="27.776419883346467"/>
    <n v="30.070406152262297"/>
    <n v="32.523776704437779"/>
    <n v="35.128526066748734"/>
  </r>
  <r>
    <x v="11"/>
    <x v="1"/>
    <x v="3"/>
    <x v="3"/>
    <x v="5"/>
    <n v="21.266696474325617"/>
    <n v="22.319780036002946"/>
    <n v="23.467320640079606"/>
    <n v="24.658831243956314"/>
    <n v="26.036139418318914"/>
    <n v="27.648652146134808"/>
    <n v="29.601806509947913"/>
    <n v="31.862138502857093"/>
    <n v="34.243225927570464"/>
    <n v="36.601912842220543"/>
    <n v="38.607217788672415"/>
    <n v="40.2824203124284"/>
    <n v="41.813619892535087"/>
  </r>
  <r>
    <x v="11"/>
    <x v="1"/>
    <x v="3"/>
    <x v="4"/>
    <x v="6"/>
    <n v="39.582577465453902"/>
    <n v="42.029685771287788"/>
    <n v="44.698130797541459"/>
    <n v="47.61049103094733"/>
    <n v="50.807830564666524"/>
    <n v="54.355378811421566"/>
    <n v="58.277456254386557"/>
    <n v="62.599090804031071"/>
    <n v="67.262067702006874"/>
    <n v="72.227546182439212"/>
    <n v="77.415135413365846"/>
    <n v="82.794676844465528"/>
    <n v="88.418212447533676"/>
  </r>
  <r>
    <x v="11"/>
    <x v="1"/>
    <x v="3"/>
    <x v="5"/>
    <x v="7"/>
    <n v="24.11849383644217"/>
    <n v="25.61620913568326"/>
    <n v="27.258162292622931"/>
    <n v="28.996275654007999"/>
    <n v="30.806557898938074"/>
    <n v="32.647708037532119"/>
    <n v="34.609776856743032"/>
    <n v="36.758982053932527"/>
    <n v="39.164178987335482"/>
    <n v="41.831189479153565"/>
    <n v="44.693762341795654"/>
    <n v="47.692633800696925"/>
    <n v="50.830468369202237"/>
  </r>
  <r>
    <x v="11"/>
    <x v="1"/>
    <x v="3"/>
    <x v="6"/>
    <x v="8"/>
    <n v="15.831546821670786"/>
    <n v="16.68615538427018"/>
    <n v="17.607754580824317"/>
    <n v="18.567049146259198"/>
    <n v="19.541473294102509"/>
    <n v="20.55726581805818"/>
    <n v="21.636139260410523"/>
    <n v="22.836541875216184"/>
    <n v="24.177763230913474"/>
    <n v="25.615889674689534"/>
    <n v="27.158769764645633"/>
    <n v="28.767420864056707"/>
    <n v="30.428203438197727"/>
  </r>
  <r>
    <x v="11"/>
    <x v="1"/>
    <x v="3"/>
    <x v="7"/>
    <x v="9"/>
    <n v="26.038880851965835"/>
    <n v="28.111291757357304"/>
    <n v="30.353797564094535"/>
    <n v="32.858206103956235"/>
    <n v="35.634451301010458"/>
    <n v="38.689865509562757"/>
    <n v="42.015054891471237"/>
    <n v="45.591012299870975"/>
    <n v="49.426889621733572"/>
    <n v="53.650601945212294"/>
    <n v="58.310948602554518"/>
    <n v="63.382740972990874"/>
    <n v="68.843682209118995"/>
  </r>
  <r>
    <x v="11"/>
    <x v="1"/>
    <x v="3"/>
    <x v="8"/>
    <x v="10"/>
    <n v="29.729033805596291"/>
    <n v="31.051019227083856"/>
    <n v="32.46432010186026"/>
    <n v="33.987939111235342"/>
    <n v="35.634451301010458"/>
    <n v="37.417572584171467"/>
    <n v="39.346937175759919"/>
    <n v="41.403234885034735"/>
    <n v="43.566306057828974"/>
    <n v="45.822364995799006"/>
    <n v="48.157285692731421"/>
    <n v="50.585385872531027"/>
    <n v="53.086844153468491"/>
  </r>
  <r>
    <x v="11"/>
    <x v="1"/>
    <x v="4"/>
    <x v="9"/>
    <x v="11"/>
    <n v="5.4299590395668567"/>
    <n v="5.9921075460840454"/>
    <n v="6.6135522420819779"/>
    <n v="7.3175342730963662"/>
    <n v="8.1109730616698084"/>
    <n v="9.000595794630966"/>
    <n v="9.9896067270883506"/>
    <n v="11.078967861203518"/>
    <n v="12.276325279886866"/>
    <n v="13.619255231655467"/>
    <n v="15.128307886872626"/>
    <n v="16.806286932793139"/>
    <n v="18.656596785141794"/>
  </r>
  <r>
    <x v="11"/>
    <x v="1"/>
    <x v="4"/>
    <x v="10"/>
    <x v="12"/>
    <n v="4.186307686273234"/>
    <n v="4.6775119916160488"/>
    <n v="5.208684443706658"/>
    <n v="5.7910527442624247"/>
    <n v="6.4456021668782881"/>
    <n v="7.1961327324718356"/>
    <n v="8.0653154730230945"/>
    <n v="9.0571058509580649"/>
    <n v="10.164427023395502"/>
    <n v="11.396920160639146"/>
    <n v="12.777793431260326"/>
    <n v="14.335210412982072"/>
    <n v="16.077393891193168"/>
  </r>
  <r>
    <x v="11"/>
    <x v="1"/>
    <x v="4"/>
    <x v="11"/>
    <x v="13"/>
    <n v="3.7771828678786212"/>
    <n v="4.0760452331706647"/>
    <n v="4.3831585873037522"/>
    <n v="4.7057342182319664"/>
    <n v="5.0577930878853561"/>
    <n v="5.4534535059152143"/>
    <n v="5.9037552899970533"/>
    <n v="6.404139726190313"/>
    <n v="6.9423890415244074"/>
    <n v="7.5189037793985181"/>
    <n v="8.1425902592414054"/>
    <n v="8.8238955579105376"/>
    <n v="9.5590930502615841"/>
  </r>
  <r>
    <x v="11"/>
    <x v="1"/>
    <x v="4"/>
    <x v="12"/>
    <x v="14"/>
    <n v="4.4060221031013143"/>
    <n v="4.7837987046368058"/>
    <n v="5.1948432438325796"/>
    <n v="5.6554135329309645"/>
    <n v="6.1680403510797026"/>
    <n v="6.7348532869408331"/>
    <n v="7.355110297667073"/>
    <n v="8.026361276264657"/>
    <n v="8.7510500017235753"/>
    <n v="9.5526952787561896"/>
    <n v="10.441254852569875"/>
    <n v="11.413651678497313"/>
    <n v="12.467246431647887"/>
  </r>
  <r>
    <x v="11"/>
    <x v="1"/>
    <x v="4"/>
    <x v="13"/>
    <x v="15"/>
    <n v="3.4874010754042053"/>
    <n v="3.8268561272149171"/>
    <n v="4.2041364698552348"/>
    <n v="4.6154588521111419"/>
    <n v="5.0577930878853561"/>
    <n v="5.5399906534158276"/>
    <n v="6.0709297453663691"/>
    <n v="6.6709655245587687"/>
    <n v="7.3519880037775858"/>
    <n v="8.1080483855670469"/>
    <n v="8.9479411955981618"/>
    <n v="9.8658884969299692"/>
    <n v="10.863206923678026"/>
  </r>
  <r>
    <x v="11"/>
    <x v="1"/>
    <x v="5"/>
    <x v="14"/>
    <x v="16"/>
    <n v="4.2717555600409334"/>
    <n v="4.624234804944571"/>
    <n v="5.0150469594129561"/>
    <n v="5.4372164939951526"/>
    <n v="5.8876748805760792"/>
    <n v="6.3597520354328392"/>
    <n v="6.8718005251566048"/>
    <n v="7.4388196408787621"/>
    <n v="8.0774217851695376"/>
    <n v="8.792385953228127"/>
    <n v="9.5735651891363513"/>
    <n v="10.411385291487614"/>
    <n v="11.308935755680244"/>
  </r>
  <r>
    <x v="11"/>
    <x v="1"/>
    <x v="5"/>
    <x v="15"/>
    <x v="17"/>
    <n v="4.0813285591990569"/>
    <n v="4.3565489906640007"/>
    <n v="4.6590417428724358"/>
    <n v="4.9809847719214222"/>
    <n v="5.3185329754537261"/>
    <n v="5.6647731760504287"/>
    <n v="6.0354421125574493"/>
    <n v="6.4424362955069672"/>
    <n v="6.8983505239477134"/>
    <n v="7.4049242015228351"/>
    <n v="7.9511659336728124"/>
    <n v="8.527100923429245"/>
    <n v="9.133622315147079"/>
  </r>
  <r>
    <x v="11"/>
    <x v="1"/>
    <x v="5"/>
    <x v="16"/>
    <x v="18"/>
    <n v="2.310580471474541"/>
    <n v="2.534297490366304"/>
    <n v="2.7838992609169848"/>
    <n v="3.0627240248195449"/>
    <n v="3.375600264863619"/>
    <n v="3.7294403525519599"/>
    <n v="4.1290729991407042"/>
    <n v="4.5797869064908445"/>
    <n v="5.0812256257156001"/>
    <n v="5.6341791512465189"/>
    <n v="6.2360383048158905"/>
    <n v="6.8876390208863487"/>
    <n v="7.5965249074601751"/>
  </r>
  <r>
    <x v="11"/>
    <x v="1"/>
    <x v="5"/>
    <x v="17"/>
    <x v="19"/>
    <n v="1.7918487523198015"/>
    <n v="1.890769154334252"/>
    <n v="1.9971313397493538"/>
    <n v="2.1123060286660493"/>
    <n v="2.2373164546189104"/>
    <n v="2.3732942959306862"/>
    <n v="2.5211529388606273"/>
    <n v="2.6799821295963402"/>
    <n v="2.8487726759862939"/>
    <n v="3.0268849041479662"/>
    <n v="3.2136251536500589"/>
    <n v="3.4101645472778874"/>
    <n v="3.615416110199833"/>
  </r>
  <r>
    <x v="11"/>
    <x v="1"/>
    <x v="5"/>
    <x v="18"/>
    <x v="20"/>
    <n v="2.1393111890349092"/>
    <n v="2.2968090723286902"/>
    <n v="2.4572266389748552"/>
    <n v="2.6245443238416595"/>
    <n v="2.8064583597412645"/>
    <n v="3.0105598113519814"/>
    <n v="3.2425824802832257"/>
    <n v="3.499572468597171"/>
    <n v="3.7744458402135632"/>
    <n v="4.0671180817826613"/>
    <n v="4.3821036715229296"/>
    <n v="4.7246508154464557"/>
    <n v="5.0923074432711113"/>
  </r>
  <r>
    <x v="11"/>
    <x v="2"/>
    <x v="6"/>
    <x v="19"/>
    <x v="21"/>
    <n v="75.830426820757481"/>
    <n v="82.07567339283959"/>
    <n v="88.871008486653068"/>
    <n v="96.168348009139223"/>
    <n v="104.01558955684408"/>
    <n v="112.42489345041263"/>
    <n v="121.70509593670509"/>
    <n v="132.02373603887065"/>
    <n v="143.51132012396732"/>
    <n v="156.23033609594151"/>
    <n v="170.12302740312373"/>
    <n v="185.15808693754062"/>
    <n v="201.36236211337879"/>
  </r>
  <r>
    <x v="11"/>
    <x v="2"/>
    <x v="7"/>
    <x v="20"/>
    <x v="22"/>
    <n v="139.22995167423633"/>
    <n v="147.34493296539478"/>
    <n v="156.17846870536144"/>
    <n v="165.80188477124327"/>
    <n v="176.34988094677874"/>
    <n v="188.03918664735744"/>
    <n v="200.94207301890663"/>
    <n v="215.13221471728548"/>
    <n v="230.39614759626613"/>
    <n v="246.58948052597208"/>
    <n v="263.42777866113272"/>
    <n v="280.80121076030537"/>
    <n v="298.88012987691076"/>
  </r>
  <r>
    <x v="11"/>
    <x v="3"/>
    <x v="8"/>
    <x v="21"/>
    <x v="23"/>
    <n v="15.707034184599578"/>
    <n v="16.531099419781043"/>
    <n v="17.431461210069056"/>
    <n v="18.375050470946451"/>
    <n v="19.345217464749975"/>
    <n v="20.315020145890802"/>
    <n v="21.340212058839167"/>
    <n v="22.459820424263881"/>
    <n v="23.713034803205481"/>
    <n v="25.099410871131013"/>
    <n v="26.575207505445029"/>
    <n v="28.102344506919415"/>
    <n v="29.680554492790936"/>
  </r>
  <r>
    <x v="11"/>
    <x v="3"/>
    <x v="9"/>
    <x v="22"/>
    <x v="24"/>
    <n v="39.823269121577077"/>
    <n v="42.094784317140913"/>
    <n v="44.58005607564894"/>
    <n v="47.197198005768556"/>
    <n v="49.905053749644857"/>
    <n v="52.635187783304822"/>
    <n v="55.532223132718279"/>
    <n v="58.699775457574113"/>
    <n v="62.243670561094739"/>
    <n v="66.167505183846657"/>
    <n v="70.360753774750577"/>
    <n v="74.725927738892253"/>
    <n v="79.264372817288788"/>
  </r>
  <r>
    <x v="11"/>
    <x v="3"/>
    <x v="10"/>
    <x v="23"/>
    <x v="25"/>
    <n v="69.029768225764371"/>
    <n v="74.059684452178516"/>
    <n v="79.558236047665247"/>
    <n v="85.545619832858677"/>
    <n v="92.240239795691934"/>
    <n v="99.89549733610221"/>
    <n v="108.64498421192602"/>
    <n v="118.56059444467118"/>
    <n v="129.39807797834868"/>
    <n v="140.99390417068491"/>
    <n v="153.11683421065925"/>
    <n v="165.78345297580114"/>
    <n v="179.24963558757162"/>
  </r>
  <r>
    <x v="11"/>
    <x v="3"/>
    <x v="11"/>
    <x v="24"/>
    <x v="26"/>
    <n v="46.509814781619312"/>
    <n v="49.936913778527611"/>
    <n v="53.668855143560251"/>
    <n v="57.755727008219587"/>
    <n v="62.241134451804264"/>
    <n v="67.174175652540541"/>
    <n v="72.600555200200105"/>
    <n v="78.515929227725422"/>
    <n v="84.911969619142766"/>
    <n v="91.790023206921063"/>
    <n v="99.14915945299002"/>
    <n v="107.04518849491797"/>
    <n v="115.46620804038092"/>
  </r>
  <r>
    <x v="11"/>
    <x v="3"/>
    <x v="12"/>
    <x v="25"/>
    <x v="27"/>
    <n v="14.56338574492408"/>
    <n v="15.57686082701716"/>
    <n v="16.680335347161861"/>
    <n v="17.84947043789769"/>
    <n v="19.064851994246354"/>
    <n v="20.353457211544669"/>
    <n v="21.739336786454714"/>
    <n v="23.284799774917815"/>
    <n v="25.015806288804232"/>
    <n v="26.894258759485936"/>
    <n v="28.933936089906478"/>
    <n v="31.09936988301094"/>
    <n v="33.380217034705652"/>
  </r>
  <r>
    <x v="11"/>
    <x v="3"/>
    <x v="13"/>
    <x v="26"/>
    <x v="28"/>
    <n v="29.427106436509391"/>
    <n v="31.221263563589105"/>
    <n v="33.130533367909152"/>
    <n v="35.247167024691542"/>
    <n v="37.568973047485429"/>
    <n v="40.090741968387029"/>
    <n v="42.789857565473447"/>
    <n v="45.635031427003717"/>
    <n v="48.62490846963756"/>
    <n v="51.874714429843991"/>
    <n v="55.414915030505085"/>
    <n v="59.203014098304259"/>
    <n v="63.201504017551613"/>
  </r>
  <r>
    <x v="11"/>
    <x v="4"/>
    <x v="14"/>
    <x v="27"/>
    <x v="29"/>
    <n v="84.431851164091071"/>
    <n v="90.922303514805989"/>
    <n v="97.928359101559579"/>
    <n v="105.74208705359189"/>
    <n v="114.38911196547811"/>
    <n v="123.88641169663995"/>
    <n v="134.19719329638946"/>
    <n v="145.254280593598"/>
    <n v="157.08083924429729"/>
    <n v="170.07719360592426"/>
    <n v="184.38880694990786"/>
    <n v="199.92566230136217"/>
    <n v="216.60769253454376"/>
  </r>
  <r>
    <x v="11"/>
    <x v="4"/>
    <x v="15"/>
    <x v="28"/>
    <x v="30"/>
    <n v="130.62852733090273"/>
    <n v="138.49830284342835"/>
    <n v="147.12111809045493"/>
    <n v="156.22814572679061"/>
    <n v="165.97635853814472"/>
    <n v="176.57766840113013"/>
    <n v="188.44997565922228"/>
    <n v="201.90167016255813"/>
    <n v="216.82662847593616"/>
    <n v="232.7426230159893"/>
    <n v="249.16199911434859"/>
    <n v="266.03363539648376"/>
    <n v="283.63479945574579"/>
  </r>
  <r>
    <x v="11"/>
    <x v="5"/>
    <x v="16"/>
    <x v="29"/>
    <x v="31"/>
    <n v="10.246089057324532"/>
    <n v="11.171227593852727"/>
    <n v="12.137702970645037"/>
    <n v="13.166532496061052"/>
    <n v="14.298638995684763"/>
    <n v="15.576889577703911"/>
    <n v="17.037077185754612"/>
    <n v="18.671371726815554"/>
    <n v="20.449182715685531"/>
    <n v="22.375730576330366"/>
    <n v="24.481687509394536"/>
    <n v="26.803545382216644"/>
    <n v="29.336150963945052"/>
  </r>
  <r>
    <x v="11"/>
    <x v="5"/>
    <x v="17"/>
    <x v="30"/>
    <x v="32"/>
    <n v="47.16546246939032"/>
    <n v="50.676613310709342"/>
    <n v="54.509917783961725"/>
    <n v="58.683857656737672"/>
    <n v="63.362596333818772"/>
    <n v="68.588166248971191"/>
    <n v="74.512718761705088"/>
    <n v="81.193166974449525"/>
    <n v="88.566904863254138"/>
    <n v="96.585640164690574"/>
    <n v="105.14773843198668"/>
    <n v="114.22721230671851"/>
    <n v="123.89205308975704"/>
  </r>
  <r>
    <x v="11"/>
    <x v="5"/>
    <x v="18"/>
    <x v="31"/>
    <x v="33"/>
    <n v="20.320950265157663"/>
    <n v="21.662887170926929"/>
    <n v="23.131736292266943"/>
    <n v="24.709829734995612"/>
    <n v="26.354354227340544"/>
    <n v="28.0942927578004"/>
    <n v="29.951855465982316"/>
    <n v="31.975384860837892"/>
    <n v="34.184258691751417"/>
    <n v="36.586249453374762"/>
    <n v="39.142598304783512"/>
    <n v="41.815657270477239"/>
    <n v="44.637828048599182"/>
  </r>
  <r>
    <x v="11"/>
    <x v="5"/>
    <x v="19"/>
    <x v="32"/>
    <x v="34"/>
    <n v="60.045497364364863"/>
    <n v="63.936821404756742"/>
    <n v="68.186888966890592"/>
    <n v="72.8331157681436"/>
    <n v="77.941600800007151"/>
    <n v="83.616237157090623"/>
    <n v="89.899127110601228"/>
    <n v="96.833909106693341"/>
    <n v="104.33591532701757"/>
    <n v="112.34956663901765"/>
    <n v="120.75401739413155"/>
    <n v="129.50541429336386"/>
    <n v="138.68797730310905"/>
  </r>
  <r>
    <x v="11"/>
    <x v="5"/>
    <x v="20"/>
    <x v="33"/>
    <x v="35"/>
    <n v="22.534611935164172"/>
    <n v="24.295330948513215"/>
    <n v="26.242212615364394"/>
    <n v="28.336358262780379"/>
    <n v="30.559836284894885"/>
    <n v="32.876291766284098"/>
    <n v="35.379294844835009"/>
    <n v="38.143620109960942"/>
    <n v="41.251078522098091"/>
    <n v="44.721696111539949"/>
    <n v="48.499217818523221"/>
    <n v="52.531151027337344"/>
    <n v="56.829703129483882"/>
  </r>
  <r>
    <x v="11"/>
    <x v="5"/>
    <x v="21"/>
    <x v="34"/>
    <x v="36"/>
    <n v="21.179757180368874"/>
    <n v="22.28598697705192"/>
    <n v="23.489391794930516"/>
    <n v="24.767576794405684"/>
    <n v="26.073988756836922"/>
    <n v="27.435424411523972"/>
    <n v="28.870633817156605"/>
    <n v="30.422511500599821"/>
    <n v="32.10408098279818"/>
    <n v="33.916658092586466"/>
    <n v="35.818204245751623"/>
    <n v="37.769712126456312"/>
    <n v="39.79734800668782"/>
  </r>
  <r>
    <x v="11"/>
    <x v="5"/>
    <x v="22"/>
    <x v="35"/>
    <x v="37"/>
    <n v="33.568010223223382"/>
    <n v="35.391738952423488"/>
    <n v="37.351626767955281"/>
    <n v="39.472962067258521"/>
    <n v="41.774455105039806"/>
    <n v="44.276778178395894"/>
    <n v="46.996461769576854"/>
    <n v="49.915986476799063"/>
    <n v="53.01604661762854"/>
    <n v="56.284275584373816"/>
    <n v="59.707342359685327"/>
    <n v="63.306605291276092"/>
    <n v="67.061431448707509"/>
  </r>
  <r>
    <x v="12"/>
    <x v="0"/>
    <x v="0"/>
    <x v="0"/>
    <x v="0"/>
    <n v="130.80423268349833"/>
    <n v="146.94340681012338"/>
    <n v="165.23965838178486"/>
    <n v="185.80374538293742"/>
    <n v="208.82902012797365"/>
    <n v="234.69944641979524"/>
    <n v="264.09562333506278"/>
    <n v="297.82847788154339"/>
    <n v="336.59369294540602"/>
    <n v="380.83677210892256"/>
    <n v="431.00054708771847"/>
    <n v="487.38634958535704"/>
    <n v="550.66351305548608"/>
  </r>
  <r>
    <x v="12"/>
    <x v="0"/>
    <x v="1"/>
    <x v="1"/>
    <x v="1"/>
    <n v="366.80439982308076"/>
    <n v="402.82441939293932"/>
    <n v="443.02112204986327"/>
    <n v="487.6843269427012"/>
    <n v="536.92586492854423"/>
    <n v="590.83620165547404"/>
    <n v="650.55973848036354"/>
    <n v="717.11305416402161"/>
    <n v="791.71304237527306"/>
    <n v="875.58100462430298"/>
    <n v="968.84823783503771"/>
    <n v="1071.4341113900146"/>
    <n v="1183.9568859782207"/>
  </r>
  <r>
    <x v="12"/>
    <x v="0"/>
    <x v="2"/>
    <x v="2"/>
    <x v="2"/>
    <n v="879.32630324317961"/>
    <n v="953.62494486481887"/>
    <n v="1035.4730515125898"/>
    <n v="1126.2416830199056"/>
    <n v="1226.804804143482"/>
    <n v="1338.6002871337082"/>
    <n v="1462.7751510742171"/>
    <n v="1600.5264437053659"/>
    <n v="1752.1654369338105"/>
    <n v="1918.8708886716308"/>
    <n v="2100.6319172423164"/>
    <n v="2297.2121501246515"/>
    <n v="2509.6454412551921"/>
  </r>
  <r>
    <x v="12"/>
    <x v="1"/>
    <x v="3"/>
    <x v="3"/>
    <x v="3"/>
    <n v="51.035555896455215"/>
    <n v="57.246625184840447"/>
    <n v="64.294726048121603"/>
    <n v="72.306907751606886"/>
    <n v="81.3891453258247"/>
    <n v="91.704047347479545"/>
    <n v="103.43975143983118"/>
    <n v="116.82987728140257"/>
    <n v="132.0767478255803"/>
    <n v="149.43489154624828"/>
    <n v="169.1153617632348"/>
    <n v="191.24896664877883"/>
    <n v="216.08842038519478"/>
  </r>
  <r>
    <x v="12"/>
    <x v="1"/>
    <x v="3"/>
    <x v="3"/>
    <x v="4"/>
    <n v="98.159900319001338"/>
    <n v="107.72500683938836"/>
    <n v="118.25305459291371"/>
    <n v="129.96416218557368"/>
    <n v="143.05895093895847"/>
    <n v="157.8160365545528"/>
    <n v="174.44373024293304"/>
    <n v="193.07956862916825"/>
    <n v="213.73164736194033"/>
    <n v="236.63508994942876"/>
    <n v="261.90411999749085"/>
    <n v="289.64564189502488"/>
    <n v="320.06641206889242"/>
  </r>
  <r>
    <x v="12"/>
    <x v="1"/>
    <x v="3"/>
    <x v="3"/>
    <x v="5"/>
    <n v="128.33638113662386"/>
    <n v="138.85100913582181"/>
    <n v="151.34960982680005"/>
    <n v="166.14275606686741"/>
    <n v="182.77033974780841"/>
    <n v="200.06011752949348"/>
    <n v="217.85508418164787"/>
    <n v="236.57682491586445"/>
    <n v="257.22722595318555"/>
    <n v="281.00137880323899"/>
    <n v="306.66724484539043"/>
    <n v="332.48919707246046"/>
    <n v="358.7078030522224"/>
  </r>
  <r>
    <x v="12"/>
    <x v="1"/>
    <x v="3"/>
    <x v="4"/>
    <x v="6"/>
    <n v="251.14787941054732"/>
    <n v="273.95808500243936"/>
    <n v="299.24251987688473"/>
    <n v="327.08051997370995"/>
    <n v="357.51644844843076"/>
    <n v="391.04962859338303"/>
    <n v="428.17813665435511"/>
    <n v="469.63818888169698"/>
    <n v="515.89606784584555"/>
    <n v="566.93872983243341"/>
    <n v="623.0873651750278"/>
    <n v="684.42230975754524"/>
    <n v="751.15711059546334"/>
  </r>
  <r>
    <x v="12"/>
    <x v="1"/>
    <x v="3"/>
    <x v="5"/>
    <x v="7"/>
    <n v="158.06976100456302"/>
    <n v="171.61441110619356"/>
    <n v="186.23017404688983"/>
    <n v="201.99625989549261"/>
    <n v="219.07001869369282"/>
    <n v="237.91912881691687"/>
    <n v="258.95290152634408"/>
    <n v="282.43148217302377"/>
    <n v="308.30577805629304"/>
    <n v="336.62241278174946"/>
    <n v="367.57271717452591"/>
    <n v="401.31340709936251"/>
    <n v="437.95945920908332"/>
  </r>
  <r>
    <x v="12"/>
    <x v="1"/>
    <x v="3"/>
    <x v="6"/>
    <x v="8"/>
    <n v="103.53106972851509"/>
    <n v="111.30215787088468"/>
    <n v="119.61523823391818"/>
    <n v="128.58504627969154"/>
    <n v="138.39947055748965"/>
    <n v="149.33643491582086"/>
    <n v="161.58686121727263"/>
    <n v="175.20233468458684"/>
    <n v="190.03141498593268"/>
    <n v="206.06902787400881"/>
    <n v="223.29547000865509"/>
    <n v="241.76407047536338"/>
    <n v="261.56157337750653"/>
  </r>
  <r>
    <x v="12"/>
    <x v="1"/>
    <x v="3"/>
    <x v="7"/>
    <x v="9"/>
    <n v="169.99713966514889"/>
    <n v="187.41388057133204"/>
    <n v="206.76640611017763"/>
    <n v="228.38425923606184"/>
    <n v="252.68136345086609"/>
    <n v="280.15841062497623"/>
    <n v="311.27966460394242"/>
    <n v="346.31480208538636"/>
    <n v="385.36395690476917"/>
    <n v="428.67370850066095"/>
    <n v="476.49697674527744"/>
    <n v="529.35609929864313"/>
    <n v="587.64137731836729"/>
  </r>
  <r>
    <x v="12"/>
    <x v="1"/>
    <x v="3"/>
    <x v="8"/>
    <x v="10"/>
    <n v="192.21731300926928"/>
    <n v="205.72647842110189"/>
    <n v="220.16910157219297"/>
    <n v="235.68382107275212"/>
    <n v="252.49321356748467"/>
    <n v="270.92811626237926"/>
    <n v="291.35233599513236"/>
    <n v="313.80449065548709"/>
    <n v="338.14301919243417"/>
    <n v="364.39686888774264"/>
    <n v="392.62166777028608"/>
    <n v="423.00157166784913"/>
    <n v="455.51638914042809"/>
  </r>
  <r>
    <x v="12"/>
    <x v="1"/>
    <x v="4"/>
    <x v="9"/>
    <x v="11"/>
    <n v="32.895950172178345"/>
    <n v="37.048238455122338"/>
    <n v="41.758717568119771"/>
    <n v="47.17115932705903"/>
    <n v="53.378501083398469"/>
    <n v="60.495091249070484"/>
    <n v="68.622488918937989"/>
    <n v="77.859835143116428"/>
    <n v="88.320682904737851"/>
    <n v="100.26782503881628"/>
    <n v="113.8909317128156"/>
    <n v="129.33131475765845"/>
    <n v="146.76840445354858"/>
  </r>
  <r>
    <x v="12"/>
    <x v="1"/>
    <x v="4"/>
    <x v="10"/>
    <x v="12"/>
    <n v="25.260596370812358"/>
    <n v="28.7971359786278"/>
    <n v="32.874186529904243"/>
    <n v="37.55251984731624"/>
    <n v="42.894905289464255"/>
    <n v="48.99162173119251"/>
    <n v="56.000296358093046"/>
    <n v="64.116992620631194"/>
    <n v="73.546497733145131"/>
    <n v="84.472369343397929"/>
    <n v="97.061476460110669"/>
    <n v="111.44717837208319"/>
    <n v="127.8483730728847"/>
  </r>
  <r>
    <x v="12"/>
    <x v="1"/>
    <x v="4"/>
    <x v="11"/>
    <x v="13"/>
    <n v="23.25507537519475"/>
    <n v="25.671567387133404"/>
    <n v="28.380892194990054"/>
    <n v="31.367100525174646"/>
    <n v="34.629647988570078"/>
    <n v="38.18846416789097"/>
    <n v="42.144632728463655"/>
    <n v="46.621139916898827"/>
    <n v="51.728004263960763"/>
    <n v="57.496476256542749"/>
    <n v="63.94893671066778"/>
    <n v="71.069066419870026"/>
    <n v="78.902912829772205"/>
  </r>
  <r>
    <x v="12"/>
    <x v="1"/>
    <x v="4"/>
    <x v="12"/>
    <x v="14"/>
    <n v="27.308471887686366"/>
    <n v="30.334951009751325"/>
    <n v="33.760474592929818"/>
    <n v="37.599377961034413"/>
    <n v="41.859679205695677"/>
    <n v="46.590294861169951"/>
    <n v="51.895327827535041"/>
    <n v="57.901775617041665"/>
    <n v="64.722280044645828"/>
    <n v="72.444749528298075"/>
    <n v="81.075392448695965"/>
    <n v="90.628286006076294"/>
    <n v="101.22940796871022"/>
  </r>
  <r>
    <x v="12"/>
    <x v="1"/>
    <x v="4"/>
    <x v="13"/>
    <x v="15"/>
    <n v="21.329229048476677"/>
    <n v="23.885049289668579"/>
    <n v="26.782122685204506"/>
    <n v="30.064343891499067"/>
    <n v="33.762419624516717"/>
    <n v="37.937823752133298"/>
    <n v="42.668832586173572"/>
    <n v="48.037483847732041"/>
    <n v="54.125318567769355"/>
    <n v="61.027575856836741"/>
    <n v="68.804366736131485"/>
    <n v="77.529076797514549"/>
    <n v="87.303927859903922"/>
  </r>
  <r>
    <x v="12"/>
    <x v="1"/>
    <x v="5"/>
    <x v="14"/>
    <x v="16"/>
    <n v="27.148658123828838"/>
    <n v="29.988405309717024"/>
    <n v="33.153097401171856"/>
    <n v="36.675304095814923"/>
    <n v="40.589054485478599"/>
    <n v="44.953989310737484"/>
    <n v="49.85668208602074"/>
    <n v="55.37529945598164"/>
    <n v="61.570561946419069"/>
    <n v="68.500064793499007"/>
    <n v="76.213807216051407"/>
    <n v="84.758964453184831"/>
    <n v="94.192781343738147"/>
  </r>
  <r>
    <x v="12"/>
    <x v="1"/>
    <x v="5"/>
    <x v="15"/>
    <x v="17"/>
    <n v="25.885244886905628"/>
    <n v="28.222038612625767"/>
    <n v="30.764659719878644"/>
    <n v="33.543056769578691"/>
    <n v="36.584434753392451"/>
    <n v="39.951218594115161"/>
    <n v="43.705556100048184"/>
    <n v="47.888096811981683"/>
    <n v="52.507605717283084"/>
    <n v="57.598800154704165"/>
    <n v="63.202864646621535"/>
    <n v="69.34585367782671"/>
    <n v="76.046130685241721"/>
  </r>
  <r>
    <x v="12"/>
    <x v="1"/>
    <x v="5"/>
    <x v="16"/>
    <x v="18"/>
    <n v="15.112608516738156"/>
    <n v="17.016102668262644"/>
    <n v="19.169723691196765"/>
    <n v="21.618142998070873"/>
    <n v="24.395913516789506"/>
    <n v="27.557870768643376"/>
    <n v="31.163740844979312"/>
    <n v="35.273073884675519"/>
    <n v="39.943738771275974"/>
    <n v="45.265960288943397"/>
    <n v="51.321692908067817"/>
    <n v="58.177607459302301"/>
    <n v="65.909962058178678"/>
  </r>
  <r>
    <x v="12"/>
    <x v="1"/>
    <x v="5"/>
    <x v="17"/>
    <x v="19"/>
    <n v="12.269815877816516"/>
    <n v="13.254957937092415"/>
    <n v="14.328860274654101"/>
    <n v="15.509568701108813"/>
    <n v="16.807208015004502"/>
    <n v="18.236801488375477"/>
    <n v="19.814741704779866"/>
    <n v="21.551796625921497"/>
    <n v="23.453378588961993"/>
    <n v="25.541768581486579"/>
    <n v="27.828315821561571"/>
    <n v="30.310948310977146"/>
    <n v="32.991549788610541"/>
  </r>
  <r>
    <x v="12"/>
    <x v="1"/>
    <x v="5"/>
    <x v="18"/>
    <x v="20"/>
    <n v="13.974285319996978"/>
    <n v="15.336670287877894"/>
    <n v="16.840266978289254"/>
    <n v="18.485448767131448"/>
    <n v="20.278974507134205"/>
    <n v="22.260838640646703"/>
    <n v="24.469747873153143"/>
    <n v="26.964912520333908"/>
    <n v="29.778245590309744"/>
    <n v="32.900967386820149"/>
    <n v="36.371994024460477"/>
    <n v="40.193050930502224"/>
    <n v="44.373845081152055"/>
  </r>
  <r>
    <x v="12"/>
    <x v="2"/>
    <x v="6"/>
    <x v="19"/>
    <x v="21"/>
    <n v="497.60863250657906"/>
    <n v="549.76782620306267"/>
    <n v="608.26078043164807"/>
    <n v="673.48807232563865"/>
    <n v="745.75488505651788"/>
    <n v="825.53564807526925"/>
    <n v="914.65536181542632"/>
    <n v="1014.9415320455651"/>
    <n v="1128.3067353206791"/>
    <n v="1256.4177767332255"/>
    <n v="1399.8487849227563"/>
    <n v="1558.8204609753716"/>
    <n v="1734.6203990337067"/>
  </r>
  <r>
    <x v="12"/>
    <x v="2"/>
    <x v="7"/>
    <x v="20"/>
    <x v="22"/>
    <n v="879.32630324317961"/>
    <n v="953.62494486481887"/>
    <n v="1035.4730515125898"/>
    <n v="1126.2416830199056"/>
    <n v="1226.804804143482"/>
    <n v="1338.6002871337082"/>
    <n v="1462.7751510742171"/>
    <n v="1600.5264437053659"/>
    <n v="1752.1654369338105"/>
    <n v="1918.8708886716308"/>
    <n v="2100.6319172423164"/>
    <n v="2297.2121501246515"/>
    <n v="2509.6454412551921"/>
  </r>
  <r>
    <x v="12"/>
    <x v="3"/>
    <x v="8"/>
    <x v="21"/>
    <x v="23"/>
    <n v="88.514543928750342"/>
    <n v="95.010468416869088"/>
    <n v="102.15462351867041"/>
    <n v="109.91478349331901"/>
    <n v="118.21606907885308"/>
    <n v="127.21055517025255"/>
    <n v="137.01776480031288"/>
    <n v="147.85607290112517"/>
    <n v="159.8015540038121"/>
    <n v="172.84064310596685"/>
    <n v="186.89226229506798"/>
    <n v="201.85025917166746"/>
    <n v="217.83196881807882"/>
  </r>
  <r>
    <x v="12"/>
    <x v="3"/>
    <x v="9"/>
    <x v="22"/>
    <x v="24"/>
    <n v="254.14209409188243"/>
    <n v="273.78682084424582"/>
    <n v="295.35886465055449"/>
    <n v="318.994258786405"/>
    <n v="344.72346227578913"/>
    <n v="372.85493392446602"/>
    <n v="403.76543348428595"/>
    <n v="437.94057969297694"/>
    <n v="475.58412580325933"/>
    <n v="516.86406738379242"/>
    <n v="561.64781340930892"/>
    <n v="609.65291419831351"/>
    <n v="661.0955618164769"/>
  </r>
  <r>
    <x v="12"/>
    <x v="3"/>
    <x v="10"/>
    <x v="23"/>
    <x v="25"/>
    <n v="450.7304158299163"/>
    <n v="496.82092021316049"/>
    <n v="548.88117904223498"/>
    <n v="607.76601848189307"/>
    <n v="673.91012324320741"/>
    <n v="747.52997717151015"/>
    <n v="829.7522920107383"/>
    <n v="922.05160534871891"/>
    <n v="1025.9124337066937"/>
    <n v="1143.2104147652449"/>
    <n v="1273.8669892111388"/>
    <n v="1417.3355214517767"/>
    <n v="1575.0808708013824"/>
  </r>
  <r>
    <x v="12"/>
    <x v="3"/>
    <x v="11"/>
    <x v="24"/>
    <x v="26"/>
    <n v="307.38602262159566"/>
    <n v="337.69166945507311"/>
    <n v="370.84443776287264"/>
    <n v="407.46521134075266"/>
    <n v="448.22383848038953"/>
    <n v="493.88112334650003"/>
    <n v="545.31208900026058"/>
    <n v="602.82651745984754"/>
    <n v="666.55772415093566"/>
    <n v="737.20973813623061"/>
    <n v="815.43728254974087"/>
    <n v="902.00241553105877"/>
    <n v="997.23296575249617"/>
  </r>
  <r>
    <x v="12"/>
    <x v="3"/>
    <x v="12"/>
    <x v="25"/>
    <x v="27"/>
    <n v="89.657480707813448"/>
    <n v="97.850752806063568"/>
    <n v="106.93366213534155"/>
    <n v="116.91093121335744"/>
    <n v="127.79447155366215"/>
    <n v="139.76207129935358"/>
    <n v="153.01760284720956"/>
    <n v="167.84833344853408"/>
    <n v="184.43218763094922"/>
    <n v="202.75293066239885"/>
    <n v="222.91428198145991"/>
    <n v="244.93556151028164"/>
    <n v="268.88953260840628"/>
  </r>
  <r>
    <x v="12"/>
    <x v="3"/>
    <x v="13"/>
    <x v="26"/>
    <x v="28"/>
    <n v="186.50437856980042"/>
    <n v="202.23213933246936"/>
    <n v="219.56106483456369"/>
    <n v="238.67855202981704"/>
    <n v="259.69172456809849"/>
    <n v="282.89727429689526"/>
    <n v="308.56533074683608"/>
    <n v="336.94486689972803"/>
    <n v="368.18414695883968"/>
    <n v="402.4108713512228"/>
    <n v="439.72207271835583"/>
    <n v="480.25593923692486"/>
    <n v="524.13494049205883"/>
  </r>
  <r>
    <x v="12"/>
    <x v="4"/>
    <x v="14"/>
    <x v="27"/>
    <x v="29"/>
    <n v="553.42707743130791"/>
    <n v="610.17429488686582"/>
    <n v="672.3444775047542"/>
    <n v="740.71624461037811"/>
    <n v="816.46441020997725"/>
    <n v="901.16708019739872"/>
    <n v="996.85512012054471"/>
    <n v="1104.6206250005853"/>
    <n v="1224.8826945445778"/>
    <n v="1358.7071978745128"/>
    <n v="1507.5626310719447"/>
    <n v="1672.8417464810511"/>
    <n v="1855.2851156042796"/>
  </r>
  <r>
    <x v="12"/>
    <x v="4"/>
    <x v="15"/>
    <x v="28"/>
    <x v="30"/>
    <n v="823.50785831845064"/>
    <n v="893.2184761810156"/>
    <n v="971.38935443948378"/>
    <n v="1059.0135107351662"/>
    <n v="1156.0952789900225"/>
    <n v="1262.9688550115789"/>
    <n v="1380.5753927690985"/>
    <n v="1510.8473507503452"/>
    <n v="1655.589477709912"/>
    <n v="1816.5814675303436"/>
    <n v="1992.9180710931278"/>
    <n v="2183.1908646189718"/>
    <n v="2388.9807246846194"/>
  </r>
  <r>
    <x v="12"/>
    <x v="5"/>
    <x v="16"/>
    <x v="29"/>
    <x v="31"/>
    <n v="113.49546659745734"/>
    <n v="126.67091899671192"/>
    <n v="141.50615528603004"/>
    <n v="158.18982702868158"/>
    <n v="176.8521222354519"/>
    <n v="197.84616879988295"/>
    <n v="221.54109940609342"/>
    <n v="248.46772788328505"/>
    <n v="279.0343598618374"/>
    <n v="313.59860652363244"/>
    <n v="352.5665558489568"/>
    <n v="396.0946339388355"/>
    <n v="444.58470044422387"/>
  </r>
  <r>
    <x v="12"/>
    <x v="5"/>
    <x v="17"/>
    <x v="30"/>
    <x v="32"/>
    <n v="215.79680742246296"/>
    <n v="236.29065162039166"/>
    <n v="260.29257625232162"/>
    <n v="288.70054104674068"/>
    <n v="321.52394797743193"/>
    <n v="358.63778291117933"/>
    <n v="399.69481123938954"/>
    <n v="445.02244119704676"/>
    <n v="495.17905038722455"/>
    <n v="551.34031683225498"/>
    <n v="612.96975062983756"/>
    <n v="679.66305985438123"/>
    <n v="752.34772623345464"/>
  </r>
  <r>
    <x v="12"/>
    <x v="5"/>
    <x v="18"/>
    <x v="31"/>
    <x v="33"/>
    <n v="162.84339305856824"/>
    <n v="177.0401792292395"/>
    <n v="192.31954510773119"/>
    <n v="208.97070188134032"/>
    <n v="227.38207808084852"/>
    <n v="248.04065150544955"/>
    <n v="271.32155847646459"/>
    <n v="297.28326902492216"/>
    <n v="325.70794417459661"/>
    <n v="356.76803119339428"/>
    <n v="390.67902241402743"/>
    <n v="427.71777030461726"/>
    <n v="468.00658703718415"/>
  </r>
  <r>
    <x v="12"/>
    <x v="5"/>
    <x v="19"/>
    <x v="32"/>
    <x v="34"/>
    <n v="462.50243572109116"/>
    <n v="506.64751410727774"/>
    <n v="555.38182786868583"/>
    <n v="608.61113213536248"/>
    <n v="666.5366576056042"/>
    <n v="729.71495784625915"/>
    <n v="799.88104676991122"/>
    <n v="878.68173659892864"/>
    <n v="967.41614469523824"/>
    <n v="1066.6311607468663"/>
    <n v="1176.5429756545864"/>
    <n v="1296.9812596361655"/>
    <n v="1428.5878052691021"/>
  </r>
  <r>
    <x v="12"/>
    <x v="5"/>
    <x v="20"/>
    <x v="33"/>
    <x v="35"/>
    <n v="127.77928518952407"/>
    <n v="140.47555234796894"/>
    <n v="154.66905107332784"/>
    <n v="170.44516330845624"/>
    <n v="187.88041168443249"/>
    <n v="207.22161673213114"/>
    <n v="228.81360770111775"/>
    <n v="253.03851623264427"/>
    <n v="280.1782926804301"/>
    <n v="310.40728344927993"/>
    <n v="343.78660382251996"/>
    <n v="380.4320610706302"/>
    <n v="420.64229674145719"/>
  </r>
  <r>
    <x v="12"/>
    <x v="5"/>
    <x v="21"/>
    <x v="34"/>
    <x v="36"/>
    <n v="145.25875287678207"/>
    <n v="155.92379412304783"/>
    <n v="167.16926327070161"/>
    <n v="179.33846847273085"/>
    <n v="192.73095574913452"/>
    <n v="207.63670513445132"/>
    <n v="224.23660086486822"/>
    <n v="242.40096217906148"/>
    <n v="261.91804418131693"/>
    <n v="283.05503577464731"/>
    <n v="306.05070534245908"/>
    <n v="331.03787584907292"/>
    <n v="357.91440209743206"/>
  </r>
  <r>
    <x v="12"/>
    <x v="5"/>
    <x v="22"/>
    <x v="35"/>
    <x v="37"/>
    <n v="149.25879488387284"/>
    <n v="160.3441606432437"/>
    <n v="172.39541308543969"/>
    <n v="185.47392147223192"/>
    <n v="199.65351586709653"/>
    <n v="215.03805227962417"/>
    <n v="231.9417884317985"/>
    <n v="250.57332263504244"/>
    <n v="271.0383362738458"/>
    <n v="293.48823088478133"/>
    <n v="317.88508845268535"/>
    <n v="344.10595044632083"/>
    <n v="372.18232246604481"/>
  </r>
  <r>
    <x v="12"/>
    <x v="7"/>
    <x v="37"/>
    <x v="50"/>
    <x v="52"/>
    <n v="441.17081189999686"/>
    <n v="488.96965055984776"/>
    <n v="542.89823433579841"/>
    <n v="603.3717712210381"/>
    <n v="671.13295070737502"/>
    <n v="747.03615343664148"/>
    <n v="832.76798479685681"/>
    <n v="930.06794799151533"/>
    <n v="1040.1846955893718"/>
    <n v="1164.0816106445579"/>
    <n v="1301.6073586120531"/>
    <n v="1453.0440464034273"/>
    <n v="1620.2010825811735"/>
  </r>
  <r>
    <x v="12"/>
    <x v="7"/>
    <x v="38"/>
    <x v="51"/>
    <x v="53"/>
    <n v="137.89447701628444"/>
    <n v="151.98877071190523"/>
    <n v="167.59171950674099"/>
    <n v="185.23928449313138"/>
    <n v="205.06808650099006"/>
    <n v="227.25984000303211"/>
    <n v="251.9176931374233"/>
    <n v="279.12551660032136"/>
    <n v="309.10579799318168"/>
    <n v="342.74736864663754"/>
    <n v="380.50615360872791"/>
    <n v="422.43650373756077"/>
    <n v="468.68823560045325"/>
  </r>
  <r>
    <x v="12"/>
    <x v="7"/>
    <x v="39"/>
    <x v="52"/>
    <x v="54"/>
    <n v="257.66872932652876"/>
    <n v="275.44641175016807"/>
    <n v="294.68725245654633"/>
    <n v="315.79492826408938"/>
    <n v="338.68849863564003"/>
    <n v="363.31041917424005"/>
    <n v="389.84973820056143"/>
    <n v="418.47980918545562"/>
    <n v="449.50172672285476"/>
    <n v="483.59709028965443"/>
    <n v="520.86543384660581"/>
    <n v="560.87980252914281"/>
    <n v="603.46684711999524"/>
  </r>
  <r>
    <x v="12"/>
    <x v="7"/>
    <x v="40"/>
    <x v="53"/>
    <x v="55"/>
    <n v="162.78106721687411"/>
    <n v="176.96269389636115"/>
    <n v="192.59298237987343"/>
    <n v="209.90045259662043"/>
    <n v="229.11280790057998"/>
    <n v="250.50072019658802"/>
    <n v="274.3184626551872"/>
    <n v="300.6672774669612"/>
    <n v="329.5936787910174"/>
    <n v="361.18720154306243"/>
    <n v="395.5041486718859"/>
    <n v="432.82688098777629"/>
    <n v="473.26873776937498"/>
  </r>
  <r>
    <x v="12"/>
    <x v="7"/>
    <x v="41"/>
    <x v="54"/>
    <x v="56"/>
    <n v="180.16470741049142"/>
    <n v="196.84722349318037"/>
    <n v="215.34016105824799"/>
    <n v="235.9754189502105"/>
    <n v="258.99708719195996"/>
    <n v="284.79569247028547"/>
    <n v="313.62502528306254"/>
    <n v="345.79956853373977"/>
    <n v="381.39592343689071"/>
    <n v="420.72114057224064"/>
    <n v="463.85790520629843"/>
    <n v="510.80323633128222"/>
    <n v="561.89316018287309"/>
  </r>
  <r>
    <x v="12"/>
    <x v="7"/>
    <x v="42"/>
    <x v="55"/>
    <x v="57"/>
    <n v="72.063547061725203"/>
    <n v="77.490264700351318"/>
    <n v="83.420094536822347"/>
    <n v="89.813396228172337"/>
    <n v="96.684623527105174"/>
    <n v="104.02100696719545"/>
    <n v="112.04647950340342"/>
    <n v="120.89038154593439"/>
    <n v="130.67125058751023"/>
    <n v="141.42331085825469"/>
    <n v="153.06287466536554"/>
    <n v="165.54945624371186"/>
    <n v="178.89528319181449"/>
  </r>
  <r>
    <x v="12"/>
    <x v="7"/>
    <x v="43"/>
    <x v="56"/>
    <x v="58"/>
    <n v="125.19159581785789"/>
    <n v="135.68775595606746"/>
    <n v="147.20338767020834"/>
    <n v="159.63450359228204"/>
    <n v="172.87563473634975"/>
    <n v="187.21210296099497"/>
    <n v="202.90512931314856"/>
    <n v="220.43747442700305"/>
    <n v="240.01909913366308"/>
    <n v="261.53094285044864"/>
    <n v="285.07682755413589"/>
    <n v="310.49268486712197"/>
    <n v="337.85249384321435"/>
  </r>
  <r>
    <x v="13"/>
    <x v="0"/>
    <x v="0"/>
    <x v="0"/>
    <x v="0"/>
    <n v="40.768500277162303"/>
    <n v="46.593390263975941"/>
    <n v="53.34371111995987"/>
    <n v="61.054218459230064"/>
    <n v="69.797826873567004"/>
    <n v="79.60748474950303"/>
    <n v="90.822365899319891"/>
    <n v="103.79881306095427"/>
    <n v="118.97529496321609"/>
    <n v="136.68800613665246"/>
    <n v="157.08329917854817"/>
    <n v="180.31234078353864"/>
    <n v="206.74105694709374"/>
  </r>
  <r>
    <x v="13"/>
    <x v="0"/>
    <x v="1"/>
    <x v="1"/>
    <x v="1"/>
    <n v="116.03697620632497"/>
    <n v="129.59905541289655"/>
    <n v="145.00543084658986"/>
    <n v="162.19493821987825"/>
    <n v="181.20589669099127"/>
    <n v="201.96192440109016"/>
    <n v="225.16274884018679"/>
    <n v="251.47914499230873"/>
    <n v="281.70959218610233"/>
    <n v="316.32528374644056"/>
    <n v="355.29989701843306"/>
    <n v="398.60286076507901"/>
    <n v="446.66315128611336"/>
  </r>
  <r>
    <x v="13"/>
    <x v="0"/>
    <x v="2"/>
    <x v="2"/>
    <x v="2"/>
    <n v="284.36533541650959"/>
    <n v="312.7772048829753"/>
    <n v="344.54909236924868"/>
    <n v="380.12261454192981"/>
    <n v="420.12922714281677"/>
    <n v="465.46674428604831"/>
    <n v="516.78287005735012"/>
    <n v="574.78998993825235"/>
    <n v="639.49980844005336"/>
    <n v="711.06832076146486"/>
    <n v="789.22416241507187"/>
    <n v="874.12884485480947"/>
    <n v="966.79687434796654"/>
  </r>
  <r>
    <x v="13"/>
    <x v="1"/>
    <x v="3"/>
    <x v="3"/>
    <x v="3"/>
    <n v="15.923980943936334"/>
    <n v="18.161527118381471"/>
    <n v="20.71680992948469"/>
    <n v="23.688271882032051"/>
    <n v="27.132945476979668"/>
    <n v="31.112491673966492"/>
    <n v="35.681979155604864"/>
    <n v="40.892850076647036"/>
    <n v="46.82484268451325"/>
    <n v="53.679011087799495"/>
    <n v="61.61222746679524"/>
    <n v="70.724894145177146"/>
    <n v="81.127346896244944"/>
  </r>
  <r>
    <x v="13"/>
    <x v="1"/>
    <x v="3"/>
    <x v="3"/>
    <x v="4"/>
    <n v="31.604007611763073"/>
    <n v="35.130291671539254"/>
    <n v="39.108578827084195"/>
    <n v="43.602563237952772"/>
    <n v="48.700158548425058"/>
    <n v="54.523583112499985"/>
    <n v="61.170577691829365"/>
    <n v="68.750251530083233"/>
    <n v="77.292042918678447"/>
    <n v="86.843570761371552"/>
    <n v="97.401761737740742"/>
    <n v="109.01631635797104"/>
    <n v="121.84488948153067"/>
  </r>
  <r>
    <x v="13"/>
    <x v="1"/>
    <x v="3"/>
    <x v="3"/>
    <x v="5"/>
    <n v="41.987537968863393"/>
    <n v="45.70978761198127"/>
    <n v="50.699068342399812"/>
    <n v="56.643014763000963"/>
    <n v="63.310206112952542"/>
    <n v="70.165493653328411"/>
    <n v="77.437178509140054"/>
    <n v="85.668089060333855"/>
    <n v="95.430503232663341"/>
    <n v="106.76561966561417"/>
    <n v="118.17996829358523"/>
    <n v="128.78374266094181"/>
    <n v="139.30878628731477"/>
  </r>
  <r>
    <x v="13"/>
    <x v="1"/>
    <x v="3"/>
    <x v="4"/>
    <x v="6"/>
    <n v="80.293174349062497"/>
    <n v="89.13279411953134"/>
    <n v="99.056999499119939"/>
    <n v="110.01189097990061"/>
    <n v="121.9582798025442"/>
    <n v="135.14096930322782"/>
    <n v="149.81616987277593"/>
    <n v="166.53442533842048"/>
    <n v="185.65953783977955"/>
    <n v="207.12025726283835"/>
    <n v="231.21699998036482"/>
    <n v="257.88598402336964"/>
    <n v="287.24418760730157"/>
  </r>
  <r>
    <x v="13"/>
    <x v="1"/>
    <x v="3"/>
    <x v="5"/>
    <x v="7"/>
    <n v="50.869621499797219"/>
    <n v="56.093244060278892"/>
    <n v="61.641388224402533"/>
    <n v="67.630325592371449"/>
    <n v="74.283679516095106"/>
    <n v="81.845109973930661"/>
    <n v="90.531761576293022"/>
    <n v="100.33819567353805"/>
    <n v="111.1356379531489"/>
    <n v="122.98337474101477"/>
    <n v="136.08264406820453"/>
    <n v="150.67549522027448"/>
    <n v="166.78004211458642"/>
  </r>
  <r>
    <x v="13"/>
    <x v="1"/>
    <x v="3"/>
    <x v="6"/>
    <x v="8"/>
    <n v="33.161274983338437"/>
    <n v="36.119955199346187"/>
    <n v="39.402811578782995"/>
    <n v="43.049710279157402"/>
    <n v="47.120244469164803"/>
    <n v="51.701319057934001"/>
    <n v="56.848406448056387"/>
    <n v="62.621605210012362"/>
    <n v="69.00197086118844"/>
    <n v="75.986415401706111"/>
    <n v="83.52585917222865"/>
    <n v="91.618479989889835"/>
    <n v="100.35151153620804"/>
  </r>
  <r>
    <x v="13"/>
    <x v="1"/>
    <x v="3"/>
    <x v="7"/>
    <x v="9"/>
    <n v="54.09125647861265"/>
    <n v="60.624892275366832"/>
    <n v="68.011232045975845"/>
    <n v="76.393848685096771"/>
    <n v="85.925151679065223"/>
    <n v="96.78270181847931"/>
    <n v="109.15969645820712"/>
    <n v="123.19566711665468"/>
    <n v="139.03435750911768"/>
    <n v="156.84546460612219"/>
    <n v="176.80832009205176"/>
    <n v="199.21727368402156"/>
    <n v="224.27313358757635"/>
  </r>
  <r>
    <x v="13"/>
    <x v="1"/>
    <x v="3"/>
    <x v="8"/>
    <x v="10"/>
    <n v="61.94846092511078"/>
    <n v="67.439395211069524"/>
    <n v="73.162300004046756"/>
    <n v="79.242700570680796"/>
    <n v="85.925151679065223"/>
    <n v="93.464390278098733"/>
    <n v="102.07114363298521"/>
    <n v="111.69349511199319"/>
    <n v="122.14366619671584"/>
    <n v="133.44888734674907"/>
    <n v="145.7879952661855"/>
    <n v="159.3733758745621"/>
    <n v="174.1684808130413"/>
  </r>
  <r>
    <x v="13"/>
    <x v="1"/>
    <x v="4"/>
    <x v="9"/>
    <x v="11"/>
    <n v="10.453272339602467"/>
    <n v="11.971939032907184"/>
    <n v="13.713434640566639"/>
    <n v="15.745760517912926"/>
    <n v="18.110522674838517"/>
    <n v="20.853101173898533"/>
    <n v="24.01520459739713"/>
    <n v="27.63678641677836"/>
    <n v="31.777580412277857"/>
    <n v="36.580637904369041"/>
    <n v="42.161275021032019"/>
    <n v="48.598068864393731"/>
    <n v="55.977712050408286"/>
  </r>
  <r>
    <x v="13"/>
    <x v="1"/>
    <x v="4"/>
    <x v="10"/>
    <x v="12"/>
    <n v="8.1377715544198317"/>
    <n v="9.4418995954612921"/>
    <n v="10.973905991028289"/>
    <n v="12.750831896682431"/>
    <n v="14.798481563097619"/>
    <n v="17.135499639691933"/>
    <n v="19.847298056091947"/>
    <n v="23.027949879599973"/>
    <n v="26.795080591691491"/>
    <n v="31.24992786615519"/>
    <n v="36.45583759585142"/>
    <n v="42.480389419584561"/>
    <n v="49.445083588048121"/>
  </r>
  <r>
    <x v="13"/>
    <x v="1"/>
    <x v="4"/>
    <x v="11"/>
    <x v="13"/>
    <n v="7.5754499803329702"/>
    <n v="8.4999830367917397"/>
    <n v="9.5543491418081814"/>
    <n v="10.736317534598044"/>
    <n v="12.05019212995092"/>
    <n v="13.492720453831819"/>
    <n v="15.112431395780687"/>
    <n v="16.95680267737292"/>
    <n v="19.082789826728767"/>
    <n v="21.526213566734484"/>
    <n v="24.28967679599187"/>
    <n v="27.375517946988289"/>
    <n v="30.81765984122675"/>
  </r>
  <r>
    <x v="13"/>
    <x v="1"/>
    <x v="4"/>
    <x v="12"/>
    <x v="14"/>
    <n v="8.5975808021925282"/>
    <n v="9.7197546433131112"/>
    <n v="11.007836419975085"/>
    <n v="12.462948150913421"/>
    <n v="14.093791964854876"/>
    <n v="15.90045702025408"/>
    <n v="17.944016296540713"/>
    <n v="20.286106025721779"/>
    <n v="23.001510452825656"/>
    <n v="26.141723732086891"/>
    <n v="29.719359262542305"/>
    <n v="33.746987650018987"/>
    <n v="38.276396694259681"/>
  </r>
  <r>
    <x v="13"/>
    <x v="1"/>
    <x v="4"/>
    <x v="13"/>
    <x v="15"/>
    <n v="6.810856382102604"/>
    <n v="7.7368606183882154"/>
    <n v="8.7968697007339109"/>
    <n v="10.014570367224476"/>
    <n v="11.415971491532449"/>
    <n v="13.031690584804375"/>
    <n v="14.895942571797921"/>
    <n v="17.037277319379022"/>
    <n v="19.486151164091805"/>
    <n v="22.278062528621227"/>
    <n v="25.451530764033738"/>
    <n v="29.063418850644069"/>
    <n v="33.159687521842962"/>
  </r>
  <r>
    <x v="13"/>
    <x v="1"/>
    <x v="5"/>
    <x v="14"/>
    <x v="16"/>
    <n v="8.4570766745490609"/>
    <n v="9.4777368998456488"/>
    <n v="10.63150672567407"/>
    <n v="11.940791721068857"/>
    <n v="13.429370343654575"/>
    <n v="15.124943148020531"/>
    <n v="17.057644045643102"/>
    <n v="19.249209758353604"/>
    <n v="21.722026963014237"/>
    <n v="24.502528662771788"/>
    <n v="27.618643013038948"/>
    <n v="31.116254174092717"/>
    <n v="35.026618680099745"/>
  </r>
  <r>
    <x v="13"/>
    <x v="1"/>
    <x v="5"/>
    <x v="15"/>
    <x v="17"/>
    <n v="8.1180462942014913"/>
    <n v="8.9949763532453169"/>
    <n v="9.9326588445121011"/>
    <n v="10.950692308476484"/>
    <n v="12.086433309289118"/>
    <n v="13.381217794835374"/>
    <n v="14.872836519073475"/>
    <n v="16.56322647666649"/>
    <n v="18.433981761651843"/>
    <n v="20.49751704137595"/>
    <n v="22.790130315457013"/>
    <n v="25.355638789110156"/>
    <n v="28.201001468766389"/>
  </r>
  <r>
    <x v="13"/>
    <x v="1"/>
    <x v="5"/>
    <x v="16"/>
    <x v="18"/>
    <n v="4.6959480731337422"/>
    <n v="5.3651875716745936"/>
    <n v="6.1307868238062175"/>
    <n v="7.0224019199375878"/>
    <n v="8.0576222061927449"/>
    <n v="9.2555361548636217"/>
    <n v="10.633406581566991"/>
    <n v="12.20753874745825"/>
    <n v="14.002802016615828"/>
    <n v="16.080522208830786"/>
    <n v="18.489222231607091"/>
    <n v="21.260822134610599"/>
    <n v="24.430456238746615"/>
  </r>
  <r>
    <x v="13"/>
    <x v="1"/>
    <x v="5"/>
    <x v="17"/>
    <x v="19"/>
    <n v="4.1190676442308725"/>
    <n v="4.520735419467937"/>
    <n v="4.962400303992907"/>
    <n v="5.4607861203622798"/>
    <n v="6.0200625678451543"/>
    <n v="6.6441529323335846"/>
    <n v="7.3342802067903836"/>
    <n v="8.0899786813611563"/>
    <n v="8.9156568965678851"/>
    <n v="9.8373475923916782"/>
    <n v="10.86820239082317"/>
    <n v="12.00831531776943"/>
    <n v="13.258180730844337"/>
  </r>
  <r>
    <x v="13"/>
    <x v="1"/>
    <x v="5"/>
    <x v="18"/>
    <x v="20"/>
    <n v="4.3264273947468803"/>
    <n v="4.8286901212579938"/>
    <n v="5.3952972924042077"/>
    <n v="6.0243446936687617"/>
    <n v="6.7146851718272869"/>
    <n v="7.4807756626422002"/>
    <n v="8.3380111812824982"/>
    <n v="9.3184928911409131"/>
    <n v="10.444556308100976"/>
    <n v="11.714528668005213"/>
    <n v="13.14770514451903"/>
    <n v="14.743071300007115"/>
    <n v="16.509907443126536"/>
  </r>
  <r>
    <x v="13"/>
    <x v="2"/>
    <x v="6"/>
    <x v="19"/>
    <x v="21"/>
    <n v="156.80547648348727"/>
    <n v="176.1924456768725"/>
    <n v="198.34914196654972"/>
    <n v="223.24915667910832"/>
    <n v="251.00372356455827"/>
    <n v="281.56940915059317"/>
    <n v="315.98511473950668"/>
    <n v="355.27795805326298"/>
    <n v="400.6848871493184"/>
    <n v="453.01328988309302"/>
    <n v="512.3831961969812"/>
    <n v="578.91520154861769"/>
    <n v="653.4042082332071"/>
  </r>
  <r>
    <x v="13"/>
    <x v="2"/>
    <x v="7"/>
    <x v="20"/>
    <x v="22"/>
    <n v="284.36533541650959"/>
    <n v="312.7772048829753"/>
    <n v="344.54909236924868"/>
    <n v="380.12261454192981"/>
    <n v="420.12922714281677"/>
    <n v="465.46674428604831"/>
    <n v="516.78287005735012"/>
    <n v="574.78998993825235"/>
    <n v="639.49980844005336"/>
    <n v="711.06832076146486"/>
    <n v="789.22416241507187"/>
    <n v="874.12884485480947"/>
    <n v="966.79687434796654"/>
  </r>
  <r>
    <x v="13"/>
    <x v="3"/>
    <x v="8"/>
    <x v="21"/>
    <x v="23"/>
    <n v="27.039854753233907"/>
    <n v="29.588254925398353"/>
    <n v="32.429136457296103"/>
    <n v="35.556309428959707"/>
    <n v="38.925711141027755"/>
    <n v="42.593675998144583"/>
    <n v="46.611444789237424"/>
    <n v="51.075346473265995"/>
    <n v="56.044436613656821"/>
    <n v="61.563409729176513"/>
    <n v="67.601598739420211"/>
    <n v="74.125101646416724"/>
    <n v="81.218853699224397"/>
  </r>
  <r>
    <x v="13"/>
    <x v="3"/>
    <x v="9"/>
    <x v="22"/>
    <x v="24"/>
    <n v="81.17681753579906"/>
    <n v="88.564825320971451"/>
    <n v="96.772833349600418"/>
    <n v="105.90283093752839"/>
    <n v="116.10600047237587"/>
    <n v="127.6018066476409"/>
    <n v="140.53356509865171"/>
    <n v="155.05695501298931"/>
    <n v="171.13294500080042"/>
    <n v="188.76157233079681"/>
    <n v="207.82862435445369"/>
    <n v="228.33673065482353"/>
    <n v="250.51048781371074"/>
  </r>
  <r>
    <x v="13"/>
    <x v="3"/>
    <x v="10"/>
    <x v="23"/>
    <x v="25"/>
    <n v="145.43172765536684"/>
    <n v="162.80200767036519"/>
    <n v="182.72559771225684"/>
    <n v="205.1178588882193"/>
    <n v="230.1986020926297"/>
    <n v="258.06559366687645"/>
    <n v="289.70000165193994"/>
    <n v="326.27627224225841"/>
    <n v="368.7115311818427"/>
    <n v="417.54525259150864"/>
    <n v="472.37946099451574"/>
    <n v="532.79458249462607"/>
    <n v="599.88021990916877"/>
  </r>
  <r>
    <x v="13"/>
    <x v="3"/>
    <x v="11"/>
    <x v="24"/>
    <x v="26"/>
    <n v="98.905802421022699"/>
    <n v="110.24247037182388"/>
    <n v="122.99404904367337"/>
    <n v="137.39482497200606"/>
    <n v="153.6894457119889"/>
    <n v="172.16173163906501"/>
    <n v="193.11658553923638"/>
    <n v="216.75670426228234"/>
    <n v="243.28708513675107"/>
    <n v="272.95291012135937"/>
    <n v="306.0099513939499"/>
    <n v="342.90656243506936"/>
    <n v="383.91930220875014"/>
  </r>
  <r>
    <x v="13"/>
    <x v="3"/>
    <x v="12"/>
    <x v="25"/>
    <x v="27"/>
    <n v="28.812458772022616"/>
    <n v="31.906750127080517"/>
    <n v="35.366776588405102"/>
    <n v="39.252117594108007"/>
    <n v="43.623641795979374"/>
    <n v="48.551614510396867"/>
    <n v="54.110262240262756"/>
    <n v="60.34306485114552"/>
    <n v="67.292800020272367"/>
    <n v="75.012016354040256"/>
    <n v="83.554557975771615"/>
    <n v="93.025182591381551"/>
    <n v="103.47903696680707"/>
  </r>
  <r>
    <x v="13"/>
    <x v="3"/>
    <x v="13"/>
    <x v="26"/>
    <x v="28"/>
    <n v="59.804150762551735"/>
    <n v="65.865342144208384"/>
    <n v="72.609841184566577"/>
    <n v="80.147829400216636"/>
    <n v="88.589549493373426"/>
    <n v="98.061730974517658"/>
    <n v="108.69612547752865"/>
    <n v="120.55960514957367"/>
    <n v="133.7158976360484"/>
    <n v="148.24644951767647"/>
    <n v="164.23316515394183"/>
    <n v="181.85588658111007"/>
    <n v="201.19318198351249"/>
  </r>
  <r>
    <x v="13"/>
    <x v="4"/>
    <x v="14"/>
    <x v="27"/>
    <x v="29"/>
    <n v="177.7963080578412"/>
    <n v="199.15483857787268"/>
    <n v="222.32691048028408"/>
    <n v="247.80567652847407"/>
    <n v="276.50677569143852"/>
    <n v="309.47578573131676"/>
    <n v="347.72017938303185"/>
    <n v="391.45054745683245"/>
    <n v="440.40269803248668"/>
    <n v="495.03413645272042"/>
    <n v="556.39621678492324"/>
    <n v="625.76655135560827"/>
    <n v="703.56501019229756"/>
  </r>
  <r>
    <x v="13"/>
    <x v="4"/>
    <x v="15"/>
    <x v="28"/>
    <x v="30"/>
    <n v="263.37450384215566"/>
    <n v="289.81481198197508"/>
    <n v="320.57132385551432"/>
    <n v="355.56609469256404"/>
    <n v="394.6261750159365"/>
    <n v="437.56036770532472"/>
    <n v="485.04780541382496"/>
    <n v="538.61740053468293"/>
    <n v="599.78199755688513"/>
    <n v="669.04747419183752"/>
    <n v="745.21114182712984"/>
    <n v="827.277495047819"/>
    <n v="916.63607238887596"/>
  </r>
  <r>
    <x v="13"/>
    <x v="5"/>
    <x v="16"/>
    <x v="29"/>
    <x v="31"/>
    <n v="38.414848594556361"/>
    <n v="43.484516096797165"/>
    <n v="49.277591173909869"/>
    <n v="55.805470557525084"/>
    <n v="63.086497366493255"/>
    <n v="71.285947854093422"/>
    <n v="80.586736687928862"/>
    <n v="91.342774161674782"/>
    <n v="103.8313007541804"/>
    <n v="118.10515166204846"/>
    <n v="134.42982998742434"/>
    <n v="152.87650099001689"/>
    <n v="173.62513821581376"/>
  </r>
  <r>
    <x v="13"/>
    <x v="5"/>
    <x v="17"/>
    <x v="30"/>
    <x v="32"/>
    <n v="68.949978345274474"/>
    <n v="76.081410377004431"/>
    <n v="84.600860903052251"/>
    <n v="94.487236668081607"/>
    <n v="106.03900621176524"/>
    <n v="119.64317899826142"/>
    <n v="135.52299992298686"/>
    <n v="154.14333476787692"/>
    <n v="175.43242130114777"/>
    <n v="199.0810025084927"/>
    <n v="224.22319905940549"/>
    <n v="250.75798354625044"/>
    <n v="279.69169845914507"/>
  </r>
  <r>
    <x v="13"/>
    <x v="5"/>
    <x v="18"/>
    <x v="31"/>
    <x v="33"/>
    <n v="53.324410449904271"/>
    <n v="58.922840497538694"/>
    <n v="64.886477535693714"/>
    <n v="71.340046026419117"/>
    <n v="78.522555232762883"/>
    <n v="86.696197270367364"/>
    <n v="96.097264093686718"/>
    <n v="106.72773724366945"/>
    <n v="118.45841053522632"/>
    <n v="131.35944870107173"/>
    <n v="145.65321755099208"/>
    <n v="161.60761311926663"/>
    <n v="179.25257345669718"/>
  </r>
  <r>
    <x v="13"/>
    <x v="5"/>
    <x v="19"/>
    <x v="32"/>
    <x v="34"/>
    <n v="159.64873842578481"/>
    <n v="177.64645137840705"/>
    <n v="198.02839698438464"/>
    <n v="220.68281893999091"/>
    <n v="245.63465995889925"/>
    <n v="272.75269335000104"/>
    <n v="302.95547154118788"/>
    <n v="337.10861091447077"/>
    <n v="376.23563830497886"/>
    <n v="420.90729910931515"/>
    <n v="471.02327152563777"/>
    <n v="526.47834794880873"/>
    <n v="587.77508698278302"/>
  </r>
  <r>
    <x v="13"/>
    <x v="5"/>
    <x v="20"/>
    <x v="33"/>
    <x v="35"/>
    <n v="38.316354998350363"/>
    <n v="42.74250434358671"/>
    <n v="47.724722304221366"/>
    <n v="53.355295290980578"/>
    <n v="59.730832612956377"/>
    <n v="66.963481302263318"/>
    <n v="75.173951900479139"/>
    <n v="84.443560662239932"/>
    <n v="94.854786236168167"/>
    <n v="106.50604584519205"/>
    <n v="119.50021204874048"/>
    <n v="134.01570085057935"/>
    <n v="150.16436795466234"/>
  </r>
  <r>
    <x v="13"/>
    <x v="5"/>
    <x v="21"/>
    <x v="34"/>
    <x v="36"/>
    <n v="51.10038274494628"/>
    <n v="55.664704296164395"/>
    <n v="60.646919126840871"/>
    <n v="66.240921507394035"/>
    <n v="72.482358676396501"/>
    <n v="79.402602045053527"/>
    <n v="86.999550178902567"/>
    <n v="95.250842786881989"/>
    <n v="104.1918773934083"/>
    <n v="114.109416057956"/>
    <n v="125.13197019294554"/>
    <n v="137.23348155675532"/>
    <n v="150.39276900549595"/>
  </r>
  <r>
    <x v="13"/>
    <x v="5"/>
    <x v="22"/>
    <x v="35"/>
    <x v="37"/>
    <n v="31.416098341180334"/>
    <n v="34.427223570349298"/>
    <n v="37.733266307695729"/>
    <n v="41.459982230646801"/>
    <n v="45.637040648101539"/>
    <n v="50.292052616601353"/>
    <n v="55.432010471684713"/>
    <n v="61.051087454701516"/>
    <n v="67.180261064262055"/>
    <n v="74.01324676048192"/>
    <n v="81.645658246907558"/>
    <n v="90.074418391750044"/>
    <n v="99.29944850657624"/>
  </r>
  <r>
    <x v="14"/>
    <x v="0"/>
    <x v="0"/>
    <x v="0"/>
    <x v="0"/>
    <n v="12.410570238768951"/>
    <n v="14.091969338036797"/>
    <n v="16.026077508436341"/>
    <n v="18.232325159867205"/>
    <n v="20.711876736599997"/>
    <n v="23.517611355187547"/>
    <n v="26.705728405333879"/>
    <n v="30.364506631279895"/>
    <n v="34.57073606006756"/>
    <n v="39.400616629952495"/>
    <n v="44.889750810905163"/>
    <n v="51.07261269405052"/>
    <n v="58.066234029797634"/>
  </r>
  <r>
    <x v="14"/>
    <x v="0"/>
    <x v="1"/>
    <x v="1"/>
    <x v="1"/>
    <n v="41.557966973413969"/>
    <n v="45.946837165366759"/>
    <n v="50.807632253147773"/>
    <n v="56.321609700127738"/>
    <n v="62.545766382801979"/>
    <n v="69.536041813021626"/>
    <n v="77.32157624439094"/>
    <n v="85.914372273528841"/>
    <n v="95.378356047659096"/>
    <n v="106.01047106930781"/>
    <n v="117.97736366809114"/>
    <n v="131.30853337362953"/>
    <n v="146.03839327037309"/>
  </r>
  <r>
    <x v="14"/>
    <x v="0"/>
    <x v="2"/>
    <x v="2"/>
    <x v="2"/>
    <n v="83.925939804101503"/>
    <n v="91.949964208501669"/>
    <n v="100.75800974515687"/>
    <n v="110.68534963313645"/>
    <n v="121.81044338158809"/>
    <n v="134.20618683482294"/>
    <n v="147.89038848769849"/>
    <n v="162.84663769551264"/>
    <n v="179.15670588545504"/>
    <n v="197.33628094737725"/>
    <n v="217.6390391297316"/>
    <n v="240.05535766988069"/>
    <n v="264.58360830028249"/>
  </r>
  <r>
    <x v="14"/>
    <x v="1"/>
    <x v="3"/>
    <x v="3"/>
    <x v="3"/>
    <n v="4.864634480384443"/>
    <n v="5.4908174121491617"/>
    <n v="6.2067548976510158"/>
    <n v="7.0263867338328243"/>
    <n v="7.9683076695432815"/>
    <n v="9.0577464573914597"/>
    <n v="10.317269666339552"/>
    <n v="11.772570174614929"/>
    <n v="13.437072009039687"/>
    <n v="15.327956618720407"/>
    <n v="17.454273388869183"/>
    <n v="19.834829322455182"/>
    <n v="22.508962508755587"/>
  </r>
  <r>
    <x v="14"/>
    <x v="1"/>
    <x v="3"/>
    <x v="3"/>
    <x v="4"/>
    <n v="11.132511525365102"/>
    <n v="12.331022186650534"/>
    <n v="13.660823460088977"/>
    <n v="15.17139316634824"/>
    <n v="16.879103343011035"/>
    <n v="18.800160974614467"/>
    <n v="20.943646759104745"/>
    <n v="23.314066440917227"/>
    <n v="25.930049525746679"/>
    <n v="28.873712945687526"/>
    <n v="32.192292126274417"/>
    <n v="35.89594777003942"/>
    <n v="39.996258833718002"/>
  </r>
  <r>
    <x v="14"/>
    <x v="1"/>
    <x v="3"/>
    <x v="3"/>
    <x v="5"/>
    <n v="11.656494970619345"/>
    <n v="12.882942754378892"/>
    <n v="14.200144793158962"/>
    <n v="15.928641862200291"/>
    <n v="17.992952802194509"/>
    <n v="20.218235731402306"/>
    <n v="22.374058903754158"/>
    <n v="24.266331203710692"/>
    <n v="25.982729001674144"/>
    <n v="28.143083727637062"/>
    <n v="31.019591301181983"/>
    <n v="34.439243571610831"/>
    <n v="38.231114679900998"/>
  </r>
  <r>
    <x v="14"/>
    <x v="1"/>
    <x v="3"/>
    <x v="4"/>
    <x v="6"/>
    <n v="25.10740856408832"/>
    <n v="27.595662945377885"/>
    <n v="30.359423998555627"/>
    <n v="33.442990454549523"/>
    <n v="36.890313284922605"/>
    <n v="40.751836982863857"/>
    <n v="45.079666867677069"/>
    <n v="49.898559105996476"/>
    <n v="55.231746010664985"/>
    <n v="61.109566719012747"/>
    <n v="67.562277670270404"/>
    <n v="74.660152322634616"/>
    <n v="82.431287323493152"/>
  </r>
  <r>
    <x v="14"/>
    <x v="1"/>
    <x v="3"/>
    <x v="5"/>
    <x v="7"/>
    <n v="16.293536730824464"/>
    <n v="17.838666551762284"/>
    <n v="19.462942624545704"/>
    <n v="21.201024065472719"/>
    <n v="23.120196344467626"/>
    <n v="25.292006651260422"/>
    <n v="27.777695300172685"/>
    <n v="30.568373990893114"/>
    <n v="33.617717488396998"/>
    <n v="36.937482480463174"/>
    <n v="40.581619273649501"/>
    <n v="44.614603181624418"/>
    <n v="49.032639292122724"/>
  </r>
  <r>
    <x v="14"/>
    <x v="1"/>
    <x v="3"/>
    <x v="6"/>
    <x v="8"/>
    <n v="10.221126902575806"/>
    <n v="11.052771978052158"/>
    <n v="11.970505392740614"/>
    <n v="12.984390861727553"/>
    <n v="14.110119827873625"/>
    <n v="15.371074945156664"/>
    <n v="16.780581538629171"/>
    <n v="18.352899126054847"/>
    <n v="20.078658358508484"/>
    <n v="21.953308356502959"/>
    <n v="23.959079000673807"/>
    <n v="26.092202967483928"/>
    <n v="28.374328825993597"/>
  </r>
  <r>
    <x v="14"/>
    <x v="1"/>
    <x v="3"/>
    <x v="7"/>
    <x v="9"/>
    <n v="17.336108719842702"/>
    <n v="19.235289420151663"/>
    <n v="21.374585276295473"/>
    <n v="23.787432028150977"/>
    <n v="26.520225218654041"/>
    <n v="29.637692975566416"/>
    <n v="33.190775480708758"/>
    <n v="37.236196958625214"/>
    <n v="41.787102287862822"/>
    <n v="46.866348651053563"/>
    <n v="52.469247639338178"/>
    <n v="58.619548185888959"/>
    <n v="65.398850600343238"/>
  </r>
  <r>
    <x v="14"/>
    <x v="1"/>
    <x v="3"/>
    <x v="8"/>
    <x v="10"/>
    <n v="19.213379351844992"/>
    <n v="20.80412167540716"/>
    <n v="22.563343566283237"/>
    <n v="24.480739511006501"/>
    <n v="26.520225218654041"/>
    <n v="28.715497010619426"/>
    <n v="31.09530009856919"/>
    <n v="33.717123812969469"/>
    <n v="36.611293841233184"/>
    <n v="39.797294464035396"/>
    <n v="43.244862555748931"/>
    <n v="46.922692559256113"/>
    <n v="50.875794357545168"/>
  </r>
  <r>
    <x v="14"/>
    <x v="1"/>
    <x v="4"/>
    <x v="9"/>
    <x v="11"/>
    <n v="3.0403341668258443"/>
    <n v="3.4581545876243025"/>
    <n v="3.9340283008875918"/>
    <n v="4.4861455079793293"/>
    <n v="5.1246514816597442"/>
    <n v="5.860448910509394"/>
    <n v="6.7030727034281128"/>
    <n v="7.6612639670775593"/>
    <n v="8.7489598806778215"/>
    <n v="10.002602398682377"/>
    <n v="11.449993856428152"/>
    <n v="13.108126065103956"/>
    <n v="14.995629405467614"/>
  </r>
  <r>
    <x v="14"/>
    <x v="1"/>
    <x v="4"/>
    <x v="10"/>
    <x v="12"/>
    <n v="2.235242308688302"/>
    <n v="2.5678899076289734"/>
    <n v="2.9527321197787693"/>
    <n v="3.3994325551770421"/>
    <n v="3.9188511330339204"/>
    <n v="4.5238861215754893"/>
    <n v="5.2292265527124577"/>
    <n v="6.0481879466589197"/>
    <n v="6.9953079957338975"/>
    <n v="8.0875284337123503"/>
    <n v="9.3435828676331578"/>
    <n v="10.789706579730133"/>
    <n v="12.449183667026986"/>
  </r>
  <r>
    <x v="14"/>
    <x v="1"/>
    <x v="4"/>
    <x v="11"/>
    <x v="13"/>
    <n v="2.2591273017081779"/>
    <n v="2.5160768327888205"/>
    <n v="2.8053964891828769"/>
    <n v="3.1258805034054453"/>
    <n v="3.4767243385377853"/>
    <n v="3.8652079631980403"/>
    <n v="4.2990327315841297"/>
    <n v="4.7944463972757054"/>
    <n v="5.362532693331719"/>
    <n v="6.0019525267956881"/>
    <n v="6.7221172243333243"/>
    <n v="7.5219712164770298"/>
    <n v="8.4057156008165244"/>
  </r>
  <r>
    <x v="14"/>
    <x v="1"/>
    <x v="4"/>
    <x v="12"/>
    <x v="14"/>
    <n v="2.5628120718411007"/>
    <n v="2.8793511355289705"/>
    <n v="3.240076671762937"/>
    <n v="3.647345526860895"/>
    <n v="4.0997211853277928"/>
    <n v="4.6060211601352492"/>
    <n v="5.1752984179416401"/>
    <n v="5.8223902210922178"/>
    <n v="6.5592470617875733"/>
    <n v="7.3971336332781013"/>
    <n v="8.3391373832053599"/>
    <n v="9.3879136909669434"/>
    <n v="10.561084189437475"/>
  </r>
  <r>
    <x v="14"/>
    <x v="1"/>
    <x v="4"/>
    <x v="13"/>
    <x v="15"/>
    <n v="2.1121924707219244"/>
    <n v="2.3903374446991128"/>
    <n v="2.7098907340961702"/>
    <n v="3.0712603455172274"/>
    <n v="3.4767243385377853"/>
    <n v="3.9264459216339986"/>
    <n v="4.4356487497755905"/>
    <n v="5.0197590631963163"/>
    <n v="5.6975207246808273"/>
    <n v="6.4819863162058411"/>
    <n v="7.3766220522100436"/>
    <n v="8.3848988101580595"/>
    <n v="9.5200470443946923"/>
  </r>
  <r>
    <x v="14"/>
    <x v="1"/>
    <x v="5"/>
    <x v="14"/>
    <x v="16"/>
    <n v="2.9486047270615403"/>
    <n v="3.2884212213823569"/>
    <n v="3.654979458626519"/>
    <n v="4.0559957166287068"/>
    <n v="4.5059610646862556"/>
    <n v="5.0212237141789835"/>
    <n v="5.617219427850431"/>
    <n v="6.2962313215541608"/>
    <n v="7.0528528748482344"/>
    <n v="7.8933142375246055"/>
    <n v="8.8331915142626745"/>
    <n v="9.8913660642725105"/>
    <n v="11.072814363376619"/>
  </r>
  <r>
    <x v="14"/>
    <x v="1"/>
    <x v="5"/>
    <x v="15"/>
    <x v="17"/>
    <n v="2.6620710925996725"/>
    <n v="2.9222928030299204"/>
    <n v="3.2110130517900433"/>
    <n v="3.5328075710044406"/>
    <n v="3.8921922817887915"/>
    <n v="4.294345378779072"/>
    <n v="4.7445939163606488"/>
    <n v="5.2453595088608891"/>
    <n v="5.7988907116603086"/>
    <n v="6.4081701112773164"/>
    <n v="7.0761558150795407"/>
    <n v="7.8099813477668381"/>
    <n v="8.6123319235992462"/>
  </r>
  <r>
    <x v="14"/>
    <x v="1"/>
    <x v="5"/>
    <x v="16"/>
    <x v="18"/>
    <n v="1.5927349818451881"/>
    <n v="1.8113158068510262"/>
    <n v="2.0621579686183829"/>
    <n v="2.3461916784300603"/>
    <n v="2.6646547159938647"/>
    <n v="3.0250123744608772"/>
    <n v="3.4356159233079735"/>
    <n v="3.9122600669169803"/>
    <n v="4.4677468315799507"/>
    <n v="5.1054558362914824"/>
    <n v="5.8380180642870609"/>
    <n v="6.6698548116868297"/>
    <n v="7.6102119966791104"/>
  </r>
  <r>
    <x v="14"/>
    <x v="1"/>
    <x v="5"/>
    <x v="17"/>
    <x v="19"/>
    <n v="1.2869357601288032"/>
    <n v="1.4062159545772761"/>
    <n v="1.5393641170606862"/>
    <n v="1.6846063492045298"/>
    <n v="1.8413063486923897"/>
    <n v="2.007672238100636"/>
    <n v="2.1897388585280106"/>
    <n v="2.3926957464541467"/>
    <n v="2.6224394333192103"/>
    <n v="2.8812359967276175"/>
    <n v="3.1665324223052784"/>
    <n v="3.475856503928036"/>
    <n v="3.8108598163105607"/>
  </r>
  <r>
    <x v="14"/>
    <x v="1"/>
    <x v="5"/>
    <x v="18"/>
    <x v="20"/>
    <n v="1.3692208893187108"/>
    <n v="1.5174200938647266"/>
    <n v="1.6835565856173973"/>
    <n v="1.8666200556350891"/>
    <n v="2.065855903410974"/>
    <n v="2.2853244915853579"/>
    <n v="2.5292512409789762"/>
    <n v="2.8068015474524808"/>
    <n v="3.1239312624351556"/>
    <n v="3.4792351930293317"/>
    <n v="3.8775594529769011"/>
    <n v="4.3176087664769787"/>
    <n v="4.8011211714720021"/>
  </r>
  <r>
    <x v="14"/>
    <x v="2"/>
    <x v="6"/>
    <x v="19"/>
    <x v="21"/>
    <n v="53.968537212182923"/>
    <n v="60.038806503403556"/>
    <n v="66.833709761584117"/>
    <n v="74.553934859994939"/>
    <n v="83.257643119401976"/>
    <n v="93.053653168209166"/>
    <n v="104.02730464972481"/>
    <n v="116.27887890480874"/>
    <n v="129.94909210772664"/>
    <n v="145.41108769926029"/>
    <n v="162.86711447899631"/>
    <n v="182.38114606768005"/>
    <n v="204.10462730017073"/>
  </r>
  <r>
    <x v="14"/>
    <x v="2"/>
    <x v="7"/>
    <x v="20"/>
    <x v="22"/>
    <n v="83.925939804101503"/>
    <n v="91.949964208501669"/>
    <n v="100.75800974515687"/>
    <n v="110.68534963313645"/>
    <n v="121.81044338158809"/>
    <n v="134.20618683482294"/>
    <n v="147.89038848769849"/>
    <n v="162.84663769551264"/>
    <n v="179.15670588545504"/>
    <n v="197.33628094737725"/>
    <n v="217.6390391297316"/>
    <n v="240.05535766988069"/>
    <n v="264.58360830028249"/>
  </r>
  <r>
    <x v="14"/>
    <x v="3"/>
    <x v="8"/>
    <x v="21"/>
    <x v="23"/>
    <n v="8.2629538811897056"/>
    <n v="8.9100103401632555"/>
    <n v="9.6225865970710487"/>
    <n v="10.408188638895627"/>
    <n v="11.278744757554454"/>
    <n v="12.252192115763188"/>
    <n v="13.338244342470793"/>
    <n v="14.547242315477984"/>
    <n v="15.870674713565121"/>
    <n v="17.303925653921812"/>
    <n v="18.832002953872703"/>
    <n v="20.451080561020884"/>
    <n v="22.177289361015216"/>
  </r>
  <r>
    <x v="14"/>
    <x v="3"/>
    <x v="9"/>
    <x v="22"/>
    <x v="24"/>
    <n v="25.832273684727266"/>
    <n v="28.175086468852946"/>
    <n v="30.780183069711775"/>
    <n v="33.638989191542628"/>
    <n v="36.707187483677217"/>
    <n v="40.035686830815905"/>
    <n v="43.669926179607771"/>
    <n v="47.696971731981066"/>
    <n v="52.167922686224536"/>
    <n v="57.119812654568705"/>
    <n v="62.519233229036423"/>
    <n v="68.330171675195288"/>
    <n v="74.626585193803862"/>
  </r>
  <r>
    <x v="14"/>
    <x v="3"/>
    <x v="10"/>
    <x v="23"/>
    <x v="25"/>
    <n v="46.912750268248274"/>
    <n v="52.150172505522463"/>
    <n v="57.862101699292737"/>
    <n v="64.566696355326243"/>
    <n v="72.389034534849458"/>
    <n v="81.421433502132658"/>
    <n v="91.492493967473735"/>
    <n v="102.40983476808108"/>
    <n v="114.14836821660026"/>
    <n v="127.4389687283531"/>
    <n v="142.78701642569138"/>
    <n v="160.24814028611121"/>
    <n v="179.7742787160214"/>
  </r>
  <r>
    <x v="14"/>
    <x v="3"/>
    <x v="11"/>
    <x v="24"/>
    <x v="26"/>
    <n v="30.411318084732041"/>
    <n v="33.758810459537536"/>
    <n v="37.542291994975031"/>
    <n v="41.737288962976585"/>
    <n v="46.345387549223759"/>
    <n v="51.338665849519565"/>
    <n v="56.887035670236898"/>
    <n v="63.148813525469379"/>
    <n v="70.310345732997064"/>
    <n v="78.47154174732411"/>
    <n v="87.606196789350108"/>
    <n v="97.687383486606436"/>
    <n v="108.80113497697963"/>
  </r>
  <r>
    <x v="14"/>
    <x v="3"/>
    <x v="12"/>
    <x v="25"/>
    <x v="27"/>
    <n v="8.5086790572002879"/>
    <n v="9.3533034127891845"/>
    <n v="10.291569129167344"/>
    <n v="11.33853559884375"/>
    <n v="12.509153276560394"/>
    <n v="13.820583415815669"/>
    <n v="15.290560735814831"/>
    <n v="16.927553964437418"/>
    <n v="18.739520041576256"/>
    <n v="20.736832068683814"/>
    <n v="22.929841418527918"/>
    <n v="25.342487113555947"/>
    <n v="27.984406095921134"/>
  </r>
  <r>
    <x v="14"/>
    <x v="3"/>
    <x v="13"/>
    <x v="26"/>
    <x v="28"/>
    <n v="17.966502040186867"/>
    <n v="19.641387525039843"/>
    <n v="21.492987016523067"/>
    <n v="23.549585745546537"/>
    <n v="25.838578899124769"/>
    <n v="28.391278288985109"/>
    <n v="31.239432241819244"/>
    <n v="34.395100294874432"/>
    <n v="37.868966602218457"/>
    <n v="41.676287793786003"/>
    <n v="45.831862792249339"/>
    <n v="50.37724061507101"/>
    <n v="55.324541256711989"/>
  </r>
  <r>
    <x v="14"/>
    <x v="4"/>
    <x v="14"/>
    <x v="27"/>
    <x v="29"/>
    <n v="59.309073892815526"/>
    <n v="65.976927413389475"/>
    <n v="73.476888997899763"/>
    <n v="81.774304954761902"/>
    <n v="90.845162319938595"/>
    <n v="100.87678668129134"/>
    <n v="112.06659678055853"/>
    <n v="124.83384218308329"/>
    <n v="139.46131265436895"/>
    <n v="155.90736058060699"/>
    <n v="174.40974779408623"/>
    <n v="194.93350569837696"/>
    <n v="217.58000724428356"/>
  </r>
  <r>
    <x v="14"/>
    <x v="4"/>
    <x v="15"/>
    <x v="28"/>
    <x v="30"/>
    <n v="78.585403123468922"/>
    <n v="86.011843298515757"/>
    <n v="94.114830508841223"/>
    <n v="103.46497953836948"/>
    <n v="114.22292418105147"/>
    <n v="126.38305332174077"/>
    <n v="139.85109635686479"/>
    <n v="154.29167441723808"/>
    <n v="169.64448533881273"/>
    <n v="186.84000806603055"/>
    <n v="206.09640581464168"/>
    <n v="227.50299803918381"/>
    <n v="251.10822835616969"/>
  </r>
  <r>
    <x v="14"/>
    <x v="5"/>
    <x v="16"/>
    <x v="29"/>
    <x v="31"/>
    <n v="19.129416236008844"/>
    <n v="21.430975445146572"/>
    <n v="24.01337607687887"/>
    <n v="26.972624751085508"/>
    <n v="30.350076802146528"/>
    <n v="34.188431441502466"/>
    <n v="38.519107495831861"/>
    <n v="43.36625278758023"/>
    <n v="48.781084093595702"/>
    <n v="54.936272736659411"/>
    <n v="61.94563845837488"/>
    <n v="69.85637393492847"/>
    <n v="78.72004852908546"/>
  </r>
  <r>
    <x v="14"/>
    <x v="5"/>
    <x v="17"/>
    <x v="30"/>
    <x v="32"/>
    <n v="19.438808790866915"/>
    <n v="21.532509035609394"/>
    <n v="23.770017119035487"/>
    <n v="26.535534640687558"/>
    <n v="29.939940629144559"/>
    <n v="33.949909156782837"/>
    <n v="38.422064622132012"/>
    <n v="43.069641377029313"/>
    <n v="47.802582567118293"/>
    <n v="53.202049771866712"/>
    <n v="59.456267387335231"/>
    <n v="66.625056330856182"/>
    <n v="74.687030972992773"/>
  </r>
  <r>
    <x v="14"/>
    <x v="5"/>
    <x v="18"/>
    <x v="31"/>
    <x v="33"/>
    <n v="19.751279621563732"/>
    <n v="21.608856961943193"/>
    <n v="23.645098098563032"/>
    <n v="25.937883301694608"/>
    <n v="28.50446402363762"/>
    <n v="31.360686221922297"/>
    <n v="34.509426926552152"/>
    <n v="37.945554635032977"/>
    <n v="41.686836911330559"/>
    <n v="45.851897911006063"/>
    <n v="50.497801230574289"/>
    <n v="55.620184645904757"/>
    <n v="61.21655061727477"/>
  </r>
  <r>
    <x v="14"/>
    <x v="5"/>
    <x v="19"/>
    <x v="32"/>
    <x v="34"/>
    <n v="37.648203195834157"/>
    <n v="41.533689632478982"/>
    <n v="45.872095183061312"/>
    <n v="50.629265231865091"/>
    <n v="55.7785195282693"/>
    <n v="61.42358996903895"/>
    <n v="67.670682102415995"/>
    <n v="74.756147389169627"/>
    <n v="82.826454480173766"/>
    <n v="91.830112191281586"/>
    <n v="101.88138596514206"/>
    <n v="112.93094149197218"/>
    <n v="125.00948121538603"/>
  </r>
  <r>
    <x v="14"/>
    <x v="5"/>
    <x v="20"/>
    <x v="33"/>
    <x v="35"/>
    <n v="16.765580232960602"/>
    <n v="18.624281782535956"/>
    <n v="20.721969751323321"/>
    <n v="23.064568263471521"/>
    <n v="25.633510812623758"/>
    <n v="28.474932533417878"/>
    <n v="31.634109113262483"/>
    <n v="35.189353433361333"/>
    <n v="39.197683534894068"/>
    <n v="43.709062941791963"/>
    <n v="48.722443020763421"/>
    <n v="54.233794239220224"/>
    <n v="60.325214045195203"/>
  </r>
  <r>
    <x v="14"/>
    <x v="5"/>
    <x v="21"/>
    <x v="34"/>
    <x v="36"/>
    <n v="16.035465732203171"/>
    <n v="17.313294288699375"/>
    <n v="18.711087734898445"/>
    <n v="20.248239783217191"/>
    <n v="21.942285255605935"/>
    <n v="23.813064244919016"/>
    <n v="25.879630698317417"/>
    <n v="28.143593877163749"/>
    <n v="30.605140639711294"/>
    <n v="33.267919941066012"/>
    <n v="36.134807683973193"/>
    <n v="39.229393677596583"/>
    <n v="42.550948074564985"/>
  </r>
  <r>
    <x v="14"/>
    <x v="5"/>
    <x v="22"/>
    <x v="35"/>
    <x v="37"/>
    <n v="9.1257232068470255"/>
    <n v="9.9451635654917485"/>
    <n v="10.858075542980529"/>
    <n v="11.851168521109885"/>
    <n v="12.919289449562363"/>
    <n v="14.049226435448661"/>
    <n v="15.282672178911392"/>
    <n v="16.654973100984144"/>
    <n v="18.206015766358011"/>
    <n v="19.950053152965801"/>
    <n v="21.867809862564847"/>
    <n v="23.940759417082326"/>
    <n v="26.178962145954017"/>
  </r>
  <r>
    <x v="15"/>
    <x v="0"/>
    <x v="0"/>
    <x v="0"/>
    <x v="0"/>
    <n v="26.078323928036532"/>
    <n v="28.701526751866147"/>
    <n v="31.624472868874751"/>
    <n v="34.821371695102201"/>
    <n v="38.271800345827323"/>
    <n v="42.044993983512562"/>
    <n v="46.211206995755333"/>
    <n v="50.92888115537739"/>
    <n v="56.293698679027919"/>
    <n v="62.26586310835787"/>
    <n v="68.918310245547616"/>
    <n v="76.212582499208466"/>
    <n v="84.164557240656492"/>
  </r>
  <r>
    <x v="15"/>
    <x v="0"/>
    <x v="1"/>
    <x v="1"/>
    <x v="1"/>
    <n v="60.884468249513731"/>
    <n v="65.453157764606331"/>
    <n v="70.495581979632789"/>
    <n v="75.902969321936553"/>
    <n v="81.623928171189277"/>
    <n v="87.558423340876686"/>
    <n v="93.953574120350922"/>
    <n v="101.00372535481705"/>
    <n v="108.91958964503672"/>
    <n v="117.74628831606798"/>
    <n v="127.32753966979139"/>
    <n v="137.51866658676894"/>
    <n v="148.34596712613234"/>
  </r>
  <r>
    <x v="15"/>
    <x v="0"/>
    <x v="2"/>
    <x v="2"/>
    <x v="2"/>
    <n v="170.70593714897851"/>
    <n v="181.29172723369555"/>
    <n v="192.56719760803878"/>
    <n v="205.07058724705061"/>
    <n v="218.79277011862342"/>
    <n v="233.7070018498508"/>
    <n v="249.68495708445514"/>
    <n v="266.54720267526119"/>
    <n v="284.28843839879011"/>
    <n v="303.58493886522859"/>
    <n v="324.61958393126685"/>
    <n v="347.14855344316538"/>
    <n v="370.95632275320639"/>
  </r>
  <r>
    <x v="15"/>
    <x v="1"/>
    <x v="3"/>
    <x v="3"/>
    <x v="3"/>
    <n v="10.295663138971637"/>
    <n v="11.267661815166427"/>
    <n v="12.350204917868757"/>
    <n v="13.557337263619695"/>
    <n v="14.909571678426842"/>
    <n v="16.436439364582689"/>
    <n v="18.158023055482285"/>
    <n v="20.09624471861256"/>
    <n v="22.248054569650382"/>
    <n v="24.615437900356664"/>
    <n v="27.185500193803861"/>
    <n v="29.960466142905069"/>
    <n v="32.971707323749939"/>
  </r>
  <r>
    <x v="15"/>
    <x v="1"/>
    <x v="3"/>
    <x v="3"/>
    <x v="4"/>
    <n v="16.192323908973737"/>
    <n v="17.41009238624579"/>
    <n v="18.653684090756055"/>
    <n v="19.953431302619205"/>
    <n v="21.368095815625569"/>
    <n v="22.955987229220735"/>
    <n v="24.761597292944955"/>
    <n v="26.76333515132383"/>
    <n v="28.907895489326283"/>
    <n v="31.195265788814218"/>
    <n v="33.660707709644086"/>
    <n v="36.345326103726791"/>
    <n v="39.231231058066463"/>
  </r>
  <r>
    <x v="15"/>
    <x v="1"/>
    <x v="3"/>
    <x v="3"/>
    <x v="5"/>
    <n v="23.655306149789261"/>
    <n v="25.422865967750152"/>
    <n v="27.40333852974689"/>
    <n v="29.831184401873465"/>
    <n v="32.430036093168056"/>
    <n v="34.782345423917477"/>
    <n v="36.768441187030263"/>
    <n v="38.411100555401312"/>
    <n v="40.068651667311421"/>
    <n v="42.458817483332581"/>
    <n v="45.597594466126026"/>
    <n v="48.980137446953535"/>
    <n v="52.471636761881314"/>
  </r>
  <r>
    <x v="15"/>
    <x v="1"/>
    <x v="3"/>
    <x v="4"/>
    <x v="6"/>
    <n v="47.511497021253433"/>
    <n v="50.589836624440331"/>
    <n v="53.920625243671033"/>
    <n v="57.547097494666424"/>
    <n v="61.504476598237687"/>
    <n v="65.832109677587979"/>
    <n v="70.5645631481473"/>
    <n v="75.686444290237446"/>
    <n v="81.178832273901634"/>
    <n v="87.032486382597199"/>
    <n v="93.236123934082386"/>
    <n v="99.832006132527667"/>
    <n v="106.79767059460946"/>
  </r>
  <r>
    <x v="15"/>
    <x v="1"/>
    <x v="3"/>
    <x v="5"/>
    <x v="7"/>
    <n v="29.262496793896688"/>
    <n v="31.054374833927298"/>
    <n v="32.994795823692407"/>
    <n v="35.031717195955586"/>
    <n v="37.124323712449772"/>
    <n v="39.323369134217252"/>
    <n v="41.672335873143481"/>
    <n v="44.286634268765845"/>
    <n v="47.20887125724078"/>
    <n v="50.359337613230508"/>
    <n v="53.757818665672325"/>
    <n v="57.331887121431123"/>
    <n v="61.057578350236021"/>
  </r>
  <r>
    <x v="15"/>
    <x v="1"/>
    <x v="3"/>
    <x v="6"/>
    <x v="8"/>
    <n v="19.871681826068563"/>
    <n v="20.921907256104621"/>
    <n v="21.948611830735"/>
    <n v="22.987255283370075"/>
    <n v="24.103105693903956"/>
    <n v="25.355386067639156"/>
    <n v="26.782872133393834"/>
    <n v="28.349248132319346"/>
    <n v="29.987107788309487"/>
    <n v="31.689474983254616"/>
    <n v="33.485520094953237"/>
    <n v="35.407558227807499"/>
    <n v="37.427424644520741"/>
  </r>
  <r>
    <x v="15"/>
    <x v="1"/>
    <x v="3"/>
    <x v="7"/>
    <x v="9"/>
    <n v="31.303216653894214"/>
    <n v="33.764293303930778"/>
    <n v="36.454233313030215"/>
    <n v="39.410119461093842"/>
    <n v="42.665267550128846"/>
    <n v="46.257341577371847"/>
    <n v="50.222326863743611"/>
    <n v="54.562210108949301"/>
    <n v="59.276208156664055"/>
    <n v="64.37024152263632"/>
    <n v="69.848706682576676"/>
    <n v="75.756017734751268"/>
    <n v="82.089445087569715"/>
  </r>
  <r>
    <x v="15"/>
    <x v="1"/>
    <x v="3"/>
    <x v="8"/>
    <x v="10"/>
    <n v="35.882621278642027"/>
    <n v="37.463376832998648"/>
    <n v="39.15301757125988"/>
    <n v="40.974329795940896"/>
    <n v="42.942314742012798"/>
    <n v="45.073324639585557"/>
    <n v="47.378768942032892"/>
    <n v="49.835186174953151"/>
    <n v="52.418129140668881"/>
    <n v="55.110857898261848"/>
    <n v="57.896249336022542"/>
    <n v="60.791403091197871"/>
    <n v="63.772364682824268"/>
  </r>
  <r>
    <x v="15"/>
    <x v="1"/>
    <x v="4"/>
    <x v="9"/>
    <x v="11"/>
    <n v="6.8082547048485873"/>
    <n v="7.5102735913755714"/>
    <n v="8.2860565273899152"/>
    <n v="9.1646359086887852"/>
    <n v="10.15455856609376"/>
    <n v="11.264117451860679"/>
    <n v="12.497183718708451"/>
    <n v="13.854817047581912"/>
    <n v="15.346433676751086"/>
    <n v="17.018850298526974"/>
    <n v="18.897536796319102"/>
    <n v="20.98575611435739"/>
    <n v="23.287515424751206"/>
  </r>
  <r>
    <x v="15"/>
    <x v="1"/>
    <x v="4"/>
    <x v="10"/>
    <x v="12"/>
    <n v="5.4181101834109331"/>
    <n v="6.0554875903415581"/>
    <n v="6.7754143673382368"/>
    <n v="7.5758504722375584"/>
    <n v="8.4556970569373888"/>
    <n v="9.4334997017596454"/>
    <n v="10.529090556512701"/>
    <n v="11.783508769750016"/>
    <n v="13.22567267133045"/>
    <n v="14.854259851781128"/>
    <n v="16.694529224724594"/>
    <n v="18.746091958704167"/>
    <n v="21.021648662866173"/>
  </r>
  <r>
    <x v="15"/>
    <x v="1"/>
    <x v="4"/>
    <x v="11"/>
    <x v="13"/>
    <n v="4.4925394153730043"/>
    <n v="4.849361520378193"/>
    <n v="5.240586094686952"/>
    <n v="5.6594424602255735"/>
    <n v="6.1004572374251484"/>
    <n v="6.5727880747482841"/>
    <n v="7.0849757484877225"/>
    <n v="7.6583308204282101"/>
    <n v="8.3029745026468262"/>
    <n v="9.0081086079142612"/>
    <n v="9.7798826478582814"/>
    <n v="10.607998917426515"/>
    <n v="11.490324332257668"/>
  </r>
  <r>
    <x v="15"/>
    <x v="1"/>
    <x v="4"/>
    <x v="12"/>
    <x v="14"/>
    <n v="5.6491865859769268"/>
    <n v="6.1089712278806125"/>
    <n v="6.6163591444673857"/>
    <n v="7.1769160369520986"/>
    <n v="7.7993187465815188"/>
    <n v="8.4964961847475422"/>
    <n v="9.2758191442995788"/>
    <n v="10.14517547556054"/>
    <n v="11.099392096724138"/>
    <n v="12.135959109472577"/>
    <n v="13.245058710280873"/>
    <n v="14.42461326549442"/>
    <n v="15.686595696812404"/>
  </r>
  <r>
    <x v="15"/>
    <x v="1"/>
    <x v="4"/>
    <x v="13"/>
    <x v="15"/>
    <n v="4.1767795949664466"/>
    <n v="4.5870166239413361"/>
    <n v="5.0456552188047423"/>
    <n v="5.5522561192610054"/>
    <n v="6.1004572374251484"/>
    <n v="6.6995361681929007"/>
    <n v="7.3581022499872493"/>
    <n v="8.0920051598534464"/>
    <n v="8.9114164286630757"/>
    <n v="9.8243676600807124"/>
    <n v="10.826976156457778"/>
    <n v="11.914780487543684"/>
    <n v="13.102352318890494"/>
  </r>
  <r>
    <x v="15"/>
    <x v="1"/>
    <x v="5"/>
    <x v="14"/>
    <x v="16"/>
    <n v="4.9202100910718292"/>
    <n v="5.3241573641276316"/>
    <n v="5.7719168608482834"/>
    <n v="6.2554087791846831"/>
    <n v="6.7710604647237167"/>
    <n v="7.3111626692717939"/>
    <n v="7.8967838637127814"/>
    <n v="8.5451066484341442"/>
    <n v="9.2751401623133347"/>
    <n v="10.092276286725721"/>
    <n v="10.984765867721425"/>
    <n v="11.941534564512818"/>
    <n v="12.966049493860954"/>
  </r>
  <r>
    <x v="15"/>
    <x v="1"/>
    <x v="5"/>
    <x v="15"/>
    <x v="17"/>
    <n v="4.7264981909307853"/>
    <n v="5.0289604946280377"/>
    <n v="5.351700187997416"/>
    <n v="5.7097881108655439"/>
    <n v="6.1031667454142333"/>
    <n v="6.5312859959355487"/>
    <n v="6.9907522687070296"/>
    <n v="7.4767153728281128"/>
    <n v="7.9891732005713854"/>
    <n v="8.5472771658054523"/>
    <n v="9.156429321397491"/>
    <n v="9.8100353120302053"/>
    <n v="10.502250794173653"/>
  </r>
  <r>
    <x v="15"/>
    <x v="1"/>
    <x v="5"/>
    <x v="16"/>
    <x v="18"/>
    <n v="2.7154745259381801"/>
    <n v="2.9984772093323246"/>
    <n v="3.3162745670405851"/>
    <n v="3.6691374308455731"/>
    <n v="4.0534239516713395"/>
    <n v="4.4758000496467716"/>
    <n v="4.9426271148284613"/>
    <n v="5.4652643962184602"/>
    <n v="6.0514786689162721"/>
    <n v="6.7077456527417993"/>
    <n v="7.4325392665522374"/>
    <n v="8.2238941041203013"/>
    <n v="9.0929307054137745"/>
  </r>
  <r>
    <x v="15"/>
    <x v="1"/>
    <x v="5"/>
    <x v="17"/>
    <x v="19"/>
    <n v="2.202142162296933"/>
    <n v="2.3153511080118112"/>
    <n v="2.4382388805135875"/>
    <n v="2.5717126802064989"/>
    <n v="2.7176365130523754"/>
    <n v="2.8790873703783153"/>
    <n v="3.0568476603171484"/>
    <n v="3.2516969014873061"/>
    <n v="3.4600501001304687"/>
    <n v="3.6794468760236168"/>
    <n v="3.9053963906207025"/>
    <n v="4.1361085467567316"/>
    <n v="4.3739643774061143"/>
  </r>
  <r>
    <x v="15"/>
    <x v="1"/>
    <x v="5"/>
    <x v="18"/>
    <x v="20"/>
    <n v="2.5847271002255616"/>
    <n v="2.7739459995869544"/>
    <n v="2.9665392866989864"/>
    <n v="3.1673080664828999"/>
    <n v="3.3855302323618575"/>
    <n v="3.6303423935758334"/>
    <n v="3.9086273790816728"/>
    <n v="4.2167851927506668"/>
    <n v="4.5462448717347899"/>
    <n v="4.8968792080982269"/>
    <n v="5.2740983817922142"/>
    <n v="5.6841872568957932"/>
    <n v="6.1241568101049264"/>
  </r>
  <r>
    <x v="15"/>
    <x v="2"/>
    <x v="6"/>
    <x v="19"/>
    <x v="21"/>
    <n v="86.962792177550256"/>
    <n v="94.154684516472486"/>
    <n v="102.12005484850754"/>
    <n v="110.72434101703875"/>
    <n v="119.89572851701661"/>
    <n v="129.60341732438926"/>
    <n v="140.16478111610627"/>
    <n v="151.93260651019443"/>
    <n v="165.21328832406465"/>
    <n v="180.01215142442584"/>
    <n v="196.24584991533902"/>
    <n v="213.73124908597742"/>
    <n v="232.51052436678884"/>
  </r>
  <r>
    <x v="15"/>
    <x v="2"/>
    <x v="7"/>
    <x v="20"/>
    <x v="22"/>
    <n v="170.70593714897851"/>
    <n v="181.29172723369555"/>
    <n v="192.56719760803878"/>
    <n v="205.07058724705061"/>
    <n v="218.79277011862342"/>
    <n v="233.7070018498508"/>
    <n v="249.68495708445514"/>
    <n v="266.54720267526119"/>
    <n v="284.28843839879011"/>
    <n v="303.58493886522859"/>
    <n v="324.61958393126685"/>
    <n v="347.14855344316538"/>
    <n v="370.95632275320639"/>
  </r>
  <r>
    <x v="15"/>
    <x v="3"/>
    <x v="8"/>
    <x v="21"/>
    <x v="23"/>
    <n v="19.377409905178734"/>
    <n v="20.378433960500267"/>
    <n v="21.456643292478947"/>
    <n v="22.575807477706963"/>
    <n v="23.708194904494803"/>
    <n v="24.885528030941238"/>
    <n v="26.13376949823056"/>
    <n v="27.523023232428773"/>
    <n v="29.07557859288827"/>
    <n v="30.737519248367814"/>
    <n v="32.517508461294376"/>
    <n v="34.368058152390049"/>
    <n v="36.272369303366389"/>
  </r>
  <r>
    <x v="15"/>
    <x v="3"/>
    <x v="9"/>
    <x v="22"/>
    <x v="24"/>
    <n v="47.609661388778683"/>
    <n v="50.286967105075277"/>
    <n v="53.177688490530279"/>
    <n v="56.194698296028029"/>
    <n v="59.270487261237001"/>
    <n v="62.484992767687729"/>
    <n v="65.905077883788451"/>
    <n v="69.710074897623727"/>
    <n v="73.961309271989009"/>
    <n v="78.527274050024985"/>
    <n v="83.434011856608947"/>
    <n v="88.563910731756692"/>
    <n v="93.876373031138755"/>
  </r>
  <r>
    <x v="15"/>
    <x v="3"/>
    <x v="10"/>
    <x v="23"/>
    <x v="25"/>
    <n v="80.229483933509499"/>
    <n v="86.74838297037104"/>
    <n v="93.840406697747369"/>
    <n v="101.84061381816022"/>
    <n v="110.75113905385427"/>
    <n v="120.33699431591066"/>
    <n v="130.67194780281528"/>
    <n v="141.66762607415279"/>
    <n v="153.51626164467768"/>
    <n v="166.88350887693258"/>
    <n v="181.74022019648368"/>
    <n v="197.90653662524039"/>
    <n v="215.35773605060967"/>
  </r>
  <r>
    <x v="15"/>
    <x v="3"/>
    <x v="11"/>
    <x v="24"/>
    <x v="26"/>
    <n v="56.622465739196059"/>
    <n v="60.805937283485953"/>
    <n v="65.309646214744888"/>
    <n v="70.325542106803425"/>
    <n v="75.866223694383365"/>
    <n v="81.938387149999556"/>
    <n v="88.513059330762857"/>
    <n v="95.541513240080135"/>
    <n v="103.03494934204814"/>
    <n v="111.25180530623807"/>
    <n v="120.28092015811761"/>
    <n v="130.05649875393402"/>
    <n v="140.51989265380178"/>
  </r>
  <r>
    <x v="15"/>
    <x v="3"/>
    <x v="12"/>
    <x v="25"/>
    <x v="27"/>
    <n v="17.875446873382799"/>
    <n v="19.113044579884125"/>
    <n v="20.4602180560561"/>
    <n v="21.887001223592375"/>
    <n v="23.369506405859163"/>
    <n v="24.940743588821622"/>
    <n v="26.630092496983583"/>
    <n v="28.513758893811826"/>
    <n v="30.62333521621591"/>
    <n v="32.911954998891929"/>
    <n v="35.396297613201135"/>
    <n v="38.032773301077924"/>
    <n v="40.80857641416813"/>
  </r>
  <r>
    <x v="15"/>
    <x v="3"/>
    <x v="13"/>
    <x v="26"/>
    <x v="28"/>
    <n v="35.95426148648297"/>
    <n v="38.113645850851427"/>
    <n v="40.44264970498871"/>
    <n v="42.971265341798365"/>
    <n v="45.72294731581141"/>
    <n v="48.723773320879246"/>
    <n v="51.995791187980679"/>
    <n v="55.523812847358414"/>
    <n v="59.290292655035756"/>
    <n v="63.28502780919905"/>
    <n v="67.49647556090008"/>
    <n v="71.952024964743686"/>
    <n v="76.631899666910513"/>
  </r>
  <r>
    <x v="15"/>
    <x v="4"/>
    <x v="14"/>
    <x v="27"/>
    <x v="29"/>
    <n v="96.299819548572302"/>
    <n v="103.98609657376045"/>
    <n v="112.49383452743207"/>
    <n v="121.66014456363264"/>
    <n v="131.41113747062835"/>
    <n v="141.59323733470143"/>
    <n v="152.61147231803167"/>
    <n v="164.79232643548482"/>
    <n v="178.49471670429773"/>
    <n v="193.81243901250701"/>
    <n v="210.50927281519068"/>
    <n v="228.36385053107355"/>
    <n v="247.43468828352184"/>
  </r>
  <r>
    <x v="15"/>
    <x v="4"/>
    <x v="15"/>
    <x v="28"/>
    <x v="30"/>
    <n v="161.36890977795645"/>
    <n v="171.46031517640762"/>
    <n v="182.19341792911428"/>
    <n v="194.13478370045675"/>
    <n v="207.27736116501168"/>
    <n v="221.71718183953863"/>
    <n v="237.23826588252976"/>
    <n v="253.6874827499708"/>
    <n v="271.00701001855703"/>
    <n v="289.78465127714742"/>
    <n v="310.35616103141513"/>
    <n v="332.51595199806923"/>
    <n v="356.0321588364734"/>
  </r>
  <r>
    <x v="15"/>
    <x v="5"/>
    <x v="16"/>
    <x v="29"/>
    <x v="31"/>
    <n v="7.5158973603893777"/>
    <n v="8.1966133380987927"/>
    <n v="8.9080218482204501"/>
    <n v="9.6655724975100572"/>
    <n v="10.499343457704841"/>
    <n v="11.440871503680572"/>
    <n v="12.516529938897206"/>
    <n v="13.720670708862572"/>
    <n v="15.0309146130946"/>
    <n v="16.451182254842529"/>
    <n v="18.004111199236227"/>
    <n v="19.716642119473693"/>
    <n v="21.58510927718541"/>
  </r>
  <r>
    <x v="15"/>
    <x v="5"/>
    <x v="17"/>
    <x v="30"/>
    <x v="32"/>
    <n v="52.564756376857588"/>
    <n v="56.844564550213931"/>
    <n v="62.143900029963135"/>
    <n v="68.673403881059812"/>
    <n v="75.866223694383336"/>
    <n v="83.214076761414333"/>
    <n v="90.379467801188298"/>
    <n v="97.626010713573123"/>
    <n v="105.6456475627898"/>
    <n v="115.14823094954295"/>
    <n v="126.10901645423428"/>
    <n v="137.89772207715674"/>
    <n v="150.48624843814707"/>
  </r>
  <r>
    <x v="15"/>
    <x v="5"/>
    <x v="18"/>
    <x v="31"/>
    <x v="33"/>
    <n v="22.993472879962408"/>
    <n v="24.472031966707778"/>
    <n v="25.953232395286268"/>
    <n v="27.478625135140632"/>
    <n v="29.12721088266504"/>
    <n v="30.974115408242344"/>
    <n v="33.072679786524418"/>
    <n v="35.385694195600081"/>
    <n v="37.835354908225696"/>
    <n v="40.416597884064473"/>
    <n v="43.170159027716203"/>
    <n v="46.142517475389027"/>
    <n v="49.303246013514972"/>
  </r>
  <r>
    <x v="15"/>
    <x v="5"/>
    <x v="19"/>
    <x v="32"/>
    <x v="34"/>
    <n v="88.944837629109415"/>
    <n v="95.249471599604618"/>
    <n v="101.64122026034384"/>
    <n v="108.28385653680358"/>
    <n v="115.49277803475326"/>
    <n v="123.57580671353584"/>
    <n v="132.76135560979955"/>
    <n v="142.9197773156435"/>
    <n v="153.7540285742889"/>
    <n v="165.25515771843243"/>
    <n v="177.60113170392617"/>
    <n v="190.99780619559306"/>
    <n v="205.3376074786469"/>
  </r>
  <r>
    <x v="15"/>
    <x v="5"/>
    <x v="20"/>
    <x v="33"/>
    <x v="35"/>
    <n v="18.3259954574152"/>
    <n v="19.635356941345886"/>
    <n v="21.070995691059942"/>
    <n v="22.646719466835386"/>
    <n v="24.385571901766081"/>
    <n v="26.322964483439709"/>
    <n v="28.475699890392477"/>
    <n v="30.861440945699119"/>
    <n v="33.457350464509609"/>
    <n v="36.249309962865453"/>
    <n v="39.201755155123045"/>
    <n v="42.303201269425855"/>
    <n v="45.583683961289921"/>
  </r>
  <r>
    <x v="15"/>
    <x v="5"/>
    <x v="21"/>
    <x v="34"/>
    <x v="36"/>
    <n v="25.075656362439094"/>
    <n v="26.341897656487891"/>
    <n v="27.572582251264038"/>
    <n v="28.812468390458829"/>
    <n v="30.143276378571962"/>
    <n v="31.638431926051187"/>
    <n v="33.345186327244903"/>
    <n v="35.216875771612877"/>
    <n v="37.16862462790646"/>
    <n v="39.191209248225526"/>
    <n v="41.320188334918072"/>
    <n v="43.594681385987663"/>
    <n v="45.97899110052419"/>
  </r>
  <r>
    <x v="15"/>
    <x v="5"/>
    <x v="22"/>
    <x v="35"/>
    <x v="37"/>
    <n v="42.248113260355659"/>
    <n v="44.706475697709166"/>
    <n v="47.397299980408626"/>
    <n v="50.234282356281071"/>
    <n v="53.174094285795533"/>
    <n v="56.14415237787604"/>
    <n v="59.298818846514592"/>
    <n v="62.749339534464355"/>
    <n v="66.609805972039666"/>
    <n v="70.88540227168113"/>
    <n v="75.459071971451763"/>
    <n v="80.227232006116751"/>
    <n v="85.191960850686769"/>
  </r>
  <r>
    <x v="16"/>
    <x v="0"/>
    <x v="0"/>
    <x v="0"/>
    <x v="0"/>
    <n v="16.654833046042686"/>
    <n v="18.553758994369289"/>
    <n v="20.70011678484537"/>
    <n v="23.129272258689294"/>
    <n v="25.889747292765538"/>
    <n v="29.048723917420084"/>
    <n v="32.660928202649664"/>
    <n v="36.787631383362886"/>
    <n v="41.448005410661146"/>
    <n v="46.671138423323072"/>
    <n v="52.459130155728218"/>
    <n v="58.842523789065311"/>
    <n v="65.910399995271931"/>
  </r>
  <r>
    <x v="16"/>
    <x v="0"/>
    <x v="1"/>
    <x v="1"/>
    <x v="1"/>
    <n v="38.810955844779549"/>
    <n v="42.358254821988155"/>
    <n v="46.274150194129767"/>
    <n v="50.617613557200109"/>
    <n v="55.445299511940377"/>
    <n v="60.821877431128165"/>
    <n v="66.812507646723532"/>
    <n v="73.439792634172107"/>
    <n v="80.723229135319514"/>
    <n v="88.691910675211901"/>
    <n v="97.373741714810777"/>
    <n v="106.85325114569574"/>
    <n v="117.15196157477011"/>
  </r>
  <r>
    <x v="16"/>
    <x v="0"/>
    <x v="2"/>
    <x v="2"/>
    <x v="2"/>
    <n v="107.31527832605187"/>
    <n v="116.0506800800037"/>
    <n v="125.61871540089828"/>
    <n v="136.15356678073101"/>
    <n v="147.77776109587407"/>
    <n v="160.63011884803979"/>
    <n v="174.84502680581403"/>
    <n v="190.43985344942618"/>
    <n v="207.4224442450367"/>
    <n v="225.82415244452744"/>
    <n v="245.67127680134689"/>
    <n v="267.13110605301523"/>
    <n v="290.20637619933291"/>
  </r>
  <r>
    <x v="16"/>
    <x v="1"/>
    <x v="3"/>
    <x v="3"/>
    <x v="3"/>
    <n v="6.3445070457576742"/>
    <n v="7.1148609231578774"/>
    <n v="7.992981355470465"/>
    <n v="8.9768156147806941"/>
    <n v="10.069778260343812"/>
    <n v="11.268960669304258"/>
    <n v="12.614706758568749"/>
    <n v="14.146392072123236"/>
    <n v="15.91121018178489"/>
    <n v="17.938626193072597"/>
    <n v="20.230356319085349"/>
    <n v="22.787890183511923"/>
    <n v="25.639002747008028"/>
  </r>
  <r>
    <x v="16"/>
    <x v="1"/>
    <x v="3"/>
    <x v="3"/>
    <x v="4"/>
    <n v="9.9152710900113767"/>
    <n v="10.879695757554593"/>
    <n v="11.957159315106255"/>
    <n v="13.146316598680526"/>
    <n v="14.431802022889061"/>
    <n v="15.835300474497929"/>
    <n v="17.37684077932996"/>
    <n v="19.093479462138948"/>
    <n v="21.008745006180863"/>
    <n v="23.141037489812749"/>
    <n v="25.480627156168556"/>
    <n v="28.016453090104079"/>
    <n v="30.782244318159627"/>
  </r>
  <r>
    <x v="16"/>
    <x v="1"/>
    <x v="3"/>
    <x v="3"/>
    <x v="5"/>
    <n v="16.767820559678842"/>
    <n v="17.86010851657857"/>
    <n v="18.955248599343005"/>
    <n v="20.217082763398963"/>
    <n v="21.902927828950592"/>
    <n v="24.009154482960145"/>
    <n v="26.499201352580243"/>
    <n v="29.097663332865928"/>
    <n v="31.634296323375978"/>
    <n v="33.988396754244043"/>
    <n v="36.288716512944482"/>
    <n v="38.85363183785806"/>
    <n v="41.450499056162265"/>
  </r>
  <r>
    <x v="16"/>
    <x v="1"/>
    <x v="3"/>
    <x v="4"/>
    <x v="6"/>
    <n v="29.638146123135208"/>
    <n v="32.283842539897712"/>
    <n v="35.222781042339044"/>
    <n v="38.443956772600039"/>
    <n v="41.895568052700057"/>
    <n v="45.634764062697108"/>
    <n v="49.712154738043296"/>
    <n v="54.225465715776288"/>
    <n v="59.231014534513868"/>
    <n v="64.768846176008992"/>
    <n v="70.798911893518934"/>
    <n v="77.27841141470175"/>
    <n v="84.289128148577163"/>
  </r>
  <r>
    <x v="16"/>
    <x v="1"/>
    <x v="3"/>
    <x v="5"/>
    <x v="7"/>
    <n v="18.253239505526878"/>
    <n v="19.760555303456087"/>
    <n v="21.427273935315593"/>
    <n v="23.243511385554061"/>
    <n v="25.174915332115731"/>
    <n v="27.253401343544635"/>
    <n v="29.506160357030126"/>
    <n v="31.987636551537165"/>
    <n v="34.726460214839364"/>
    <n v="37.740955321471475"/>
    <n v="41.002254009066405"/>
    <n v="44.480522517679645"/>
    <n v="48.218293833468721"/>
  </r>
  <r>
    <x v="16"/>
    <x v="1"/>
    <x v="3"/>
    <x v="6"/>
    <x v="8"/>
    <n v="12.192403178668723"/>
    <n v="13.105741241026742"/>
    <n v="14.110665520751665"/>
    <n v="15.198531700780217"/>
    <n v="16.344907715627375"/>
    <n v="17.569046844233277"/>
    <n v="18.8865878142675"/>
    <n v="20.330140868096283"/>
    <n v="21.91495165297955"/>
    <n v="23.64928552596367"/>
    <n v="25.511552192438153"/>
    <n v="27.480115067905103"/>
    <n v="29.57860862709423"/>
  </r>
  <r>
    <x v="16"/>
    <x v="1"/>
    <x v="3"/>
    <x v="7"/>
    <x v="9"/>
    <n v="19.915193800132393"/>
    <n v="21.812827980184434"/>
    <n v="23.927634369838415"/>
    <n v="26.287355740623891"/>
    <n v="28.932365381685241"/>
    <n v="31.920666442909393"/>
    <n v="35.292097975863129"/>
    <n v="39.090201213208424"/>
    <n v="43.310082906893079"/>
    <n v="47.956637639364708"/>
    <n v="53.005788206509422"/>
    <n v="58.462862206108326"/>
    <n v="64.390081451426113"/>
  </r>
  <r>
    <x v="16"/>
    <x v="1"/>
    <x v="3"/>
    <x v="8"/>
    <x v="10"/>
    <n v="22.553335510139071"/>
    <n v="23.999040612274502"/>
    <n v="25.562559590154695"/>
    <n v="27.26415424909581"/>
    <n v="29.120237884163714"/>
    <n v="31.14913332219302"/>
    <n v="33.366853415004783"/>
    <n v="35.765745539415086"/>
    <n v="38.336508637495548"/>
    <n v="41.074435992416106"/>
    <n v="43.973868294742573"/>
    <n v="47.054413237284486"/>
    <n v="50.305120439785782"/>
  </r>
  <r>
    <x v="16"/>
    <x v="1"/>
    <x v="4"/>
    <x v="9"/>
    <x v="11"/>
    <n v="4.2013681668010694"/>
    <n v="4.7022715250235114"/>
    <n v="5.2707316376581979"/>
    <n v="5.9166977492291082"/>
    <n v="6.6536650542407436"/>
    <n v="7.5001700500825992"/>
    <n v="8.4718710814489953"/>
    <n v="9.5864067198591609"/>
    <n v="10.85076301508826"/>
    <n v="12.274642094434357"/>
    <n v="13.86081880807836"/>
    <n v="15.619625499356417"/>
    <n v="17.577115483465029"/>
  </r>
  <r>
    <x v="16"/>
    <x v="1"/>
    <x v="4"/>
    <x v="10"/>
    <x v="12"/>
    <n v="3.282892822145778"/>
    <n v="3.7264407631295384"/>
    <n v="4.2305991277325727"/>
    <n v="4.814536174842325"/>
    <n v="5.4886264260662943"/>
    <n v="6.2639664959180257"/>
    <n v="7.1500953245972658"/>
    <n v="8.155621184762273"/>
    <n v="9.2946065116597669"/>
    <n v="10.604899839155403"/>
    <n v="12.114873598263012"/>
    <n v="13.841220874706497"/>
    <n v="15.802216698364715"/>
  </r>
  <r>
    <x v="16"/>
    <x v="1"/>
    <x v="4"/>
    <x v="11"/>
    <x v="13"/>
    <n v="2.9608067693906821"/>
    <n v="3.2566590251120182"/>
    <n v="3.5885869999562479"/>
    <n v="3.9531498248879635"/>
    <n v="4.3494775451846106"/>
    <n v="4.773940963952815"/>
    <n v="5.24141887697626"/>
    <n v="5.7651563981022811"/>
    <n v="6.3604444538736118"/>
    <n v="7.0341608684883523"/>
    <n v="7.7815839672636686"/>
    <n v="8.5980499478287236"/>
    <n v="9.488958363536053"/>
  </r>
  <r>
    <x v="16"/>
    <x v="1"/>
    <x v="4"/>
    <x v="12"/>
    <x v="14"/>
    <n v="3.474527622598619"/>
    <n v="3.8541113274840018"/>
    <n v="4.2819767367791259"/>
    <n v="4.7591279522109344"/>
    <n v="5.2815084477241694"/>
    <n v="5.8584148552612811"/>
    <n v="6.498911374579535"/>
    <n v="7.2187948648911764"/>
    <n v="8.0293998600223695"/>
    <n v="8.9405476289116059"/>
    <n v="9.9515653665002066"/>
    <n v="11.061172237613338"/>
    <n v="12.285657549666842"/>
  </r>
  <r>
    <x v="16"/>
    <x v="1"/>
    <x v="4"/>
    <x v="13"/>
    <x v="15"/>
    <n v="2.6565544758171717"/>
    <n v="2.9589754756643565"/>
    <n v="3.2989238289587632"/>
    <n v="3.6826013659312884"/>
    <n v="4.1164698195497209"/>
    <n v="4.6080215612897746"/>
    <n v="5.1652917309190336"/>
    <n v="5.7935586634061274"/>
    <n v="6.4981466638952519"/>
    <n v="7.2854376116412656"/>
    <n v="8.162077256590365"/>
    <n v="9.1398283554947852"/>
    <n v="10.225840637199182"/>
  </r>
  <r>
    <x v="16"/>
    <x v="1"/>
    <x v="5"/>
    <x v="14"/>
    <x v="16"/>
    <n v="2.9655407191498262"/>
    <n v="3.2594876919691456"/>
    <n v="3.5831685007213596"/>
    <n v="3.9487915454954257"/>
    <n v="4.3595585087322366"/>
    <n v="4.8185112106624706"/>
    <n v="5.3267508549968428"/>
    <n v="5.8841586358599507"/>
    <n v="6.4941603941852728"/>
    <n v="7.1759531415315614"/>
    <n v="7.9394496981195379"/>
    <n v="8.7850817959414265"/>
    <n v="9.7135766537215709"/>
  </r>
  <r>
    <x v="16"/>
    <x v="1"/>
    <x v="5"/>
    <x v="15"/>
    <x v="17"/>
    <n v="2.9357290946079644"/>
    <n v="3.1938202181440269"/>
    <n v="3.4802469917838676"/>
    <n v="3.7938127200986296"/>
    <n v="4.1293001367921534"/>
    <n v="4.4922557379527435"/>
    <n v="4.887554286193696"/>
    <n v="5.3246780526331534"/>
    <n v="5.8089955371445816"/>
    <n v="6.3442519744106951"/>
    <n v="6.9263278416957794"/>
    <n v="7.5508538585460077"/>
    <n v="8.2256544957970519"/>
  </r>
  <r>
    <x v="16"/>
    <x v="1"/>
    <x v="5"/>
    <x v="16"/>
    <x v="18"/>
    <n v="1.7534403807196237"/>
    <n v="1.9678065759434908"/>
    <n v="2.2009472860072368"/>
    <n v="2.4578547748561497"/>
    <n v="2.7477499051516556"/>
    <n v="3.0812152284635368"/>
    <n v="3.4685344450240141"/>
    <n v="3.9121201566943875"/>
    <n v="4.40965823662125"/>
    <n v="4.9660435106544547"/>
    <n v="5.5921655642758292"/>
    <n v="6.3012709053382405"/>
    <n v="7.0980695310268986"/>
  </r>
  <r>
    <x v="16"/>
    <x v="1"/>
    <x v="5"/>
    <x v="17"/>
    <x v="19"/>
    <n v="1.373719601686316"/>
    <n v="1.4798457936012883"/>
    <n v="1.5885810925577262"/>
    <n v="1.7025234549778556"/>
    <n v="1.8267164173913242"/>
    <n v="1.9662034158942667"/>
    <n v="2.1248827078493226"/>
    <n v="2.301011075316544"/>
    <n v="2.4901050119263486"/>
    <n v="2.6922373923032623"/>
    <n v="2.9105257824826731"/>
    <n v="3.1486165489114719"/>
    <n v="3.4050728257391651"/>
  </r>
  <r>
    <x v="16"/>
    <x v="1"/>
    <x v="5"/>
    <x v="18"/>
    <x v="20"/>
    <n v="1.5965707509068794"/>
    <n v="1.7466026261592551"/>
    <n v="1.9129164493991893"/>
    <n v="2.093632208576544"/>
    <n v="2.28723316127149"/>
    <n v="2.4975930347707562"/>
    <n v="2.7285487819144412"/>
    <n v="2.9890469602747856"/>
    <n v="3.2841296485375375"/>
    <n v="3.6108063891771121"/>
    <n v="3.9726862041425584"/>
    <n v="4.3668614088859892"/>
    <n v="4.7935969091765278"/>
  </r>
  <r>
    <x v="16"/>
    <x v="2"/>
    <x v="6"/>
    <x v="19"/>
    <x v="21"/>
    <n v="55.465788890822239"/>
    <n v="60.912013816357444"/>
    <n v="66.974266978975137"/>
    <n v="73.746885815889399"/>
    <n v="81.335046804705911"/>
    <n v="89.870601348548249"/>
    <n v="99.473435849373203"/>
    <n v="110.22742401753499"/>
    <n v="122.17123454598067"/>
    <n v="135.36304909853499"/>
    <n v="149.83287187053901"/>
    <n v="165.69577493476106"/>
    <n v="183.06236157004204"/>
  </r>
  <r>
    <x v="16"/>
    <x v="2"/>
    <x v="7"/>
    <x v="20"/>
    <x v="22"/>
    <n v="107.31527832605187"/>
    <n v="116.0506800800037"/>
    <n v="125.61871540089828"/>
    <n v="136.15356678073101"/>
    <n v="147.77776109587407"/>
    <n v="160.63011884803979"/>
    <n v="174.84502680581403"/>
    <n v="190.43985344942618"/>
    <n v="207.4224442450367"/>
    <n v="225.82415244452744"/>
    <n v="245.67127680134689"/>
    <n v="267.13110605301523"/>
    <n v="290.20637619933291"/>
  </r>
  <r>
    <x v="16"/>
    <x v="3"/>
    <x v="8"/>
    <x v="21"/>
    <x v="23"/>
    <n v="11.025404749815022"/>
    <n v="11.827727955656028"/>
    <n v="12.709345018497391"/>
    <n v="13.661977788594781"/>
    <n v="14.663219705637118"/>
    <n v="15.730030636577391"/>
    <n v="16.875997314265195"/>
    <n v="18.12976063345485"/>
    <n v="19.504245592547846"/>
    <n v="21.006058538114104"/>
    <n v="22.615230640851333"/>
    <n v="24.311906063335652"/>
    <n v="26.116434472484279"/>
  </r>
  <r>
    <x v="16"/>
    <x v="3"/>
    <x v="9"/>
    <x v="22"/>
    <x v="24"/>
    <n v="28.771496045544719"/>
    <n v="30.885417370043069"/>
    <n v="33.16031650942061"/>
    <n v="35.693463809236853"/>
    <n v="38.490951727297443"/>
    <n v="41.555868272379911"/>
    <n v="44.873206062738255"/>
    <n v="48.41796522621992"/>
    <n v="52.19555281724616"/>
    <n v="56.336612560770114"/>
    <n v="60.88570560945066"/>
    <n v="65.809049169243693"/>
    <n v="71.076526871738466"/>
  </r>
  <r>
    <x v="16"/>
    <x v="3"/>
    <x v="10"/>
    <x v="23"/>
    <x v="25"/>
    <n v="50.617798849429533"/>
    <n v="55.309902756333344"/>
    <n v="60.703512240415392"/>
    <n v="66.885938313174591"/>
    <n v="74.003436951887295"/>
    <n v="82.073696804776233"/>
    <n v="91.149194741317132"/>
    <n v="101.21214495165685"/>
    <n v="112.3231046047737"/>
    <n v="124.40504862304255"/>
    <n v="137.37861761828253"/>
    <n v="151.49200818918973"/>
    <n v="166.81890137571042"/>
  </r>
  <r>
    <x v="16"/>
    <x v="3"/>
    <x v="11"/>
    <x v="24"/>
    <x v="26"/>
    <n v="37.03739744658413"/>
    <n v="40.576700535354611"/>
    <n v="44.300955148400121"/>
    <n v="48.28943659150427"/>
    <n v="52.695945817133399"/>
    <n v="57.684409892644055"/>
    <n v="63.395687049507771"/>
    <n v="69.810959195902726"/>
    <n v="76.825861668907137"/>
    <n v="84.468488281820285"/>
    <n v="92.863498047792049"/>
    <n v="102.15996825718447"/>
    <n v="112.35104749086206"/>
  </r>
  <r>
    <x v="16"/>
    <x v="3"/>
    <x v="12"/>
    <x v="25"/>
    <x v="27"/>
    <n v="11.724413717850437"/>
    <n v="12.76847643589765"/>
    <n v="13.92147386192288"/>
    <n v="15.168146211671891"/>
    <n v="16.496122168841758"/>
    <n v="17.932114776396311"/>
    <n v="19.502077048116792"/>
    <n v="21.267996240170277"/>
    <n v="23.262940956591301"/>
    <n v="25.462459318693082"/>
    <n v="27.889039676132622"/>
    <n v="30.518984862872806"/>
    <n v="33.351156228111009"/>
  </r>
  <r>
    <x v="16"/>
    <x v="3"/>
    <x v="13"/>
    <x v="26"/>
    <x v="28"/>
    <n v="23.604556407650257"/>
    <n v="25.594468843076434"/>
    <n v="27.797379601217035"/>
    <n v="30.201489882438032"/>
    <n v="32.763131529782939"/>
    <n v="35.52459981381412"/>
    <n v="38.522300439242052"/>
    <n v="41.828451219556563"/>
    <n v="45.481973150951234"/>
    <n v="49.50853422062228"/>
    <n v="53.872057079376724"/>
    <n v="58.534964445949917"/>
    <n v="63.554671330468729"/>
  </r>
  <r>
    <x v="16"/>
    <x v="4"/>
    <x v="14"/>
    <x v="27"/>
    <x v="29"/>
    <n v="61.797234886080048"/>
    <n v="67.771375902740118"/>
    <n v="74.335481106586471"/>
    <n v="81.738658482275056"/>
    <n v="90.041333504927934"/>
    <n v="99.300053892005522"/>
    <n v="109.5308286152754"/>
    <n v="120.72438816571535"/>
    <n v="132.94421709937328"/>
    <n v="146.57604006765797"/>
    <n v="161.81246421160105"/>
    <n v="178.65108511204957"/>
    <n v="197.09544391121918"/>
  </r>
  <r>
    <x v="16"/>
    <x v="4"/>
    <x v="15"/>
    <x v="28"/>
    <x v="30"/>
    <n v="100.98383233079406"/>
    <n v="109.19131799362103"/>
    <n v="118.25750127328696"/>
    <n v="128.16179411434535"/>
    <n v="139.07147439565205"/>
    <n v="151.20066630458251"/>
    <n v="164.78763403991181"/>
    <n v="179.94288930124583"/>
    <n v="196.64946169164412"/>
    <n v="214.61116147540446"/>
    <n v="233.69168446028485"/>
    <n v="254.17579587572672"/>
    <n v="276.17329385815583"/>
  </r>
  <r>
    <x v="16"/>
    <x v="5"/>
    <x v="16"/>
    <x v="29"/>
    <x v="31"/>
    <n v="5.6664127790982146"/>
    <n v="6.3030284752072818"/>
    <n v="7.0237733523899113"/>
    <n v="7.8245934133495316"/>
    <n v="8.706286700222039"/>
    <n v="9.6641144617943109"/>
    <n v="10.730539635458523"/>
    <n v="11.936104818576108"/>
    <n v="13.316901036427582"/>
    <n v="14.892942691128027"/>
    <n v="16.660471582363094"/>
    <n v="18.61556092922056"/>
    <n v="20.775778109120097"/>
  </r>
  <r>
    <x v="16"/>
    <x v="5"/>
    <x v="17"/>
    <x v="30"/>
    <x v="32"/>
    <n v="28.895235273109051"/>
    <n v="31.56195296216535"/>
    <n v="34.586110856965746"/>
    <n v="38.207607604433349"/>
    <n v="42.614982269507919"/>
    <n v="47.776967267635484"/>
    <n v="53.655536433550111"/>
    <n v="59.94486907180999"/>
    <n v="66.538859109138343"/>
    <n v="73.621938996725078"/>
    <n v="81.129952214162415"/>
    <n v="89.423378446324818"/>
    <n v="98.542775683638979"/>
  </r>
  <r>
    <x v="16"/>
    <x v="5"/>
    <x v="18"/>
    <x v="31"/>
    <x v="33"/>
    <n v="12.260918356320078"/>
    <n v="13.326738468322832"/>
    <n v="14.508766797877724"/>
    <n v="15.801688514516966"/>
    <n v="17.183460592543497"/>
    <n v="18.676910276507495"/>
    <n v="20.301988136008205"/>
    <n v="22.097709773076755"/>
    <n v="24.085875556923984"/>
    <n v="26.28147461556042"/>
    <n v="28.666859536006971"/>
    <n v="31.223410492949316"/>
    <n v="33.982994769822092"/>
  </r>
  <r>
    <x v="16"/>
    <x v="5"/>
    <x v="19"/>
    <x v="32"/>
    <x v="34"/>
    <n v="61.809330670723696"/>
    <n v="67.508896908325553"/>
    <n v="73.818418059740225"/>
    <n v="80.662276296059218"/>
    <n v="87.97931823382271"/>
    <n v="95.916114522401301"/>
    <n v="104.61686367919177"/>
    <n v="114.4207263810744"/>
    <n v="125.51519669739024"/>
    <n v="137.7795462027027"/>
    <n v="151.34560532740295"/>
    <n v="166.09606109043295"/>
    <n v="182.03498269272967"/>
  </r>
  <r>
    <x v="16"/>
    <x v="5"/>
    <x v="20"/>
    <x v="33"/>
    <x v="35"/>
    <n v="10.113557695257104"/>
    <n v="11.078836843343751"/>
    <n v="12.147852566279791"/>
    <n v="13.337228883914808"/>
    <n v="14.663219705637118"/>
    <n v="16.144432212092489"/>
    <n v="17.79987118371989"/>
    <n v="19.63747525773568"/>
    <n v="21.66446064557562"/>
    <n v="23.890716665553668"/>
    <n v="26.325949237604789"/>
    <n v="28.995307160996138"/>
    <n v="31.907203421121189"/>
  </r>
  <r>
    <x v="16"/>
    <x v="5"/>
    <x v="21"/>
    <x v="34"/>
    <x v="36"/>
    <n v="21.684567022549867"/>
    <n v="23.226549697896957"/>
    <n v="24.790451599069026"/>
    <n v="26.41623244432563"/>
    <n v="28.180875371771336"/>
    <n v="30.159580708485073"/>
    <n v="32.408232405776531"/>
    <n v="34.895355883748657"/>
    <n v="37.548578468673711"/>
    <n v="40.365821930548478"/>
    <n v="43.390663863511861"/>
    <n v="46.673532521259716"/>
    <n v="50.18830722222981"/>
  </r>
  <r>
    <x v="16"/>
    <x v="5"/>
    <x v="22"/>
    <x v="35"/>
    <x v="37"/>
    <n v="22.351045419816078"/>
    <n v="23.956690541099423"/>
    <n v="25.717609147551013"/>
    <n v="27.650825440020938"/>
    <n v="29.784665027075373"/>
    <n v="32.162600747671874"/>
    <n v="34.805431181482184"/>
    <n v="37.73503628093961"/>
    <n v="40.92380727688797"/>
    <n v="44.354760440844096"/>
    <n v="47.984646910833831"/>
    <n v="51.799630346592792"/>
    <n v="55.836695870713136"/>
  </r>
  <r>
    <x v="17"/>
    <x v="0"/>
    <x v="0"/>
    <x v="0"/>
    <x v="0"/>
    <n v="16.19167620945742"/>
    <n v="18.253620518849775"/>
    <n v="20.60096210068146"/>
    <n v="23.234711570088958"/>
    <n v="26.158705806387957"/>
    <n v="29.43759350787186"/>
    <n v="33.142195283877491"/>
    <n v="37.41243275739717"/>
    <n v="42.354463420388434"/>
    <n v="47.981082142008418"/>
    <n v="54.391160156937538"/>
    <n v="61.603207442178274"/>
    <n v="69.679138142034901"/>
  </r>
  <r>
    <x v="17"/>
    <x v="0"/>
    <x v="1"/>
    <x v="1"/>
    <x v="1"/>
    <n v="50.98122570179742"/>
    <n v="56.016559540021184"/>
    <n v="61.559494644564403"/>
    <n v="67.819267765270453"/>
    <n v="74.850158198476436"/>
    <n v="82.703628966091642"/>
    <n v="91.397766501378612"/>
    <n v="100.92969779876003"/>
    <n v="111.35735067030674"/>
    <n v="123.00900847366299"/>
    <n v="136.05338340634393"/>
    <n v="150.49649646545927"/>
    <n v="166.34941760226931"/>
  </r>
  <r>
    <x v="17"/>
    <x v="0"/>
    <x v="2"/>
    <x v="2"/>
    <x v="2"/>
    <n v="112.99180549923659"/>
    <n v="122.57704343430942"/>
    <n v="133.17970431300213"/>
    <n v="144.9214396148511"/>
    <n v="157.98822318709557"/>
    <n v="172.65446999632198"/>
    <n v="189.08506349780643"/>
    <n v="207.45743797758257"/>
    <n v="227.6841093461955"/>
    <n v="249.73104995656922"/>
    <n v="273.41336164301697"/>
    <n v="298.70353242364467"/>
    <n v="325.86460443856885"/>
  </r>
  <r>
    <x v="17"/>
    <x v="1"/>
    <x v="3"/>
    <x v="3"/>
    <x v="3"/>
    <n v="6.391715159144427"/>
    <n v="7.2115090971092242"/>
    <n v="8.1454632366124571"/>
    <n v="9.1942635909466421"/>
    <n v="10.359717729542597"/>
    <n v="11.667723617763654"/>
    <n v="13.146710667004468"/>
    <n v="14.852612523125618"/>
    <n v="16.828141206888048"/>
    <n v="19.079053764674157"/>
    <n v="21.645355053496175"/>
    <n v="24.535201183080574"/>
    <n v="27.774064500076665"/>
  </r>
  <r>
    <x v="17"/>
    <x v="1"/>
    <x v="3"/>
    <x v="3"/>
    <x v="4"/>
    <n v="13.576598315373536"/>
    <n v="14.943507674443458"/>
    <n v="16.450778792698109"/>
    <n v="18.155070387747337"/>
    <n v="20.071953100988775"/>
    <n v="22.216349383242985"/>
    <n v="24.594318653690056"/>
    <n v="27.206322031416565"/>
    <n v="30.069213146586431"/>
    <n v="33.272965326332752"/>
    <n v="36.865013236876592"/>
    <n v="40.849036627814058"/>
    <n v="45.230110754870523"/>
  </r>
  <r>
    <x v="17"/>
    <x v="1"/>
    <x v="3"/>
    <x v="3"/>
    <x v="5"/>
    <n v="17.386833847463798"/>
    <n v="18.460042303393436"/>
    <n v="19.795353247118378"/>
    <n v="21.481718570768436"/>
    <n v="23.525192344169653"/>
    <n v="25.896262790187251"/>
    <n v="28.460933340325411"/>
    <n v="31.269342122378255"/>
    <n v="34.282535210401036"/>
    <n v="37.560456167376302"/>
    <n v="40.87807269631007"/>
    <n v="43.932530879774816"/>
    <n v="46.854086984942072"/>
  </r>
  <r>
    <x v="17"/>
    <x v="1"/>
    <x v="3"/>
    <x v="4"/>
    <x v="6"/>
    <n v="32.716229427318602"/>
    <n v="35.73027973461317"/>
    <n v="39.059437382452728"/>
    <n v="42.75412245665931"/>
    <n v="46.862932956513234"/>
    <n v="51.441371071547003"/>
    <n v="56.545502560200397"/>
    <n v="62.195524967620564"/>
    <n v="68.409060601404832"/>
    <n v="75.21191310221414"/>
    <n v="82.62894822274599"/>
    <n v="90.733149967661049"/>
    <n v="99.544197311290489"/>
  </r>
  <r>
    <x v="17"/>
    <x v="1"/>
    <x v="3"/>
    <x v="5"/>
    <x v="7"/>
    <n v="20.48499211792068"/>
    <n v="22.325886054157632"/>
    <n v="24.371679425224315"/>
    <n v="26.615101918029978"/>
    <n v="29.020623619859116"/>
    <n v="31.628106142587686"/>
    <n v="34.472967112838838"/>
    <n v="37.623375065452869"/>
    <n v="41.118918660162521"/>
    <n v="44.987977392186359"/>
    <n v="49.20336112731809"/>
    <n v="53.73590878941193"/>
    <n v="58.643026147744472"/>
  </r>
  <r>
    <x v="17"/>
    <x v="1"/>
    <x v="3"/>
    <x v="6"/>
    <x v="8"/>
    <n v="13.432090998743195"/>
    <n v="14.509156052993514"/>
    <n v="15.61778302038975"/>
    <n v="16.78376300576846"/>
    <n v="18.057276919023451"/>
    <n v="19.48905189680093"/>
    <n v="21.11901342814938"/>
    <n v="22.931443867370543"/>
    <n v="24.883138155636068"/>
    <n v="26.975948690953651"/>
    <n v="29.242251912987285"/>
    <n v="31.720084881097797"/>
    <n v="34.396682569703707"/>
  </r>
  <r>
    <x v="17"/>
    <x v="1"/>
    <x v="3"/>
    <x v="7"/>
    <x v="9"/>
    <n v="22.640047482006914"/>
    <n v="25.093577278535129"/>
    <n v="27.718216360512212"/>
    <n v="30.568826379593894"/>
    <n v="33.749910431984304"/>
    <n v="37.3772165325977"/>
    <n v="41.556736931812843"/>
    <n v="46.294417649854516"/>
    <n v="51.539354586401906"/>
    <n v="57.326752270026631"/>
    <n v="63.758657245207388"/>
    <n v="70.958282154983394"/>
    <n v="78.945848003605263"/>
  </r>
  <r>
    <x v="17"/>
    <x v="1"/>
    <x v="3"/>
    <x v="8"/>
    <x v="10"/>
    <n v="25.112198846101581"/>
    <n v="26.904936498890045"/>
    <n v="28.853842230193788"/>
    <n v="30.984796604246046"/>
    <n v="33.319975267245653"/>
    <n v="35.88429867753829"/>
    <n v="38.700654647609255"/>
    <n v="41.765048808078532"/>
    <n v="45.071391657628332"/>
    <n v="48.618770771469102"/>
    <n v="52.405065007185634"/>
    <n v="56.458151133372532"/>
    <n v="60.769945287699166"/>
  </r>
  <r>
    <x v="17"/>
    <x v="1"/>
    <x v="4"/>
    <x v="9"/>
    <x v="11"/>
    <n v="3.9401606941384659"/>
    <n v="4.4519650502820776"/>
    <n v="5.0349138307120009"/>
    <n v="5.7013278290061873"/>
    <n v="6.464567296311321"/>
    <n v="7.3402945180258143"/>
    <n v="8.3458379634164519"/>
    <n v="9.4949525413726299"/>
    <n v="10.802127172351341"/>
    <n v="12.284297321675913"/>
    <n v="13.95965902993793"/>
    <n v="15.856032166963637"/>
    <n v="17.994641114713051"/>
  </r>
  <r>
    <x v="17"/>
    <x v="1"/>
    <x v="4"/>
    <x v="10"/>
    <x v="12"/>
    <n v="2.9041998943704792"/>
    <n v="3.3063132260181356"/>
    <n v="3.7696133889749914"/>
    <n v="4.3041165997308832"/>
    <n v="4.9230166333447754"/>
    <n v="5.6440379443579918"/>
    <n v="6.4838289158052689"/>
    <n v="7.4615422109948204"/>
    <n v="8.5891745979115282"/>
    <n v="9.8814953436234827"/>
    <n v="11.348494705435829"/>
    <n v="13.006803867446614"/>
    <n v="14.887039425802307"/>
  </r>
  <r>
    <x v="17"/>
    <x v="1"/>
    <x v="4"/>
    <x v="11"/>
    <x v="13"/>
    <n v="2.7667485199647395"/>
    <n v="3.0621295867188767"/>
    <n v="3.3928735178671916"/>
    <n v="3.7567968038817434"/>
    <n v="4.152241301861503"/>
    <n v="4.5872345950816804"/>
    <n v="5.0700918738392469"/>
    <n v="5.6189855080310229"/>
    <n v="6.245564664090737"/>
    <n v="6.9466985135577399"/>
    <n v="7.7317524317669983"/>
    <n v="8.5977943905933554"/>
    <n v="9.547945955056452"/>
  </r>
  <r>
    <x v="17"/>
    <x v="1"/>
    <x v="4"/>
    <x v="12"/>
    <x v="14"/>
    <n v="3.3143861046855192"/>
    <n v="3.7006283453397084"/>
    <n v="4.1384231422160767"/>
    <n v="4.6297366093171366"/>
    <n v="5.1716538370490568"/>
    <n v="5.774249131796827"/>
    <n v="6.4476237432809445"/>
    <n v="7.2088132048669777"/>
    <n v="8.0708316178466166"/>
    <n v="9.0454971469963663"/>
    <n v="10.134301930245075"/>
    <n v="11.338137846152787"/>
    <n v="12.675910334651958"/>
  </r>
  <r>
    <x v="17"/>
    <x v="1"/>
    <x v="4"/>
    <x v="13"/>
    <x v="15"/>
    <n v="2.6044214513139452"/>
    <n v="2.9213307991841369"/>
    <n v="3.2773376464344279"/>
    <n v="3.685692106686385"/>
    <n v="4.152241301861503"/>
    <n v="4.6830449662235605"/>
    <n v="5.2826475480022435"/>
    <n v="5.954618946404274"/>
    <n v="6.7062638966295962"/>
    <n v="7.5616205399984375"/>
    <n v="8.5367440747244636"/>
    <n v="9.6385865904114585"/>
    <n v="10.874738847876845"/>
  </r>
  <r>
    <x v="17"/>
    <x v="1"/>
    <x v="5"/>
    <x v="14"/>
    <x v="16"/>
    <n v="3.7625452046097676"/>
    <n v="4.1726096729118014"/>
    <n v="4.632581158564264"/>
    <n v="5.1397835903984781"/>
    <n v="5.6922379823048939"/>
    <n v="6.3012273263817598"/>
    <n v="6.9785205722225712"/>
    <n v="7.7495488705936895"/>
    <n v="8.6309509772998201"/>
    <n v="9.6190733808664497"/>
    <n v="10.727536196545259"/>
    <n v="11.953006213573723"/>
    <n v="13.300539421853591"/>
  </r>
  <r>
    <x v="17"/>
    <x v="1"/>
    <x v="5"/>
    <x v="15"/>
    <x v="17"/>
    <n v="3.613031570010607"/>
    <n v="3.9523170807075898"/>
    <n v="4.3284039487070318"/>
    <n v="4.7370314532524151"/>
    <n v="5.1747618020953601"/>
    <n v="5.6503537010163019"/>
    <n v="6.1724805479752174"/>
    <n v="6.7613725142882553"/>
    <n v="7.4284227956069158"/>
    <n v="8.1668529376082208"/>
    <n v="8.9848126403613744"/>
    <n v="9.875711140515806"/>
    <n v="10.840134047086691"/>
  </r>
  <r>
    <x v="17"/>
    <x v="1"/>
    <x v="5"/>
    <x v="16"/>
    <x v="18"/>
    <n v="2.0761867878709772"/>
    <n v="2.3401263277307076"/>
    <n v="2.6400712884509177"/>
    <n v="2.9822017017645641"/>
    <n v="3.3731780635880857"/>
    <n v="3.8207937227518789"/>
    <n v="4.3336294689852428"/>
    <n v="4.9183224344106629"/>
    <n v="5.5818201591749732"/>
    <n v="6.3322609100246794"/>
    <n v="7.1783469879207216"/>
    <n v="8.1336374525647699"/>
    <n v="9.2081679173621449"/>
  </r>
  <r>
    <x v="17"/>
    <x v="1"/>
    <x v="5"/>
    <x v="17"/>
    <x v="19"/>
    <n v="1.4918245177079055"/>
    <n v="1.6190157376455738"/>
    <n v="1.7590749024496364"/>
    <n v="1.9099311162113333"/>
    <n v="2.0699047208381436"/>
    <n v="2.2422425758087976"/>
    <n v="2.430050201044716"/>
    <n v="2.6408785247189117"/>
    <n v="2.8785809232794866"/>
    <n v="3.1398375734293267"/>
    <n v="3.4271604508811371"/>
    <n v="3.7373487495766731"/>
    <n v="4.0700058065964031"/>
  </r>
  <r>
    <x v="17"/>
    <x v="1"/>
    <x v="5"/>
    <x v="18"/>
    <x v="20"/>
    <n v="1.9504964717463034"/>
    <n v="2.1418929725061431"/>
    <n v="2.3543145386696884"/>
    <n v="2.5911382262012617"/>
    <n v="2.8557018833785501"/>
    <n v="3.1518338765753744"/>
    <n v="3.483477106859993"/>
    <n v="3.8524467427610647"/>
    <n v="4.2604334075905257"/>
    <n v="4.7096694192269188"/>
    <n v="5.2023722563523886"/>
    <n v="5.7438322962872332"/>
    <n v="6.3360757519412685"/>
  </r>
  <r>
    <x v="17"/>
    <x v="2"/>
    <x v="6"/>
    <x v="19"/>
    <x v="21"/>
    <n v="67.17290191125484"/>
    <n v="74.270180058870963"/>
    <n v="82.160456745245867"/>
    <n v="91.053979335359415"/>
    <n v="101.00886400486439"/>
    <n v="112.1412224739635"/>
    <n v="124.53996178525611"/>
    <n v="138.3421305561572"/>
    <n v="153.71181409069519"/>
    <n v="170.99009061567142"/>
    <n v="190.44454356328146"/>
    <n v="212.09970390763755"/>
    <n v="236.02855574430421"/>
  </r>
  <r>
    <x v="17"/>
    <x v="2"/>
    <x v="7"/>
    <x v="20"/>
    <x v="22"/>
    <n v="112.99180549923659"/>
    <n v="122.57704343430942"/>
    <n v="133.17970431300213"/>
    <n v="144.9214396148511"/>
    <n v="157.98822318709557"/>
    <n v="172.65446999632198"/>
    <n v="189.08506349780643"/>
    <n v="207.45743797758257"/>
    <n v="227.6841093461955"/>
    <n v="249.73104995656922"/>
    <n v="273.41336164301697"/>
    <n v="298.70353242364467"/>
    <n v="325.86460443856885"/>
  </r>
  <r>
    <x v="17"/>
    <x v="3"/>
    <x v="8"/>
    <x v="21"/>
    <x v="23"/>
    <n v="10.799591979854574"/>
    <n v="11.605684892451984"/>
    <n v="12.484103765061008"/>
    <n v="13.446694808920244"/>
    <n v="14.503836882749757"/>
    <n v="15.667225625044038"/>
    <n v="16.947806532497502"/>
    <n v="18.344880485862866"/>
    <n v="19.85681495934039"/>
    <n v="21.484234224518538"/>
    <n v="23.227231838253434"/>
    <n v="25.099194203091812"/>
    <n v="27.097678530814783"/>
  </r>
  <r>
    <x v="17"/>
    <x v="3"/>
    <x v="9"/>
    <x v="22"/>
    <x v="24"/>
    <n v="33.601312386008296"/>
    <n v="36.383409188950935"/>
    <n v="39.468622819581427"/>
    <n v="42.802297923818145"/>
    <n v="46.360478607360832"/>
    <n v="50.090825041066537"/>
    <n v="54.138026761091673"/>
    <n v="58.620507368973335"/>
    <n v="63.669526807764989"/>
    <n v="69.323206722192381"/>
    <n v="75.502025692000998"/>
    <n v="82.130897132791063"/>
    <n v="89.234555420931656"/>
  </r>
  <r>
    <x v="17"/>
    <x v="3"/>
    <x v="10"/>
    <x v="23"/>
    <x v="25"/>
    <n v="62.3213084712701"/>
    <n v="68.289129209752076"/>
    <n v="75.120071721275991"/>
    <n v="83.139129139234257"/>
    <n v="92.461960127529721"/>
    <n v="103.25104850992324"/>
    <n v="115.35886251111637"/>
    <n v="128.80810625125741"/>
    <n v="143.55032233983752"/>
    <n v="159.87522135501985"/>
    <n v="177.72005979965644"/>
    <n v="197.02016417177862"/>
    <n v="218.07710438136826"/>
  </r>
  <r>
    <x v="17"/>
    <x v="3"/>
    <x v="11"/>
    <x v="24"/>
    <x v="26"/>
    <n v="40.204833088332201"/>
    <n v="44.300014203535028"/>
    <n v="48.644993222144876"/>
    <n v="53.330925409380761"/>
    <n v="58.533341705382952"/>
    <n v="64.443027234900228"/>
    <n v="71.229309906328993"/>
    <n v="78.885878018942151"/>
    <n v="87.309464801952558"/>
    <n v="96.544845729357291"/>
    <n v="106.74808817688132"/>
    <n v="118.10679559816708"/>
    <n v="130.63246652538379"/>
  </r>
  <r>
    <x v="17"/>
    <x v="3"/>
    <x v="12"/>
    <x v="25"/>
    <x v="27"/>
    <n v="10.433163708112188"/>
    <n v="11.427944908448055"/>
    <n v="12.531861428950782"/>
    <n v="13.733015171599163"/>
    <n v="15.021831057133678"/>
    <n v="16.424088808888623"/>
    <n v="17.965456549172011"/>
    <n v="19.705374925067463"/>
    <n v="21.677843368844488"/>
    <n v="23.864010323868907"/>
    <n v="26.288545832249156"/>
    <n v="28.933120731787572"/>
    <n v="31.800334872422663"/>
  </r>
  <r>
    <x v="17"/>
    <x v="3"/>
    <x v="13"/>
    <x v="26"/>
    <x v="28"/>
    <n v="22.804497776914065"/>
    <n v="24.841041090042275"/>
    <n v="27.090508101233915"/>
    <n v="29.523356497257925"/>
    <n v="32.115638811803038"/>
    <n v="34.919477250462784"/>
    <n v="37.985563022855992"/>
    <n v="41.434821483636533"/>
    <n v="45.331951159150783"/>
    <n v="49.629622217283668"/>
    <n v="54.371953867257069"/>
    <n v="59.513064493666036"/>
    <n v="65.051020451951985"/>
  </r>
  <r>
    <x v="17"/>
    <x v="4"/>
    <x v="14"/>
    <x v="27"/>
    <x v="29"/>
    <n v="73.455412546444805"/>
    <n v="80.990361466704599"/>
    <n v="89.383081486001217"/>
    <n v="98.772132870811845"/>
    <n v="109.29677079500711"/>
    <n v="121.11721304131727"/>
    <n v="134.40059529913003"/>
    <n v="149.23457668059393"/>
    <n v="165.70331805850128"/>
    <n v="183.91331832041098"/>
    <n v="203.972124990259"/>
    <n v="226.10940741452836"/>
    <n v="250.42994611076989"/>
  </r>
  <r>
    <x v="17"/>
    <x v="4"/>
    <x v="15"/>
    <x v="28"/>
    <x v="30"/>
    <n v="106.70929486404661"/>
    <n v="115.85686202647577"/>
    <n v="125.95707957224677"/>
    <n v="137.20328607939865"/>
    <n v="149.70031639695287"/>
    <n v="163.67847942896822"/>
    <n v="179.22442998393251"/>
    <n v="196.56499185314584"/>
    <n v="215.69260537838943"/>
    <n v="236.80782225182966"/>
    <n v="259.88578021603939"/>
    <n v="284.69382891675389"/>
    <n v="311.4632140721032"/>
  </r>
  <r>
    <x v="17"/>
    <x v="5"/>
    <x v="16"/>
    <x v="29"/>
    <x v="31"/>
    <n v="19.92532180347288"/>
    <n v="22.122775013648283"/>
    <n v="24.599444440154098"/>
    <n v="27.394378855351214"/>
    <n v="30.561656288651275"/>
    <n v="34.176625076678967"/>
    <n v="38.298933927876092"/>
    <n v="42.995064413949017"/>
    <n v="48.281355711334854"/>
    <n v="54.185414870613513"/>
    <n v="60.7030778432134"/>
    <n v="67.863073824456052"/>
    <n v="75.761185469451576"/>
  </r>
  <r>
    <x v="17"/>
    <x v="5"/>
    <x v="17"/>
    <x v="30"/>
    <x v="32"/>
    <n v="22.572590895921508"/>
    <n v="24.448528901512105"/>
    <n v="26.621633305937479"/>
    <n v="29.313880551593371"/>
    <n v="32.633632986186967"/>
    <n v="36.592279028168349"/>
    <n v="41.032014649279176"/>
    <n v="45.892805303102421"/>
    <n v="51.127378753759501"/>
    <n v="56.861845449019711"/>
    <n v="63.227726703716712"/>
    <n v="70.19152816115934"/>
    <n v="77.718818520634898"/>
  </r>
  <r>
    <x v="17"/>
    <x v="5"/>
    <x v="18"/>
    <x v="31"/>
    <x v="33"/>
    <n v="29.168689177773675"/>
    <n v="31.619376095764906"/>
    <n v="34.328663114464419"/>
    <n v="37.32730818285426"/>
    <n v="40.662542689137716"/>
    <n v="44.40421737689546"/>
    <n v="48.593802299201634"/>
    <n v="53.275866599232884"/>
    <n v="58.426811373889635"/>
    <n v="64.036820905136693"/>
    <n v="70.057417149308293"/>
    <n v="76.48058885130439"/>
    <n v="83.372738424255786"/>
  </r>
  <r>
    <x v="17"/>
    <x v="5"/>
    <x v="19"/>
    <x v="32"/>
    <x v="34"/>
    <n v="57.414500963608312"/>
    <n v="63.064476104246765"/>
    <n v="69.381929251518173"/>
    <n v="76.361172267178034"/>
    <n v="83.915056250195036"/>
    <n v="92.171505747527348"/>
    <n v="101.24934018214238"/>
    <n v="111.36709042644186"/>
    <n v="122.66529219841283"/>
    <n v="135.25512270004651"/>
    <n v="149.08380879650258"/>
    <n v="164.09057418106573"/>
    <n v="180.47672705568073"/>
  </r>
  <r>
    <x v="17"/>
    <x v="5"/>
    <x v="20"/>
    <x v="33"/>
    <x v="35"/>
    <n v="17.724136493582897"/>
    <n v="19.566109255766602"/>
    <n v="21.638640411601884"/>
    <n v="23.92349060014779"/>
    <n v="26.417702893579914"/>
    <n v="29.101509252899504"/>
    <n v="32.067667246377873"/>
    <n v="35.400284868454094"/>
    <n v="39.197244199138702"/>
    <n v="43.505983303764381"/>
    <n v="48.302860574220048"/>
    <n v="53.5642275252291"/>
    <n v="59.328766150549455"/>
  </r>
  <r>
    <x v="17"/>
    <x v="5"/>
    <x v="21"/>
    <x v="34"/>
    <x v="36"/>
    <n v="13.305978380262989"/>
    <n v="14.317353941381548"/>
    <n v="15.35152414971277"/>
    <n v="16.433505029289954"/>
    <n v="17.611801929053279"/>
    <n v="18.934693064755862"/>
    <n v="20.439203635813129"/>
    <n v="22.107921483789184"/>
    <n v="23.89718441472418"/>
    <n v="25.80725587139947"/>
    <n v="27.867581927748606"/>
    <n v="30.112534050941989"/>
    <n v="32.527708276127441"/>
  </r>
  <r>
    <x v="17"/>
    <x v="5"/>
    <x v="22"/>
    <x v="35"/>
    <x v="37"/>
    <n v="20.053489695869175"/>
    <n v="21.708604180860153"/>
    <n v="23.418326384859167"/>
    <n v="25.221683463795852"/>
    <n v="27.194694155155791"/>
    <n v="29.414862923359983"/>
    <n v="31.944063342372257"/>
    <n v="34.760535438770312"/>
    <n v="37.800656785631034"/>
    <n v="41.068697472260311"/>
    <n v="44.615432211588775"/>
    <n v="48.500709737125653"/>
    <n v="52.707216286173285"/>
  </r>
  <r>
    <x v="18"/>
    <x v="0"/>
    <x v="0"/>
    <x v="0"/>
    <x v="0"/>
    <n v="7.1632279396392997"/>
    <n v="7.9134958758915515"/>
    <n v="8.71245534457384"/>
    <n v="9.5768184903073887"/>
    <n v="10.538623964454464"/>
    <n v="11.632992580638529"/>
    <n v="12.891537853647597"/>
    <n v="14.314411611170813"/>
    <n v="15.884170216469586"/>
    <n v="17.610119058845545"/>
    <n v="19.521958867604543"/>
    <n v="21.655465597164483"/>
    <n v="24.014496036514213"/>
  </r>
  <r>
    <x v="18"/>
    <x v="0"/>
    <x v="1"/>
    <x v="1"/>
    <x v="1"/>
    <n v="21.749144442988474"/>
    <n v="23.409120565628676"/>
    <n v="25.220316120725233"/>
    <n v="27.207375124999874"/>
    <n v="29.392125552239978"/>
    <n v="31.799198733006161"/>
    <n v="34.451855508070338"/>
    <n v="37.349828480561449"/>
    <n v="40.490946591222517"/>
    <n v="43.877625973692517"/>
    <n v="47.511212861709062"/>
    <n v="51.420251325813773"/>
    <n v="55.601033310128017"/>
  </r>
  <r>
    <x v="18"/>
    <x v="0"/>
    <x v="2"/>
    <x v="2"/>
    <x v="2"/>
    <n v="43.15117467909743"/>
    <n v="46.167648258831093"/>
    <n v="49.487323071523278"/>
    <n v="53.02920261286507"/>
    <n v="56.753874010410733"/>
    <n v="60.588815653550753"/>
    <n v="64.703086141685475"/>
    <n v="69.226141454202121"/>
    <n v="74.296133779818135"/>
    <n v="79.935565825716637"/>
    <n v="86.029702936051947"/>
    <n v="92.473739320733614"/>
    <n v="99.279753845172252"/>
  </r>
  <r>
    <x v="18"/>
    <x v="1"/>
    <x v="3"/>
    <x v="3"/>
    <x v="3"/>
    <n v="2.7497964982780481"/>
    <n v="3.0243532316169488"/>
    <n v="3.3313640004044269"/>
    <n v="3.6750925860100923"/>
    <n v="4.0616371121204669"/>
    <n v="4.4996692437096932"/>
    <n v="4.9954407047564873"/>
    <n v="5.5558269158298215"/>
    <n v="6.180928933303969"/>
    <n v="6.8722423519373477"/>
    <n v="7.6271320653062471"/>
    <n v="8.4471469042294913"/>
    <n v="9.3420781937672537"/>
  </r>
  <r>
    <x v="18"/>
    <x v="1"/>
    <x v="3"/>
    <x v="3"/>
    <x v="4"/>
    <n v="5.7635402194763676"/>
    <n v="6.2283361662709167"/>
    <n v="6.7070897019804887"/>
    <n v="7.2108955728016237"/>
    <n v="7.7613461647450475"/>
    <n v="8.3803055000688307"/>
    <n v="9.0850300796953434"/>
    <n v="9.8688688814011005"/>
    <n v="10.713330031949583"/>
    <n v="11.619289823900125"/>
    <n v="12.600773707205473"/>
    <n v="13.67427020117916"/>
    <n v="14.834395476977775"/>
  </r>
  <r>
    <x v="18"/>
    <x v="1"/>
    <x v="3"/>
    <x v="3"/>
    <x v="5"/>
    <n v="6.0413886946677557"/>
    <n v="6.5494772510427079"/>
    <n v="7.1133365631585672"/>
    <n v="7.6882417001330801"/>
    <n v="8.2841311395724375"/>
    <n v="8.7654886620057315"/>
    <n v="9.2490138253891878"/>
    <n v="9.7368924462758351"/>
    <n v="10.323383400446279"/>
    <n v="11.055236894703985"/>
    <n v="11.865990259899149"/>
    <n v="12.749214308413727"/>
    <n v="13.664191827598327"/>
  </r>
  <r>
    <x v="18"/>
    <x v="1"/>
    <x v="3"/>
    <x v="4"/>
    <x v="6"/>
    <n v="12.870169011662943"/>
    <n v="13.814335931608284"/>
    <n v="14.845035687252166"/>
    <n v="15.941503081554684"/>
    <n v="17.087073515945296"/>
    <n v="18.306422112694772"/>
    <n v="19.621937708965163"/>
    <n v="21.090853226304304"/>
    <n v="22.738278324389114"/>
    <n v="24.531438954786822"/>
    <n v="26.484408389068307"/>
    <n v="28.566371029554279"/>
    <n v="30.769149028063865"/>
  </r>
  <r>
    <x v="18"/>
    <x v="1"/>
    <x v="3"/>
    <x v="5"/>
    <x v="7"/>
    <n v="8.388777029682533"/>
    <n v="8.9218041639629693"/>
    <n v="9.4980467638639112"/>
    <n v="10.124963358914155"/>
    <n v="10.808567433342143"/>
    <n v="11.555568434860916"/>
    <n v="12.37180460569668"/>
    <n v="13.254327032080399"/>
    <n v="14.199581845430728"/>
    <n v="15.205724063126627"/>
    <n v="16.270559644810945"/>
    <n v="17.401247801221903"/>
    <n v="18.593631743860421"/>
  </r>
  <r>
    <x v="18"/>
    <x v="1"/>
    <x v="3"/>
    <x v="6"/>
    <x v="8"/>
    <n v="5.197128071451556"/>
    <n v="5.5105147500829208"/>
    <n v="5.8525398508704001"/>
    <n v="6.218235007756534"/>
    <n v="6.5964051247602775"/>
    <n v="6.9940613043969453"/>
    <n v="7.4163747694213713"/>
    <n v="7.8748718098156196"/>
    <n v="8.373692208346645"/>
    <n v="8.9140369194630242"/>
    <n v="9.4857360583033241"/>
    <n v="10.079098611378654"/>
    <n v="10.701519491001822"/>
  </r>
  <r>
    <x v="18"/>
    <x v="1"/>
    <x v="3"/>
    <x v="7"/>
    <x v="9"/>
    <n v="9.0615634752046521"/>
    <n v="9.7926078343269118"/>
    <n v="10.598950430080091"/>
    <n v="11.489353779006953"/>
    <n v="12.47753740466703"/>
    <n v="13.583986787326731"/>
    <n v="14.820246870989292"/>
    <n v="16.198657790047228"/>
    <n v="17.710672378564261"/>
    <n v="19.352014268699715"/>
    <n v="21.106763983689291"/>
    <n v="22.971377040960416"/>
    <n v="24.96469301571495"/>
  </r>
  <r>
    <x v="18"/>
    <x v="1"/>
    <x v="3"/>
    <x v="8"/>
    <x v="10"/>
    <n v="10.006593413624534"/>
    <n v="10.546130851872611"/>
    <n v="11.133402100040069"/>
    <n v="11.758020305454542"/>
    <n v="12.398062644127751"/>
    <n v="13.066342925136707"/>
    <n v="13.771924698418211"/>
    <n v="14.535446812263755"/>
    <n v="15.363408029121221"/>
    <n v="16.256745175576572"/>
    <n v="17.195619796976612"/>
    <n v="18.161521124171443"/>
    <n v="19.167158082488534"/>
  </r>
  <r>
    <x v="18"/>
    <x v="1"/>
    <x v="4"/>
    <x v="9"/>
    <x v="11"/>
    <n v="1.7628639515282265"/>
    <n v="1.9610510459462787"/>
    <n v="2.1849856486573564"/>
    <n v="2.4354030411266039"/>
    <n v="2.7104567359588665"/>
    <n v="3.015131486860029"/>
    <n v="3.3543491953429543"/>
    <n v="3.7365626940554226"/>
    <n v="4.1680112387423511"/>
    <n v="4.6542190815908526"/>
    <n v="5.1953097359092117"/>
    <n v="5.7910898214855386"/>
    <n v="6.450561851790277"/>
  </r>
  <r>
    <x v="18"/>
    <x v="1"/>
    <x v="4"/>
    <x v="10"/>
    <x v="12"/>
    <n v="1.2771902034123481"/>
    <n v="1.4310896064011362"/>
    <n v="1.6037960037928862"/>
    <n v="1.8017310281494416"/>
    <n v="2.0276699246104499"/>
    <n v="2.2844795793327446"/>
    <n v="2.5742750459086201"/>
    <n v="2.8986868944777964"/>
    <n v="3.2611561777253963"/>
    <n v="3.6732458619474957"/>
    <n v="4.1425915027273064"/>
    <n v="4.6723780736836122"/>
    <n v="5.2660854860704243"/>
  </r>
  <r>
    <x v="18"/>
    <x v="1"/>
    <x v="4"/>
    <x v="11"/>
    <x v="13"/>
    <n v="1.273984358345627"/>
    <n v="1.3811855848662618"/>
    <n v="1.4921904356408555"/>
    <n v="1.6095029699129801"/>
    <n v="1.7380027925232426"/>
    <n v="1.8826936353355503"/>
    <n v="2.0476085494398943"/>
    <n v="2.231443482183384"/>
    <n v="2.4301991079720313"/>
    <n v="2.6442171145046252"/>
    <n v="2.8768354000697784"/>
    <n v="3.1319967499035695"/>
    <n v="3.4086844266180014"/>
  </r>
  <r>
    <x v="18"/>
    <x v="1"/>
    <x v="4"/>
    <x v="12"/>
    <x v="14"/>
    <n v="1.4982657951209621"/>
    <n v="1.6334244856603588"/>
    <n v="1.7824870602898533"/>
    <n v="1.9476779338194714"/>
    <n v="2.1311224717844519"/>
    <n v="2.3352446160006481"/>
    <n v="2.5624763569210076"/>
    <n v="2.8136065890057802"/>
    <n v="3.0893014302263886"/>
    <n v="3.3905909756131187"/>
    <n v="3.718454966032311"/>
    <n v="4.0760307795157154"/>
    <n v="4.4640382663540397"/>
  </r>
  <r>
    <x v="18"/>
    <x v="1"/>
    <x v="4"/>
    <x v="13"/>
    <x v="15"/>
    <n v="1.1666973480771965"/>
    <n v="1.287632699548398"/>
    <n v="1.4233799566489329"/>
    <n v="1.5740319693965314"/>
    <n v="1.7380027925232426"/>
    <n v="1.9181293080585933"/>
    <n v="2.1171120074654657"/>
    <n v="2.3397865313869266"/>
    <n v="2.5894405337722817"/>
    <n v="2.8688023836457797"/>
    <n v="3.1771724781919004"/>
    <n v="3.5136646296071974"/>
    <n v="3.8829852153445406"/>
  </r>
  <r>
    <x v="18"/>
    <x v="1"/>
    <x v="5"/>
    <x v="14"/>
    <x v="16"/>
    <n v="1.4762004193198477"/>
    <n v="1.5951427449916025"/>
    <n v="1.7263272165003374"/>
    <n v="1.8711775053943438"/>
    <n v="2.0319240480456418"/>
    <n v="2.2118982476460816"/>
    <n v="2.4129744502762334"/>
    <n v="2.6371557605825231"/>
    <n v="2.8830440515443865"/>
    <n v="3.1499369269305246"/>
    <n v="3.4352370802296028"/>
    <n v="3.738362254092837"/>
    <n v="4.0623731762475925"/>
  </r>
  <r>
    <x v="18"/>
    <x v="1"/>
    <x v="5"/>
    <x v="15"/>
    <x v="17"/>
    <n v="1.3079695157980438"/>
    <n v="1.4027415423615948"/>
    <n v="1.5071859834715573"/>
    <n v="1.6189046872832336"/>
    <n v="1.73674589241739"/>
    <n v="1.8585335189614729"/>
    <n v="1.9894808962403574"/>
    <n v="2.1336334426635273"/>
    <n v="2.2953430144488514"/>
    <n v="2.4754295825530677"/>
    <n v="2.6704704117250952"/>
    <n v="2.8773180171060204"/>
    <n v="3.0964315730214964"/>
  </r>
  <r>
    <x v="18"/>
    <x v="1"/>
    <x v="5"/>
    <x v="16"/>
    <x v="18"/>
    <n v="0.82808054474221093"/>
    <n v="0.91818411688282275"/>
    <n v="1.0199282408768333"/>
    <n v="1.1326066709056162"/>
    <n v="1.2562233134876772"/>
    <n v="1.3899819787786465"/>
    <n v="1.5384461689003535"/>
    <n v="1.7058447344675645"/>
    <n v="1.8971441129581446"/>
    <n v="2.1149555219706433"/>
    <n v="2.3584788777115895"/>
    <n v="2.6268977235356785"/>
    <n v="2.9224363267488718"/>
  </r>
  <r>
    <x v="18"/>
    <x v="1"/>
    <x v="5"/>
    <x v="17"/>
    <x v="19"/>
    <n v="0.60958241797587787"/>
    <n v="0.64629702655197729"/>
    <n v="0.68589999652670897"/>
    <n v="0.72890139875827653"/>
    <n v="0.77570073455796473"/>
    <n v="0.8267422632959307"/>
    <n v="0.88240215002221545"/>
    <n v="0.94242488307390393"/>
    <n v="1.0065147736234745"/>
    <n v="1.0745005991518468"/>
    <n v="1.1461882798022553"/>
    <n v="1.2220447329634587"/>
    <n v="1.3017361111010286"/>
  </r>
  <r>
    <x v="18"/>
    <x v="1"/>
    <x v="5"/>
    <x v="18"/>
    <x v="20"/>
    <n v="0.7837560933564679"/>
    <n v="0.84595566635662423"/>
    <n v="0.91414889676690014"/>
    <n v="0.98715363179417781"/>
    <n v="1.0640142819157923"/>
    <n v="1.146327362725422"/>
    <n v="1.2355814195545847"/>
    <n v="1.3354916200194995"/>
    <n v="1.4478209949451217"/>
    <n v="1.5706843581525303"/>
    <n v="1.7051520277071444"/>
    <n v="1.8494264407091658"/>
    <n v="2.0031338990452743"/>
  </r>
  <r>
    <x v="18"/>
    <x v="2"/>
    <x v="6"/>
    <x v="19"/>
    <x v="21"/>
    <n v="28.912372382627773"/>
    <n v="31.322616441520228"/>
    <n v="33.932771465299069"/>
    <n v="36.78419361530726"/>
    <n v="39.930749516694441"/>
    <n v="43.432191313644694"/>
    <n v="47.343393361717936"/>
    <n v="51.66424009173226"/>
    <n v="56.375116807692102"/>
    <n v="61.487745032538058"/>
    <n v="67.033171729313608"/>
    <n v="73.075716922978259"/>
    <n v="79.615529346642234"/>
  </r>
  <r>
    <x v="18"/>
    <x v="2"/>
    <x v="7"/>
    <x v="20"/>
    <x v="22"/>
    <n v="43.15117467909743"/>
    <n v="46.167648258831093"/>
    <n v="49.487323071523278"/>
    <n v="53.02920261286507"/>
    <n v="56.753874010410733"/>
    <n v="60.588815653550753"/>
    <n v="64.703086141685475"/>
    <n v="69.226141454202121"/>
    <n v="74.296133779818135"/>
    <n v="79.935565825716637"/>
    <n v="86.029702936051947"/>
    <n v="92.473739320733614"/>
    <n v="99.279753845172252"/>
  </r>
  <r>
    <x v="18"/>
    <x v="3"/>
    <x v="8"/>
    <x v="21"/>
    <x v="23"/>
    <n v="4.6100186587846004"/>
    <n v="4.8774852786505054"/>
    <n v="5.1690921013220068"/>
    <n v="5.4802892610779832"/>
    <n v="5.8010774116263102"/>
    <n v="6.1375535572962923"/>
    <n v="6.4941472873041475"/>
    <n v="6.8808142800506467"/>
    <n v="7.3009697799081756"/>
    <n v="7.7554363880076407"/>
    <n v="8.2351356335095662"/>
    <n v="8.7314814231740812"/>
    <n v="9.2507619009012743"/>
  </r>
  <r>
    <x v="18"/>
    <x v="3"/>
    <x v="9"/>
    <x v="22"/>
    <x v="24"/>
    <n v="13.476741494838548"/>
    <n v="14.260638989477606"/>
    <n v="15.105072926618144"/>
    <n v="16.020908292322112"/>
    <n v="17.01649374077051"/>
    <n v="18.101093099494559"/>
    <n v="19.282405402819638"/>
    <n v="20.554264202409158"/>
    <n v="21.909671666088371"/>
    <n v="23.344390591370601"/>
    <n v="24.853717238004236"/>
    <n v="26.447314589040996"/>
    <n v="28.117438355802989"/>
  </r>
  <r>
    <x v="18"/>
    <x v="3"/>
    <x v="10"/>
    <x v="23"/>
    <x v="25"/>
    <n v="23.06673922756292"/>
    <n v="25.136166222887837"/>
    <n v="27.390400724720919"/>
    <n v="29.794976871673782"/>
    <n v="32.389348881580233"/>
    <n v="35.108953938867316"/>
    <n v="38.115790976372438"/>
    <n v="41.466009521086761"/>
    <n v="45.254787385221022"/>
    <n v="49.510113619525342"/>
    <n v="54.220296005769697"/>
    <n v="59.388994975634134"/>
    <n v="64.977364524669511"/>
  </r>
  <r>
    <x v="18"/>
    <x v="3"/>
    <x v="11"/>
    <x v="24"/>
    <x v="26"/>
    <n v="15.828847065683702"/>
    <n v="17.139798059409134"/>
    <n v="18.589621384620902"/>
    <n v="20.169837043632011"/>
    <n v="21.85072491712577"/>
    <n v="23.660056073885912"/>
    <n v="25.621524908606066"/>
    <n v="27.782512421042753"/>
    <n v="30.168021819468919"/>
    <n v="32.794125405622275"/>
    <n v="35.635903798326162"/>
    <n v="38.667576171491092"/>
    <n v="41.926248434708612"/>
  </r>
  <r>
    <x v="18"/>
    <x v="3"/>
    <x v="12"/>
    <x v="25"/>
    <x v="27"/>
    <n v="4.9093625343230087"/>
    <n v="5.2763262638743758"/>
    <n v="5.6812723535509191"/>
    <n v="6.1154033809409549"/>
    <n v="6.5745543998431524"/>
    <n v="7.0506468226874892"/>
    <n v="7.563565409059934"/>
    <n v="8.1289247916293625"/>
    <n v="8.7636399234578626"/>
    <n v="9.4712839973057417"/>
    <n v="10.23922582194238"/>
    <n v="11.055780889013837"/>
    <n v="11.923022658971368"/>
  </r>
  <r>
    <x v="18"/>
    <x v="3"/>
    <x v="13"/>
    <x v="26"/>
    <x v="28"/>
    <n v="10.171838080532428"/>
    <n v="10.799849886051868"/>
    <n v="11.484635045989457"/>
    <n v="12.2319813785255"/>
    <n v="13.052424176159199"/>
    <n v="13.962703474963886"/>
    <n v="14.969045519241194"/>
    <n v="16.077856329715711"/>
    <n v="17.274160013365883"/>
    <n v="18.547960856423092"/>
    <n v="19.878596167813498"/>
    <n v="21.258308195357724"/>
    <n v="22.700447316760741"/>
  </r>
  <r>
    <x v="18"/>
    <x v="4"/>
    <x v="14"/>
    <x v="27"/>
    <x v="29"/>
    <n v="31.24541597094332"/>
    <n v="33.906695043546641"/>
    <n v="36.854582938296993"/>
    <n v="40.07413724387267"/>
    <n v="43.508080587197327"/>
    <n v="47.21310793420956"/>
    <n v="51.238269666226067"/>
    <n v="55.680407877652968"/>
    <n v="60.592352832450963"/>
    <n v="66.009448536459331"/>
    <n v="71.88482797707033"/>
    <n v="78.169473335654288"/>
    <n v="84.941066353024013"/>
  </r>
  <r>
    <x v="18"/>
    <x v="4"/>
    <x v="15"/>
    <x v="28"/>
    <x v="30"/>
    <n v="40.818131090781883"/>
    <n v="43.583569656804677"/>
    <n v="46.565511598525354"/>
    <n v="49.739258984299667"/>
    <n v="53.176542939907847"/>
    <n v="56.807899032985887"/>
    <n v="60.808209837177351"/>
    <n v="65.209973668281421"/>
    <n v="70.078897755059273"/>
    <n v="75.413862321795364"/>
    <n v="81.178046688295211"/>
    <n v="87.379982908057571"/>
    <n v="93.954216838790472"/>
  </r>
  <r>
    <x v="18"/>
    <x v="5"/>
    <x v="16"/>
    <x v="29"/>
    <x v="31"/>
    <n v="7.5467926653844311"/>
    <n v="8.2446395864605275"/>
    <n v="9.008527426657265"/>
    <n v="9.8678283443487462"/>
    <n v="10.82867783503578"/>
    <n v="11.896640054854817"/>
    <n v="13.072325007841908"/>
    <n v="14.353302789486923"/>
    <n v="15.745816376968726"/>
    <n v="17.294165169488267"/>
    <n v="19.01917176059532"/>
    <n v="20.918400273770953"/>
    <n v="22.9901255699655"/>
  </r>
  <r>
    <x v="18"/>
    <x v="5"/>
    <x v="17"/>
    <x v="30"/>
    <x v="32"/>
    <n v="10.711937014558714"/>
    <n v="11.783594636424525"/>
    <n v="13.045143275313791"/>
    <n v="14.387915153354825"/>
    <n v="15.759593634918147"/>
    <n v="17.02723039028038"/>
    <n v="18.336762489538046"/>
    <n v="19.802559671105712"/>
    <n v="21.606524701578877"/>
    <n v="23.747107763569943"/>
    <n v="26.13853093088828"/>
    <n v="28.726955570127728"/>
    <n v="31.500897955085662"/>
  </r>
  <r>
    <x v="18"/>
    <x v="5"/>
    <x v="18"/>
    <x v="31"/>
    <x v="33"/>
    <n v="6.4025474754227911"/>
    <n v="6.8228644374244043"/>
    <n v="7.2779222958756584"/>
    <n v="7.7736410893048857"/>
    <n v="8.3148776233310446"/>
    <n v="8.9070617359149828"/>
    <n v="9.5549937616817431"/>
    <n v="10.256724462278044"/>
    <n v="11.009820198383146"/>
    <n v="11.813152401784096"/>
    <n v="12.665311747922912"/>
    <n v="13.572157889490759"/>
    <n v="14.530770090730174"/>
  </r>
  <r>
    <x v="18"/>
    <x v="5"/>
    <x v="19"/>
    <x v="32"/>
    <x v="34"/>
    <n v="17.547409757988021"/>
    <n v="18.857193115567757"/>
    <n v="20.1935151776201"/>
    <n v="21.589165615592151"/>
    <n v="23.107625022978137"/>
    <n v="24.811750864706909"/>
    <n v="26.749333193694731"/>
    <n v="28.896674309945418"/>
    <n v="31.195883050454267"/>
    <n v="33.6466990672102"/>
    <n v="36.286907919971114"/>
    <n v="39.160514424651772"/>
    <n v="42.247866173344285"/>
  </r>
  <r>
    <x v="18"/>
    <x v="5"/>
    <x v="20"/>
    <x v="33"/>
    <x v="35"/>
    <n v="12.177914639055933"/>
    <n v="13.188904290283038"/>
    <n v="14.307139263302666"/>
    <n v="15.526153052991859"/>
    <n v="16.8231244937163"/>
    <n v="18.219478977836513"/>
    <n v="19.733518406995035"/>
    <n v="21.401801433494999"/>
    <n v="23.243675175078931"/>
    <n v="25.27161995748617"/>
    <n v="27.466536574497589"/>
    <n v="29.808648126199081"/>
    <n v="32.32664255931445"/>
  </r>
  <r>
    <x v="18"/>
    <x v="5"/>
    <x v="21"/>
    <x v="34"/>
    <x v="36"/>
    <n v="8.5566463942742388"/>
    <n v="8.9712919901446053"/>
    <n v="9.4209830051106014"/>
    <n v="9.9089166713699015"/>
    <n v="10.441939340927359"/>
    <n v="11.031479657133813"/>
    <n v="11.680044885056761"/>
    <n v="12.390100795194757"/>
    <n v="13.1474526171862"/>
    <n v="13.942333023317126"/>
    <n v="14.757386351319623"/>
    <n v="15.585652891584672"/>
    <n v="16.435966998456582"/>
  </r>
  <r>
    <x v="18"/>
    <x v="5"/>
    <x v="22"/>
    <x v="35"/>
    <x v="37"/>
    <n v="9.1202991150410746"/>
    <n v="9.6217766440464558"/>
    <n v="10.166864092942268"/>
    <n v="10.759776301209962"/>
    <n v="11.40878557619841"/>
    <n v="12.12736528646804"/>
    <n v="12.919501758595207"/>
    <n v="13.789218084428535"/>
    <n v="14.722078467860067"/>
    <n v="15.708233475398892"/>
    <n v="16.729029380170719"/>
    <n v="17.777127067886887"/>
    <n v="18.863013844917813"/>
  </r>
  <r>
    <x v="19"/>
    <x v="0"/>
    <x v="0"/>
    <x v="0"/>
    <x v="0"/>
    <n v="11.537101044391127"/>
    <n v="12.835645067133886"/>
    <n v="14.231862654413208"/>
    <n v="15.755027749652317"/>
    <n v="17.460439108371325"/>
    <n v="19.410046325661597"/>
    <n v="21.661660694478925"/>
    <n v="24.221801282000982"/>
    <n v="27.067324195575203"/>
    <n v="30.219946609782699"/>
    <n v="33.736937672447169"/>
    <n v="37.687616780151281"/>
    <n v="42.087630664117221"/>
  </r>
  <r>
    <x v="19"/>
    <x v="0"/>
    <x v="1"/>
    <x v="1"/>
    <x v="1"/>
    <n v="36.7836624042626"/>
    <n v="40.041434122431689"/>
    <n v="43.658516011073466"/>
    <n v="47.620553253288136"/>
    <n v="51.862690420904933"/>
    <n v="56.455106970259607"/>
    <n v="61.459709619262256"/>
    <n v="66.996492629873472"/>
    <n v="73.133978099626219"/>
    <n v="79.920416369919224"/>
    <n v="87.305099495858457"/>
    <n v="95.2340517275682"/>
    <n v="103.80696180843468"/>
  </r>
  <r>
    <x v="19"/>
    <x v="0"/>
    <x v="2"/>
    <x v="2"/>
    <x v="2"/>
    <n v="76.870832369204152"/>
    <n v="82.810676766501899"/>
    <n v="89.313009004721678"/>
    <n v="96.258922589341594"/>
    <n v="103.55250520707349"/>
    <n v="111.34694966507378"/>
    <n v="119.78375899940737"/>
    <n v="129.21918051512858"/>
    <n v="139.81779683846165"/>
    <n v="151.39057987074671"/>
    <n v="164.03479038583026"/>
    <n v="177.57101635940245"/>
    <n v="191.95790137066248"/>
  </r>
  <r>
    <x v="19"/>
    <x v="1"/>
    <x v="3"/>
    <x v="3"/>
    <x v="3"/>
    <n v="4.4652586299826487"/>
    <n v="4.9758955872593393"/>
    <n v="5.55114771062979"/>
    <n v="6.1887400803848944"/>
    <n v="6.887187398868031"/>
    <n v="7.66101632076131"/>
    <n v="8.5256214320747734"/>
    <n v="9.5133808004493776"/>
    <n v="10.646498240400069"/>
    <n v="11.922563629687589"/>
    <n v="13.360517275878736"/>
    <n v="14.95853876741945"/>
    <n v="16.725258215592369"/>
  </r>
  <r>
    <x v="19"/>
    <x v="1"/>
    <x v="3"/>
    <x v="3"/>
    <x v="4"/>
    <n v="9.9756476480381426"/>
    <n v="10.802060996683799"/>
    <n v="11.714940405199624"/>
    <n v="12.724491919423972"/>
    <n v="13.846491943273943"/>
    <n v="15.104349880407867"/>
    <n v="16.511718986338629"/>
    <n v="18.083245131887349"/>
    <n v="19.810371243472019"/>
    <n v="21.689247813509844"/>
    <n v="23.702944323580979"/>
    <n v="25.848291744190291"/>
    <n v="28.147282145569392"/>
  </r>
  <r>
    <x v="19"/>
    <x v="1"/>
    <x v="3"/>
    <x v="3"/>
    <x v="5"/>
    <n v="10.840998945541472"/>
    <n v="11.965784730696781"/>
    <n v="13.183119751874436"/>
    <n v="14.352872005492209"/>
    <n v="15.324893426800593"/>
    <n v="16.223136785692173"/>
    <n v="17.066257063428502"/>
    <n v="18.12740619489859"/>
    <n v="19.505127117313343"/>
    <n v="21.029768110330856"/>
    <n v="22.837311315343442"/>
    <n v="24.750696366907654"/>
    <n v="26.727487454422736"/>
  </r>
  <r>
    <x v="19"/>
    <x v="1"/>
    <x v="3"/>
    <x v="4"/>
    <x v="6"/>
    <n v="23.011254914026328"/>
    <n v="24.811333106970689"/>
    <n v="26.778217023494228"/>
    <n v="28.938958733779373"/>
    <n v="31.31780423756765"/>
    <n v="33.942155382764511"/>
    <n v="36.838141758545909"/>
    <n v="40.006916237341464"/>
    <n v="43.447598261191587"/>
    <n v="47.164221234975088"/>
    <n v="51.159695084976818"/>
    <n v="55.466234867096283"/>
    <n v="60.081490582127557"/>
  </r>
  <r>
    <x v="19"/>
    <x v="1"/>
    <x v="3"/>
    <x v="5"/>
    <x v="7"/>
    <n v="14.517097326914543"/>
    <n v="15.619880138648393"/>
    <n v="16.834047249845408"/>
    <n v="18.149616379194665"/>
    <n v="19.537712735363304"/>
    <n v="21.021567136515291"/>
    <n v="22.620176701169289"/>
    <n v="24.372939590756292"/>
    <n v="26.298590637073719"/>
    <n v="28.407561170256525"/>
    <n v="30.674460385804156"/>
    <n v="33.073742467719022"/>
    <n v="35.634247727064491"/>
  </r>
  <r>
    <x v="19"/>
    <x v="1"/>
    <x v="3"/>
    <x v="6"/>
    <x v="8"/>
    <n v="9.4553637676688105"/>
    <n v="10.082111393278536"/>
    <n v="10.712321039647742"/>
    <n v="11.36316014113128"/>
    <n v="12.067410807136159"/>
    <n v="12.85649479965987"/>
    <n v="13.753025085354979"/>
    <n v="14.742125670917819"/>
    <n v="15.791895960964013"/>
    <n v="16.900557996164764"/>
    <n v="18.085471577070614"/>
    <n v="19.366530729800559"/>
    <n v="20.731497682984358"/>
  </r>
  <r>
    <x v="19"/>
    <x v="1"/>
    <x v="3"/>
    <x v="7"/>
    <x v="9"/>
    <n v="15.649753055455404"/>
    <n v="17.090392478836332"/>
    <n v="18.681554314445364"/>
    <n v="20.447323162495518"/>
    <n v="22.410905784681436"/>
    <n v="24.598804490724849"/>
    <n v="27.037784022617668"/>
    <n v="29.737451248046998"/>
    <n v="32.706179079265418"/>
    <n v="35.95624954275781"/>
    <n v="39.49949289590473"/>
    <n v="43.370738291929186"/>
    <n v="47.579325572131701"/>
  </r>
  <r>
    <x v="19"/>
    <x v="1"/>
    <x v="3"/>
    <x v="8"/>
    <x v="10"/>
    <n v="17.500723683806282"/>
    <n v="18.569476738589412"/>
    <n v="19.740636510214571"/>
    <n v="20.97908003632752"/>
    <n v="22.267246132215529"/>
    <n v="23.575129409207548"/>
    <n v="24.967690560512846"/>
    <n v="26.492444395813923"/>
    <n v="28.198621689571223"/>
    <n v="30.089877239234564"/>
    <n v="32.118007513424295"/>
    <n v="34.240014648004518"/>
    <n v="36.457525477043873"/>
  </r>
  <r>
    <x v="19"/>
    <x v="1"/>
    <x v="4"/>
    <x v="9"/>
    <x v="11"/>
    <n v="2.6896961484336841"/>
    <n v="2.992583621963413"/>
    <n v="3.3345669822480675"/>
    <n v="3.7211887731160922"/>
    <n v="4.1600792742955184"/>
    <n v="4.6618276578334381"/>
    <n v="5.234969659195901"/>
    <n v="5.8890457563913792"/>
    <n v="6.6268075088491267"/>
    <n v="7.4525759395367777"/>
    <n v="8.366338465110827"/>
    <n v="9.372616225997783"/>
    <n v="10.485229122953109"/>
  </r>
  <r>
    <x v="19"/>
    <x v="1"/>
    <x v="4"/>
    <x v="10"/>
    <x v="12"/>
    <n v="2.0051894043646858"/>
    <n v="2.2680152896471624"/>
    <n v="2.5681255312584996"/>
    <n v="2.906021120496562"/>
    <n v="3.2825625523738089"/>
    <n v="3.7062522485566785"/>
    <n v="4.1864819064647856"/>
    <n v="4.7414957343873887"/>
    <n v="5.3854991870925994"/>
    <n v="6.1210121470228867"/>
    <n v="6.9615669654753534"/>
    <n v="7.9105875982275977"/>
    <n v="8.9771155447059616"/>
  </r>
  <r>
    <x v="19"/>
    <x v="1"/>
    <x v="4"/>
    <x v="11"/>
    <x v="13"/>
    <n v="1.9264190300795516"/>
    <n v="2.1061718004774903"/>
    <n v="2.3069095158477477"/>
    <n v="2.5260104282628961"/>
    <n v="2.762552643086869"/>
    <n v="3.0138784817427826"/>
    <n v="3.2890735523557182"/>
    <n v="3.5959746335052931"/>
    <n v="3.9434990153170744"/>
    <n v="4.3351250585475931"/>
    <n v="4.767088243383852"/>
    <n v="5.235737250652547"/>
    <n v="5.7436243102607589"/>
  </r>
  <r>
    <x v="19"/>
    <x v="1"/>
    <x v="4"/>
    <x v="12"/>
    <x v="14"/>
    <n v="2.2117129052707107"/>
    <n v="2.4387098445445594"/>
    <n v="2.6933154174393512"/>
    <n v="2.9756257509604538"/>
    <n v="3.2825625523738089"/>
    <n v="3.6194118929743202"/>
    <n v="3.9911824939716243"/>
    <n v="4.4068892359031944"/>
    <n v="4.8725975252130835"/>
    <n v="5.3932973019394161"/>
    <n v="5.9675148298898355"/>
    <n v="6.5934305363140915"/>
    <n v="7.2797252375278321"/>
  </r>
  <r>
    <x v="19"/>
    <x v="1"/>
    <x v="4"/>
    <x v="13"/>
    <x v="15"/>
    <n v="1.8017273254773871"/>
    <n v="2.0028956282430284"/>
    <n v="2.2300655995275558"/>
    <n v="2.4839316174821526"/>
    <n v="2.762552643086869"/>
    <n v="3.0709552419300934"/>
    <n v="3.4140877282260691"/>
    <n v="3.8004781641059227"/>
    <n v="4.2363791560365156"/>
    <n v="4.7272988166434837"/>
    <n v="5.2732439539231928"/>
    <n v="5.8738990736552914"/>
    <n v="6.5382762743551961"/>
  </r>
  <r>
    <x v="19"/>
    <x v="1"/>
    <x v="5"/>
    <x v="14"/>
    <x v="16"/>
    <n v="2.6184802880669671"/>
    <n v="2.8708497144888376"/>
    <n v="3.1526174802370237"/>
    <n v="3.4633552376444317"/>
    <n v="3.7989420733312849"/>
    <n v="4.1650229945758559"/>
    <n v="4.5667888713187823"/>
    <n v="5.0138884606035594"/>
    <n v="5.5123865232137819"/>
    <n v="6.0669821571483613"/>
    <n v="6.6749838461339559"/>
    <n v="7.333359386698814"/>
    <n v="8.0508095545780805"/>
  </r>
  <r>
    <x v="19"/>
    <x v="1"/>
    <x v="5"/>
    <x v="15"/>
    <x v="17"/>
    <n v="2.5218991287570658"/>
    <n v="2.7269301205092757"/>
    <n v="2.9534507116166262"/>
    <n v="3.2000199185979423"/>
    <n v="3.4618345855954038"/>
    <n v="3.7432264666346504"/>
    <n v="4.0478576654977561"/>
    <n v="4.3831114440412549"/>
    <n v="4.7527986961992035"/>
    <n v="5.159301341673463"/>
    <n v="5.5985383009052327"/>
    <n v="6.0663152127516735"/>
    <n v="6.5683263827971894"/>
  </r>
  <r>
    <x v="19"/>
    <x v="1"/>
    <x v="5"/>
    <x v="16"/>
    <x v="18"/>
    <n v="1.4507432224882328"/>
    <n v="1.6150050598476742"/>
    <n v="1.7995575163965889"/>
    <n v="2.0077488213313215"/>
    <n v="2.2430613607041381"/>
    <n v="2.509531259678043"/>
    <n v="2.8114811423662762"/>
    <n v="3.151723348509218"/>
    <n v="3.5330887454095539"/>
    <n v="3.9589766484295534"/>
    <n v="4.4329219157132966"/>
    <n v="4.9612303274458851"/>
    <n v="5.5476893422012452"/>
  </r>
  <r>
    <x v="19"/>
    <x v="1"/>
    <x v="5"/>
    <x v="17"/>
    <x v="19"/>
    <n v="1.1865437737898072"/>
    <n v="1.2674968972365508"/>
    <n v="1.3553009815528474"/>
    <n v="1.4511075813880401"/>
    <n v="1.5558807126271477"/>
    <n v="1.6707006925639469"/>
    <n v="1.7965399202280701"/>
    <n v="1.933110813509529"/>
    <n v="2.0800314501151198"/>
    <n v="2.237162551459233"/>
    <n v="2.4043101046463566"/>
    <n v="2.582657911071347"/>
    <n v="2.7717301206129301"/>
  </r>
  <r>
    <x v="19"/>
    <x v="1"/>
    <x v="5"/>
    <x v="18"/>
    <x v="20"/>
    <n v="1.363086619696174"/>
    <n v="1.4821628081461946"/>
    <n v="1.6134939287328849"/>
    <n v="1.7552518847727139"/>
    <n v="1.9059538729682559"/>
    <n v="2.0686418187717592"/>
    <n v="2.2462507634809765"/>
    <n v="2.4458475659344998"/>
    <n v="2.6711290969656387"/>
    <n v="2.9191641511308135"/>
    <n v="3.1924205569702413"/>
    <n v="3.4880634612399568"/>
    <n v="3.8058530962855235"/>
  </r>
  <r>
    <x v="19"/>
    <x v="2"/>
    <x v="6"/>
    <x v="19"/>
    <x v="21"/>
    <n v="48.320763448653729"/>
    <n v="52.877079189565578"/>
    <n v="57.890378665486672"/>
    <n v="63.37558100294045"/>
    <n v="69.323129529276258"/>
    <n v="75.865153295921203"/>
    <n v="83.121370313741181"/>
    <n v="91.218293911874454"/>
    <n v="100.20130229520143"/>
    <n v="110.14036297970192"/>
    <n v="121.04203716830563"/>
    <n v="132.92166850771949"/>
    <n v="145.89459247255189"/>
  </r>
  <r>
    <x v="19"/>
    <x v="2"/>
    <x v="7"/>
    <x v="20"/>
    <x v="22"/>
    <n v="76.870832369204152"/>
    <n v="82.810676766501899"/>
    <n v="89.313009004721678"/>
    <n v="96.258922589341594"/>
    <n v="103.55250520707349"/>
    <n v="111.34694966507378"/>
    <n v="119.78375899940737"/>
    <n v="129.21918051512858"/>
    <n v="139.81779683846165"/>
    <n v="151.39057987074671"/>
    <n v="164.03479038583026"/>
    <n v="177.57101635940245"/>
    <n v="191.95790137066248"/>
  </r>
  <r>
    <x v="19"/>
    <x v="3"/>
    <x v="8"/>
    <x v="21"/>
    <x v="23"/>
    <n v="7.3993100006938013"/>
    <n v="7.8228710640486883"/>
    <n v="8.2837162869439069"/>
    <n v="8.785516089163707"/>
    <n v="9.335284275762886"/>
    <n v="9.9443492064858177"/>
    <n v="10.61635503630724"/>
    <n v="11.355005480584065"/>
    <n v="12.148833751905485"/>
    <n v="12.990059323860448"/>
    <n v="13.863554027866339"/>
    <n v="14.763437122238276"/>
    <n v="15.698581550272481"/>
  </r>
  <r>
    <x v="19"/>
    <x v="3"/>
    <x v="9"/>
    <x v="22"/>
    <x v="24"/>
    <n v="23.673791556185869"/>
    <n v="25.230476400874569"/>
    <n v="26.894147485091835"/>
    <n v="28.741070335928828"/>
    <n v="30.771862983070253"/>
    <n v="32.98466126538051"/>
    <n v="35.363226095588438"/>
    <n v="37.883841252780428"/>
    <n v="40.547197553145764"/>
    <n v="43.451198474068882"/>
    <n v="46.624495429753956"/>
    <n v="50.034840245462313"/>
    <n v="53.653595129350528"/>
  </r>
  <r>
    <x v="19"/>
    <x v="3"/>
    <x v="10"/>
    <x v="23"/>
    <x v="25"/>
    <n v="42.150607424529198"/>
    <n v="46.385158877928518"/>
    <n v="51.239088246525839"/>
    <n v="56.420805096104644"/>
    <n v="61.716601600876871"/>
    <n v="67.272256433023514"/>
    <n v="73.264000359703459"/>
    <n v="80.211611540225618"/>
    <n v="88.408058333740826"/>
    <n v="97.552300970862603"/>
    <n v="107.64131817073931"/>
    <n v="118.48509470919657"/>
    <n v="130.19526584383391"/>
  </r>
  <r>
    <x v="19"/>
    <x v="3"/>
    <x v="11"/>
    <x v="24"/>
    <x v="26"/>
    <n v="28.375358776044813"/>
    <n v="30.867938541926925"/>
    <n v="33.462880754313439"/>
    <n v="36.217356254449541"/>
    <n v="39.242769085151394"/>
    <n v="42.654845506485707"/>
    <n v="46.548886595581557"/>
    <n v="50.900136796128045"/>
    <n v="55.621995648810817"/>
    <n v="60.726021544509315"/>
    <n v="66.292724185323806"/>
    <n v="72.41763082860632"/>
    <n v="79.082873462010099"/>
  </r>
  <r>
    <x v="19"/>
    <x v="3"/>
    <x v="12"/>
    <x v="25"/>
    <x v="27"/>
    <n v="7.3939560449221045"/>
    <n v="8.0049070780896621"/>
    <n v="8.6804907172884178"/>
    <n v="9.4167120326012981"/>
    <n v="10.199662449444634"/>
    <n v="11.042279376346976"/>
    <n v="11.955588367799637"/>
    <n v="12.961659782272205"/>
    <n v="14.072108103990999"/>
    <n v="15.294373600915145"/>
    <n v="16.616773643635092"/>
    <n v="18.027232020591999"/>
    <n v="19.542999372004907"/>
  </r>
  <r>
    <x v="19"/>
    <x v="3"/>
    <x v="13"/>
    <x v="26"/>
    <x v="28"/>
    <n v="16.198572015482096"/>
    <n v="17.376403993199109"/>
    <n v="18.643064180044906"/>
    <n v="20.053043784034035"/>
    <n v="21.609454342043719"/>
    <n v="23.313711173272438"/>
    <n v="25.157072858168231"/>
    <n v="27.125219575012679"/>
    <n v="29.220905742069188"/>
    <n v="31.516988936232252"/>
    <n v="34.037962096817374"/>
    <n v="36.764449941026463"/>
    <n v="39.67917848574244"/>
  </r>
  <r>
    <x v="19"/>
    <x v="4"/>
    <x v="14"/>
    <x v="27"/>
    <x v="29"/>
    <n v="53.523812528610755"/>
    <n v="58.387999908851867"/>
    <n v="63.473697968253596"/>
    <n v="68.891189966549817"/>
    <n v="74.855149840839445"/>
    <n v="81.590895582556698"/>
    <n v="89.287178058291147"/>
    <n v="97.904536201222498"/>
    <n v="107.28407916309888"/>
    <n v="117.45445490415008"/>
    <n v="128.57797649881417"/>
    <n v="140.84787303376029"/>
    <n v="154.23895350916331"/>
  </r>
  <r>
    <x v="19"/>
    <x v="4"/>
    <x v="15"/>
    <x v="28"/>
    <x v="30"/>
    <n v="71.667783289247126"/>
    <n v="77.299756047215595"/>
    <n v="83.729689701954754"/>
    <n v="90.743313625732227"/>
    <n v="98.020484895510307"/>
    <n v="105.62120737843827"/>
    <n v="113.61795125485742"/>
    <n v="122.53293822578055"/>
    <n v="132.7350199705642"/>
    <n v="144.07648794629856"/>
    <n v="156.49885105532172"/>
    <n v="169.64481183336167"/>
    <n v="183.61354033405104"/>
  </r>
  <r>
    <x v="19"/>
    <x v="5"/>
    <x v="16"/>
    <x v="29"/>
    <x v="31"/>
    <n v="15.296777158547229"/>
    <n v="16.888371041353302"/>
    <n v="18.675420967819566"/>
    <n v="20.659358609511465"/>
    <n v="22.819583785198169"/>
    <n v="25.193538407278364"/>
    <n v="27.816926712258976"/>
    <n v="30.753558203155411"/>
    <n v="34.046987276235569"/>
    <n v="37.733477138852194"/>
    <n v="41.804255017749512"/>
    <n v="46.248081866968924"/>
    <n v="51.127315273602036"/>
  </r>
  <r>
    <x v="19"/>
    <x v="5"/>
    <x v="17"/>
    <x v="30"/>
    <x v="32"/>
    <n v="12.663500725874712"/>
    <n v="14.038091157461906"/>
    <n v="15.524910762053764"/>
    <n v="17.094962547530145"/>
    <n v="18.670568551525776"/>
    <n v="20.434141308636526"/>
    <n v="22.345965320715095"/>
    <n v="24.543220292549279"/>
    <n v="27.02563639169199"/>
    <n v="29.678141393037833"/>
    <n v="32.685057880095172"/>
    <n v="36.040435722506004"/>
    <n v="39.720256203810322"/>
  </r>
  <r>
    <x v="19"/>
    <x v="5"/>
    <x v="18"/>
    <x v="31"/>
    <x v="33"/>
    <n v="18.942075097621281"/>
    <n v="20.267470801537677"/>
    <n v="21.719384869970369"/>
    <n v="23.311509631409859"/>
    <n v="25.066967036770713"/>
    <n v="27.021463215599603"/>
    <n v="29.191403472809672"/>
    <n v="31.593982116031949"/>
    <n v="34.204834690617325"/>
    <n v="37.008638774770752"/>
    <n v="39.968256171506731"/>
    <n v="43.071297830312389"/>
    <n v="46.34771366488917"/>
  </r>
  <r>
    <x v="19"/>
    <x v="5"/>
    <x v="19"/>
    <x v="32"/>
    <x v="34"/>
    <n v="39.489415078042754"/>
    <n v="42.787335368647078"/>
    <n v="46.446252952017538"/>
    <n v="50.402577247873545"/>
    <n v="54.628700576686519"/>
    <n v="59.063496679047695"/>
    <n v="63.878000461478919"/>
    <n v="69.21270986218309"/>
    <n v="75.223651389539384"/>
    <n v="81.957223757877756"/>
    <n v="89.320864416003786"/>
    <n v="97.2270143036409"/>
    <n v="105.7060536705315"/>
  </r>
  <r>
    <x v="19"/>
    <x v="5"/>
    <x v="20"/>
    <x v="33"/>
    <x v="35"/>
    <n v="14.355745672901982"/>
    <n v="15.639558891106994"/>
    <n v="17.057731085538865"/>
    <n v="18.591707750114317"/>
    <n v="20.226449264152922"/>
    <n v="21.994817970181739"/>
    <n v="23.928789959890825"/>
    <n v="26.104599631659116"/>
    <n v="28.563092425065022"/>
    <n v="31.27454477262625"/>
    <n v="34.266847211570607"/>
    <n v="37.511181898980389"/>
    <n v="41.006418649324644"/>
  </r>
  <r>
    <x v="19"/>
    <x v="5"/>
    <x v="21"/>
    <x v="34"/>
    <x v="36"/>
    <n v="9.5000562401064386"/>
    <n v="10.088702252273055"/>
    <n v="10.675715403805871"/>
    <n v="11.278184646675298"/>
    <n v="11.928418796808135"/>
    <n v="12.656853488052827"/>
    <n v="13.484752733756929"/>
    <n v="14.396271580670245"/>
    <n v="15.359186019706788"/>
    <n v="16.371079702134683"/>
    <n v="17.448106988042202"/>
    <n v="18.608599764946995"/>
    <n v="19.839711420033087"/>
  </r>
  <r>
    <x v="19"/>
    <x v="5"/>
    <x v="22"/>
    <x v="35"/>
    <x v="37"/>
    <n v="14.944025844763505"/>
    <n v="15.978226443687456"/>
    <n v="17.103971629002363"/>
    <n v="18.296203159167415"/>
    <n v="19.534946725207519"/>
    <n v="20.847791892198224"/>
    <n v="22.25929065223816"/>
    <n v="23.833132740753964"/>
    <n v="25.595710940807006"/>
    <n v="27.507837311149146"/>
    <n v="29.583439869167872"/>
    <n v="31.786073479766383"/>
    <n v="34.105024961023538"/>
  </r>
  <r>
    <x v="20"/>
    <x v="0"/>
    <x v="0"/>
    <x v="0"/>
    <x v="0"/>
    <n v="28.858942460460185"/>
    <n v="31.475048743714481"/>
    <n v="34.385367286200143"/>
    <n v="37.591973199228704"/>
    <n v="41.089580494931866"/>
    <n v="44.917680648906902"/>
    <n v="49.143876467947806"/>
    <n v="53.850047125079271"/>
    <n v="59.087280906819757"/>
    <n v="64.88768087909321"/>
    <n v="71.215821932180802"/>
    <n v="78.049360332375727"/>
    <n v="85.45576289769815"/>
  </r>
  <r>
    <x v="20"/>
    <x v="0"/>
    <x v="1"/>
    <x v="1"/>
    <x v="1"/>
    <n v="100.14406538849033"/>
    <n v="106.64748217112104"/>
    <n v="113.54319289057537"/>
    <n v="120.88553425688221"/>
    <n v="128.79976675120008"/>
    <n v="137.39166515572254"/>
    <n v="146.8625688033392"/>
    <n v="157.21457226488923"/>
    <n v="168.39166697388259"/>
    <n v="180.38763901196626"/>
    <n v="193.18736319443963"/>
    <n v="206.84104213242725"/>
    <n v="221.29141984432718"/>
  </r>
  <r>
    <x v="20"/>
    <x v="0"/>
    <x v="2"/>
    <x v="2"/>
    <x v="2"/>
    <n v="194.62894294140372"/>
    <n v="205.09947636717069"/>
    <n v="216.49978478141537"/>
    <n v="228.68007919331552"/>
    <n v="241.60489255386767"/>
    <n v="255.20052413529478"/>
    <n v="269.86125624046673"/>
    <n v="285.84061219181746"/>
    <n v="303.29397873356675"/>
    <n v="322.16018152440085"/>
    <n v="342.04297477094025"/>
    <n v="362.68465162461064"/>
    <n v="384.12313731605462"/>
  </r>
  <r>
    <x v="20"/>
    <x v="1"/>
    <x v="3"/>
    <x v="3"/>
    <x v="3"/>
    <n v="11.205871427086386"/>
    <n v="12.255993874006368"/>
    <n v="13.424931927558658"/>
    <n v="14.714530665452033"/>
    <n v="16.114189313204378"/>
    <n v="17.646513600112083"/>
    <n v="19.332533845375924"/>
    <n v="21.205402850574561"/>
    <n v="23.286028815012276"/>
    <n v="25.591322611135158"/>
    <n v="28.113608432416822"/>
    <n v="30.847693618579292"/>
    <n v="33.823368427146846"/>
  </r>
  <r>
    <x v="20"/>
    <x v="1"/>
    <x v="3"/>
    <x v="3"/>
    <x v="4"/>
    <n v="26.543746507044904"/>
    <n v="28.335904915796814"/>
    <n v="30.295037115426396"/>
    <n v="32.403528882687745"/>
    <n v="34.657105825565367"/>
    <n v="37.041812148219172"/>
    <n v="39.625520580961783"/>
    <n v="42.449130871424806"/>
    <n v="45.554533128165751"/>
    <n v="48.946338802086125"/>
    <n v="52.582888864831702"/>
    <n v="56.440535086759034"/>
    <n v="60.518321295611578"/>
  </r>
  <r>
    <x v="20"/>
    <x v="1"/>
    <x v="3"/>
    <x v="3"/>
    <x v="5"/>
    <n v="28.441398803116837"/>
    <n v="30.009692585490829"/>
    <n v="31.811649623955514"/>
    <n v="33.693526778703955"/>
    <n v="35.715386128979915"/>
    <n v="37.58976449642384"/>
    <n v="39.585336079679436"/>
    <n v="41.711633472818789"/>
    <n v="44.104663909844319"/>
    <n v="46.729928142328021"/>
    <n v="49.255639453476562"/>
    <n v="51.665110091528646"/>
    <n v="53.971752060774818"/>
  </r>
  <r>
    <x v="20"/>
    <x v="1"/>
    <x v="3"/>
    <x v="4"/>
    <x v="6"/>
    <n v="58.231799890827105"/>
    <n v="61.684502111348067"/>
    <n v="65.401941985958032"/>
    <n v="69.426561731492768"/>
    <n v="73.709413023608008"/>
    <n v="78.29291457251388"/>
    <n v="83.19522429801188"/>
    <n v="88.470091158042678"/>
    <n v="94.142532129091535"/>
    <n v="100.27593847999832"/>
    <n v="106.87303400843352"/>
    <n v="113.84377258165028"/>
    <n v="121.16513103238512"/>
  </r>
  <r>
    <x v="20"/>
    <x v="1"/>
    <x v="3"/>
    <x v="5"/>
    <x v="7"/>
    <n v="38.246745608088141"/>
    <n v="40.177384998488769"/>
    <n v="42.209575965028556"/>
    <n v="44.356064950105441"/>
    <n v="46.65375949615192"/>
    <n v="49.169981476627726"/>
    <n v="51.941727785497662"/>
    <n v="54.983629295316959"/>
    <n v="58.243190978635411"/>
    <n v="61.674617319985096"/>
    <n v="65.261193616477399"/>
    <n v="68.986525230339268"/>
    <n v="72.84455618317817"/>
  </r>
  <r>
    <x v="20"/>
    <x v="1"/>
    <x v="3"/>
    <x v="6"/>
    <x v="8"/>
    <n v="23.832069033139508"/>
    <n v="24.898756008101778"/>
    <n v="26.024606953657077"/>
    <n v="27.212915193528282"/>
    <n v="28.462570501006681"/>
    <n v="29.805444862398119"/>
    <n v="31.26076339750912"/>
    <n v="32.833957691939062"/>
    <n v="34.505027288745239"/>
    <n v="36.266783802260562"/>
    <n v="38.09913159814397"/>
    <n v="39.992466444395589"/>
    <n v="41.949661448651398"/>
  </r>
  <r>
    <x v="20"/>
    <x v="1"/>
    <x v="3"/>
    <x v="7"/>
    <x v="9"/>
    <n v="40.398913624438762"/>
    <n v="43.265190164159989"/>
    <n v="46.396875749526068"/>
    <n v="49.821257508533066"/>
    <n v="53.54622561560803"/>
    <n v="57.629833853158004"/>
    <n v="62.106620652583231"/>
    <n v="67.015760073854906"/>
    <n v="72.346793537036078"/>
    <n v="78.109121535711552"/>
    <n v="84.254310807573034"/>
    <n v="90.757104487195647"/>
    <n v="97.657733177323919"/>
  </r>
  <r>
    <x v="20"/>
    <x v="1"/>
    <x v="3"/>
    <x v="8"/>
    <x v="10"/>
    <n v="45.584553561726395"/>
    <n v="47.383500499260919"/>
    <n v="49.222579952515105"/>
    <n v="51.08115589009244"/>
    <n v="52.985906195431085"/>
    <n v="55.000531553603025"/>
    <n v="57.210661468384231"/>
    <n v="59.653500112598145"/>
    <n v="62.297298852678558"/>
    <n v="65.085733075107612"/>
    <n v="68.020406514667314"/>
    <n v="71.068765499460298"/>
    <n v="74.189461722394299"/>
  </r>
  <r>
    <x v="20"/>
    <x v="1"/>
    <x v="4"/>
    <x v="9"/>
    <x v="11"/>
    <n v="6.8138727244173314"/>
    <n v="7.4797420372001842"/>
    <n v="8.2203274359243075"/>
    <n v="9.0303779942450184"/>
    <n v="9.9058452479448942"/>
    <n v="10.863724647270946"/>
    <n v="11.921184703674804"/>
    <n v="13.115134221619023"/>
    <n v="14.467734123342476"/>
    <n v="15.969747081225941"/>
    <n v="17.63816596413394"/>
    <n v="19.465008380011628"/>
    <n v="21.453873985720811"/>
  </r>
  <r>
    <x v="20"/>
    <x v="1"/>
    <x v="4"/>
    <x v="10"/>
    <x v="12"/>
    <n v="5.1094516298724475"/>
    <n v="5.6732735094098432"/>
    <n v="6.3087226580651752"/>
    <n v="7.0162942215385868"/>
    <n v="7.7948329705412469"/>
    <n v="8.6502293491031654"/>
    <n v="9.6022492008154909"/>
    <n v="10.676490200184343"/>
    <n v="11.897214170268441"/>
    <n v="13.27897674546864"/>
    <n v="14.826217510773803"/>
    <n v="16.536733640966219"/>
    <n v="18.426193757942237"/>
  </r>
  <r>
    <x v="20"/>
    <x v="1"/>
    <x v="4"/>
    <x v="11"/>
    <x v="13"/>
    <n v="4.9385509255966564"/>
    <n v="5.2820691404779865"/>
    <n v="5.6580191820238124"/>
    <n v="6.0635022901521225"/>
    <n v="6.49578909543209"/>
    <n v="6.9634869769876868"/>
    <n v="7.4726564615274196"/>
    <n v="8.0365758290517242"/>
    <n v="8.6581247310921974"/>
    <n v="9.3309981899466017"/>
    <n v="10.052358747405608"/>
    <n v="10.814216620821707"/>
    <n v="11.619723641125482"/>
  </r>
  <r>
    <x v="20"/>
    <x v="1"/>
    <x v="4"/>
    <x v="12"/>
    <x v="14"/>
    <n v="5.7810484615459234"/>
    <n v="6.2353374498602028"/>
    <n v="6.7144631885615897"/>
    <n v="7.2279609870880988"/>
    <n v="7.7910847061787125"/>
    <n v="8.4193603282661194"/>
    <n v="9.1253305388283028"/>
    <n v="9.9050907755833268"/>
    <n v="10.747914106550212"/>
    <n v="11.654780616284519"/>
    <n v="12.63393780994406"/>
    <n v="13.698068932582428"/>
    <n v="14.843816693593368"/>
  </r>
  <r>
    <x v="20"/>
    <x v="1"/>
    <x v="4"/>
    <x v="13"/>
    <x v="15"/>
    <n v="4.690623084691893"/>
    <n v="5.1036594247120393"/>
    <n v="5.5546492679796273"/>
    <n v="6.0459413722848199"/>
    <n v="6.5830457074772086"/>
    <n v="7.1725933452953026"/>
    <n v="7.8278251502252223"/>
    <n v="8.55591850787747"/>
    <n v="9.3609344895940723"/>
    <n v="10.245277557513926"/>
    <n v="11.211203820370431"/>
    <n v="12.262863909599981"/>
    <n v="13.401726384111505"/>
  </r>
  <r>
    <x v="20"/>
    <x v="1"/>
    <x v="5"/>
    <x v="14"/>
    <x v="16"/>
    <n v="6.8506219349615716"/>
    <n v="7.3615724729605763"/>
    <n v="7.9240379533552314"/>
    <n v="8.5326211903524207"/>
    <n v="9.1778558653335089"/>
    <n v="9.8644509237645899"/>
    <n v="10.605983117591629"/>
    <n v="11.419845677540938"/>
    <n v="12.317642346646716"/>
    <n v="13.303856442260072"/>
    <n v="14.366327198632588"/>
    <n v="15.493953423618436"/>
    <n v="16.696237668189418"/>
  </r>
  <r>
    <x v="20"/>
    <x v="1"/>
    <x v="5"/>
    <x v="15"/>
    <x v="17"/>
    <n v="6.5599468332189508"/>
    <n v="6.9400671911035792"/>
    <n v="7.3437719984507179"/>
    <n v="7.7767708847990411"/>
    <n v="8.238224007889368"/>
    <n v="8.7366285944276072"/>
    <n v="9.2765105126943546"/>
    <n v="9.8599593883661445"/>
    <n v="10.483349706903928"/>
    <n v="11.152764931641014"/>
    <n v="11.865365421811894"/>
    <n v="12.615527097195633"/>
    <n v="13.40397082206804"/>
  </r>
  <r>
    <x v="20"/>
    <x v="1"/>
    <x v="5"/>
    <x v="16"/>
    <x v="18"/>
    <n v="3.7624272117231188"/>
    <n v="4.1129675801551873"/>
    <n v="4.4876865027508543"/>
    <n v="4.8935946496680547"/>
    <n v="5.3433425871824092"/>
    <n v="5.8510557614715957"/>
    <n v="6.4285260499908734"/>
    <n v="7.0761562065111372"/>
    <n v="7.7864240634450468"/>
    <n v="8.5615133017990797"/>
    <n v="9.4092456409182361"/>
    <n v="10.34085515465002"/>
    <n v="11.358293523631387"/>
  </r>
  <r>
    <x v="20"/>
    <x v="1"/>
    <x v="5"/>
    <x v="17"/>
    <x v="19"/>
    <n v="3.1096433410672306"/>
    <n v="3.2606683123415632"/>
    <n v="3.4244177308839827"/>
    <n v="3.5997139828773683"/>
    <n v="3.7843771605770242"/>
    <n v="3.9808052448017532"/>
    <n v="4.1916456732735199"/>
    <n v="4.4198856704241285"/>
    <n v="4.6653065592626248"/>
    <n v="4.9268059652285263"/>
    <n v="5.1992177660504986"/>
    <n v="5.4792872972899911"/>
    <n v="5.7688744350166248"/>
  </r>
  <r>
    <x v="20"/>
    <x v="1"/>
    <x v="5"/>
    <x v="18"/>
    <x v="20"/>
    <n v="3.5306661877910361"/>
    <n v="3.7617250071315391"/>
    <n v="4.0050497665701963"/>
    <n v="4.2612674758251963"/>
    <n v="4.5352863518877857"/>
    <n v="4.8307382054796024"/>
    <n v="5.1574019951288435"/>
    <n v="5.5170695780577983"/>
    <n v="5.9082136779542713"/>
    <n v="6.3309968154794696"/>
    <n v="6.7839067214992514"/>
    <n v="7.2665665927695446"/>
    <n v="7.7776237992149113"/>
  </r>
  <r>
    <x v="20"/>
    <x v="2"/>
    <x v="6"/>
    <x v="19"/>
    <x v="21"/>
    <n v="129.00300784895052"/>
    <n v="138.12253091483552"/>
    <n v="147.92856017677551"/>
    <n v="158.47750745611091"/>
    <n v="169.88934724613193"/>
    <n v="182.30934580462943"/>
    <n v="196.00644527128702"/>
    <n v="211.0646193899685"/>
    <n v="227.47894788070235"/>
    <n v="245.27531989105947"/>
    <n v="264.40318512662043"/>
    <n v="284.89040246480295"/>
    <n v="306.7471827420253"/>
  </r>
  <r>
    <x v="20"/>
    <x v="2"/>
    <x v="7"/>
    <x v="20"/>
    <x v="22"/>
    <n v="194.62894294140372"/>
    <n v="205.09947636717069"/>
    <n v="216.49978478141537"/>
    <n v="228.68007919331552"/>
    <n v="241.60489255386767"/>
    <n v="255.20052413529478"/>
    <n v="269.86125624046673"/>
    <n v="285.84061219181746"/>
    <n v="303.29397873356675"/>
    <n v="322.16018152440085"/>
    <n v="342.04297477094025"/>
    <n v="362.68465162461064"/>
    <n v="384.12313731605462"/>
  </r>
  <r>
    <x v="20"/>
    <x v="3"/>
    <x v="8"/>
    <x v="21"/>
    <x v="23"/>
    <n v="18.922760808077989"/>
    <n v="19.696009676529918"/>
    <n v="20.490713676980967"/>
    <n v="21.313409755923153"/>
    <n v="22.180765859538592"/>
    <n v="23.128390986725996"/>
    <n v="24.175926152025642"/>
    <n v="25.321948022361173"/>
    <n v="26.534136063441466"/>
    <n v="27.797900097781945"/>
    <n v="29.106497171027577"/>
    <n v="30.456641236201524"/>
    <n v="31.844772085876208"/>
  </r>
  <r>
    <x v="20"/>
    <x v="3"/>
    <x v="9"/>
    <x v="22"/>
    <x v="24"/>
    <n v="61.909067411763118"/>
    <n v="64.872070751920518"/>
    <n v="68.092332625724339"/>
    <n v="71.498080501952131"/>
    <n v="74.997553288133801"/>
    <n v="78.570864507279879"/>
    <n v="82.336193905955724"/>
    <n v="86.408295429119107"/>
    <n v="90.869897945668271"/>
    <n v="95.738255067455995"/>
    <n v="100.8832524408144"/>
    <n v="106.1773200387308"/>
    <n v="111.64408166664155"/>
  </r>
  <r>
    <x v="20"/>
    <x v="3"/>
    <x v="10"/>
    <x v="23"/>
    <x v="25"/>
    <n v="112.24356683013622"/>
    <n v="120.13947748197727"/>
    <n v="128.89383224716656"/>
    <n v="138.48398864663244"/>
    <n v="148.94515009659509"/>
    <n v="160.23290223644719"/>
    <n v="172.55465732005547"/>
    <n v="186.03846666560906"/>
    <n v="200.81294165682704"/>
    <n v="216.85480075080324"/>
    <n v="233.98409080243528"/>
    <n v="252.1771088099739"/>
    <n v="271.47420166678501"/>
  </r>
  <r>
    <x v="20"/>
    <x v="3"/>
    <x v="11"/>
    <x v="24"/>
    <x v="26"/>
    <n v="71.586173745641318"/>
    <n v="76.265833765451006"/>
    <n v="81.281792810398144"/>
    <n v="86.629125603000404"/>
    <n v="92.371725008815361"/>
    <n v="98.559430499750434"/>
    <n v="105.36468058946591"/>
    <n v="112.85877636419812"/>
    <n v="121.04065627854203"/>
    <n v="129.90311845591339"/>
    <n v="139.35805629468874"/>
    <n v="149.35574699613707"/>
    <n v="159.91006770851641"/>
  </r>
  <r>
    <x v="20"/>
    <x v="3"/>
    <x v="12"/>
    <x v="25"/>
    <x v="27"/>
    <n v="18.688112993310348"/>
    <n v="19.785587720999608"/>
    <n v="20.943676332124227"/>
    <n v="22.16271071236082"/>
    <n v="23.462644566962762"/>
    <n v="24.857800871099332"/>
    <n v="26.392474753055712"/>
    <n v="28.077273586980112"/>
    <n v="29.90496079242655"/>
    <n v="31.871935031605155"/>
    <n v="33.95997061151283"/>
    <n v="36.158782045234389"/>
    <n v="38.464724215985996"/>
  </r>
  <r>
    <x v="20"/>
    <x v="3"/>
    <x v="13"/>
    <x v="26"/>
    <x v="28"/>
    <n v="40.282269001425213"/>
    <n v="42.463027885127936"/>
    <n v="44.725997265796664"/>
    <n v="47.070271429557522"/>
    <n v="49.536400979954024"/>
    <n v="52.160480838621389"/>
    <n v="55.043768791195276"/>
    <n v="58.200471513518337"/>
    <n v="61.610333877363772"/>
    <n v="65.269492011900525"/>
    <n v="69.154292577081861"/>
    <n v="73.249454963135946"/>
    <n v="77.532472714274704"/>
  </r>
  <r>
    <x v="20"/>
    <x v="4"/>
    <x v="14"/>
    <x v="27"/>
    <x v="29"/>
    <n v="138.79691144070054"/>
    <n v="148.55524082067802"/>
    <n v="159.2461508327672"/>
    <n v="170.69908143829218"/>
    <n v="182.75282585417622"/>
    <n v="195.54470066948238"/>
    <n v="209.34540445478146"/>
    <n v="224.60772126420272"/>
    <n v="241.56566816786281"/>
    <n v="260.08967966068195"/>
    <n v="280.07848566920177"/>
    <n v="301.24597809733376"/>
    <n v="323.6425755815236"/>
  </r>
  <r>
    <x v="20"/>
    <x v="4"/>
    <x v="15"/>
    <x v="28"/>
    <x v="30"/>
    <n v="184.83503934965367"/>
    <n v="194.66676646132819"/>
    <n v="205.18219412542371"/>
    <n v="216.45850521113422"/>
    <n v="228.74141394582341"/>
    <n v="241.96516927044183"/>
    <n v="256.52229705697232"/>
    <n v="272.2975103175832"/>
    <n v="289.20725844640629"/>
    <n v="307.34582175477829"/>
    <n v="326.36767422835891"/>
    <n v="346.32907599207988"/>
    <n v="367.22774447655632"/>
  </r>
  <r>
    <x v="20"/>
    <x v="5"/>
    <x v="16"/>
    <x v="29"/>
    <x v="31"/>
    <n v="45.660404213180456"/>
    <n v="49.17150270752105"/>
    <n v="53.020547267525878"/>
    <n v="57.26559558306915"/>
    <n v="61.942383551549"/>
    <n v="67.126759702516239"/>
    <n v="72.856339246599248"/>
    <n v="79.174422368000108"/>
    <n v="86.05880844100119"/>
    <n v="93.544219879509541"/>
    <n v="101.58456205884586"/>
    <n v="110.1462050427638"/>
    <n v="119.28828435092208"/>
  </r>
  <r>
    <x v="20"/>
    <x v="5"/>
    <x v="17"/>
    <x v="30"/>
    <x v="32"/>
    <n v="35.198298730393425"/>
    <n v="37.937135319358688"/>
    <n v="40.947333735449732"/>
    <n v="43.899891324051438"/>
    <n v="46.846627732077351"/>
    <n v="49.618206983139288"/>
    <n v="52.71206670320953"/>
    <n v="56.420059548892198"/>
    <n v="60.976456731272975"/>
    <n v="66.22805871209772"/>
    <n v="71.9091593475911"/>
    <n v="77.874045749514863"/>
    <n v="84.172814074545528"/>
  </r>
  <r>
    <x v="20"/>
    <x v="5"/>
    <x v="18"/>
    <x v="31"/>
    <x v="33"/>
    <n v="51.894975566291343"/>
    <n v="54.66828039126802"/>
    <n v="57.654226978221665"/>
    <n v="60.879689397846171"/>
    <n v="64.313379952833372"/>
    <n v="67.991735324817256"/>
    <n v="71.935320976276401"/>
    <n v="76.160489235454563"/>
    <n v="80.664860634853866"/>
    <n v="85.477470862305509"/>
    <n v="90.560019655495637"/>
    <n v="95.878107448915998"/>
    <n v="101.42825144911023"/>
  </r>
  <r>
    <x v="20"/>
    <x v="5"/>
    <x v="19"/>
    <x v="32"/>
    <x v="34"/>
    <n v="88.976104488831538"/>
    <n v="94.146253633099192"/>
    <n v="99.72507304645535"/>
    <n v="105.77009761622216"/>
    <n v="112.31489275121197"/>
    <n v="119.42729475167873"/>
    <n v="127.16279009864442"/>
    <n v="135.50272015476571"/>
    <n v="144.41174803818944"/>
    <n v="153.86661057552419"/>
    <n v="163.82487046272163"/>
    <n v="174.33238036915748"/>
    <n v="185.35448401111825"/>
  </r>
  <r>
    <x v="20"/>
    <x v="5"/>
    <x v="20"/>
    <x v="33"/>
    <x v="35"/>
    <n v="43.657661033957879"/>
    <n v="46.56601515288537"/>
    <n v="49.731556761262993"/>
    <n v="53.163618539174635"/>
    <n v="56.858295623852598"/>
    <n v="60.849310909732367"/>
    <n v="65.188422339762297"/>
    <n v="69.906622113246897"/>
    <n v="75.017596312611659"/>
    <n v="80.523258917528011"/>
    <n v="86.386515952414598"/>
    <n v="92.605130062684623"/>
    <n v="99.186180182485458"/>
  </r>
  <r>
    <x v="20"/>
    <x v="5"/>
    <x v="21"/>
    <x v="34"/>
    <x v="36"/>
    <n v="21.914525191268126"/>
    <n v="22.736905826533665"/>
    <n v="23.587648672735952"/>
    <n v="24.480151931524773"/>
    <n v="25.441680889656489"/>
    <n v="26.499771904438415"/>
    <n v="27.67321433793515"/>
    <n v="28.950243242665888"/>
    <n v="30.293319877487065"/>
    <n v="31.686097911310782"/>
    <n v="33.111826114300086"/>
    <n v="34.569572019164376"/>
    <n v="36.055254723591979"/>
  </r>
  <r>
    <x v="20"/>
    <x v="5"/>
    <x v="22"/>
    <x v="35"/>
    <x v="37"/>
    <n v="36.329981566431442"/>
    <n v="37.99591425134026"/>
    <n v="39.761958496539293"/>
    <n v="41.698542257538122"/>
    <n v="43.776979298818866"/>
    <n v="45.996790363601924"/>
    <n v="48.339547809326682"/>
    <n v="50.790674918760587"/>
    <n v="53.350136578852926"/>
    <n v="56.109784557184554"/>
    <n v="59.069206306191717"/>
    <n v="62.169613397212444"/>
    <n v="65.385051266306348"/>
  </r>
  <r>
    <x v="20"/>
    <x v="7"/>
    <x v="44"/>
    <x v="57"/>
    <x v="59"/>
    <n v="132.79328193822806"/>
    <n v="141.99754609932307"/>
    <n v="152.09122419904293"/>
    <n v="162.96296032855554"/>
    <n v="174.55585652315983"/>
    <n v="186.80442078514778"/>
    <n v="200.06792697050122"/>
    <n v="214.60474353875873"/>
    <n v="230.6642238175416"/>
    <n v="248.29236760959981"/>
    <n v="267.26121295227699"/>
    <n v="287.41313623158538"/>
    <n v="308.78858248337332"/>
  </r>
  <r>
    <x v="20"/>
    <x v="7"/>
    <x v="45"/>
    <x v="58"/>
    <x v="60"/>
    <n v="33.836298896698736"/>
    <n v="35.452276022283385"/>
    <n v="37.149389718445335"/>
    <n v="38.906964607296004"/>
    <n v="40.742003940594024"/>
    <n v="42.656608306896331"/>
    <n v="44.742022467248617"/>
    <n v="47.022438162711033"/>
    <n v="49.503340589288939"/>
    <n v="52.176017481827991"/>
    <n v="55.001363356785703"/>
    <n v="57.954077256838659"/>
    <n v="61.016215568201041"/>
  </r>
  <r>
    <x v="20"/>
    <x v="7"/>
    <x v="46"/>
    <x v="59"/>
    <x v="61"/>
    <n v="87.590193909098204"/>
    <n v="92.107905709355379"/>
    <n v="97.032448636991944"/>
    <n v="102.34000145836943"/>
    <n v="108.0583873714799"/>
    <n v="114.23247690669083"/>
    <n v="120.97289381627368"/>
    <n v="128.3661379130719"/>
    <n v="136.37804780868416"/>
    <n v="144.9444611948602"/>
    <n v="153.87355398716574"/>
    <n v="163.05788154775547"/>
    <n v="172.56907192728755"/>
  </r>
  <r>
    <x v="20"/>
    <x v="7"/>
    <x v="47"/>
    <x v="60"/>
    <x v="62"/>
    <n v="69.412176046329193"/>
    <n v="73.664279451044393"/>
    <n v="78.155282403710686"/>
    <n v="82.947660255205463"/>
    <n v="88.137991964765874"/>
    <n v="93.816363941189266"/>
    <n v="100.08485825773022"/>
    <n v="106.91191196724427"/>
    <n v="114.22731439875442"/>
    <n v="122.02265512917228"/>
    <n v="130.31002960133222"/>
    <n v="139.14995905323411"/>
    <n v="148.49645007921799"/>
  </r>
  <r>
    <x v="21"/>
    <x v="0"/>
    <x v="0"/>
    <x v="0"/>
    <x v="0"/>
    <n v="11.719323406492601"/>
    <n v="12.90116441874069"/>
    <n v="14.224994814459608"/>
    <n v="15.690601583215498"/>
    <n v="17.281029795792826"/>
    <n v="19.023463896828744"/>
    <n v="20.943449760764473"/>
    <n v="23.087384325831405"/>
    <n v="25.485905677371715"/>
    <n v="28.16382126879525"/>
    <n v="31.112016627948069"/>
    <n v="34.31962397499742"/>
    <n v="37.830492393925638"/>
  </r>
  <r>
    <x v="21"/>
    <x v="0"/>
    <x v="1"/>
    <x v="1"/>
    <x v="1"/>
    <n v="42.647033104128987"/>
    <n v="45.650171724800863"/>
    <n v="48.912610747641196"/>
    <n v="52.477496378083501"/>
    <n v="56.381541656980637"/>
    <n v="60.665969023644557"/>
    <n v="65.368412952558501"/>
    <n v="70.480962975386191"/>
    <n v="75.992197613823961"/>
    <n v="81.899461123559206"/>
    <n v="88.198066988266703"/>
    <n v="94.93382800173832"/>
    <n v="102.09192013148133"/>
  </r>
  <r>
    <x v="21"/>
    <x v="0"/>
    <x v="2"/>
    <x v="2"/>
    <x v="2"/>
    <n v="78.426925427606491"/>
    <n v="83.446209955781512"/>
    <n v="88.95361863694211"/>
    <n v="94.794862367256542"/>
    <n v="100.89328507038637"/>
    <n v="107.11498786467449"/>
    <n v="113.75606425717827"/>
    <n v="121.03639623754114"/>
    <n v="129.18612052634592"/>
    <n v="138.22908521724537"/>
    <n v="147.95112933606222"/>
    <n v="158.15968425484965"/>
    <n v="168.86616995796635"/>
  </r>
  <r>
    <x v="21"/>
    <x v="1"/>
    <x v="3"/>
    <x v="3"/>
    <x v="3"/>
    <n v="4.6027343633436084"/>
    <n v="5.0723268239550716"/>
    <n v="5.5987959082996541"/>
    <n v="6.1822439837285135"/>
    <n v="6.8161775290573461"/>
    <n v="7.5114853741557583"/>
    <n v="8.2784562621215851"/>
    <n v="9.135665223774696"/>
    <n v="10.095531324781112"/>
    <n v="11.168217336639851"/>
    <n v="12.350478181501979"/>
    <n v="13.638359328055612"/>
    <n v="15.049633898987935"/>
  </r>
  <r>
    <x v="21"/>
    <x v="1"/>
    <x v="3"/>
    <x v="3"/>
    <x v="4"/>
    <n v="11.444440391361184"/>
    <n v="12.275279732183462"/>
    <n v="13.179295863582098"/>
    <n v="14.16855916450689"/>
    <n v="15.253499983944545"/>
    <n v="16.445851839873583"/>
    <n v="17.756469073084574"/>
    <n v="19.18392041413432"/>
    <n v="20.725805543298645"/>
    <n v="22.382093882269643"/>
    <n v="24.152198188700279"/>
    <n v="26.04935381453928"/>
    <n v="28.070263496062804"/>
  </r>
  <r>
    <x v="21"/>
    <x v="1"/>
    <x v="3"/>
    <x v="3"/>
    <x v="5"/>
    <n v="10.315969380923498"/>
    <n v="11.274546981637553"/>
    <n v="12.48000830698069"/>
    <n v="13.690899126307752"/>
    <n v="14.774525346767547"/>
    <n v="15.487428151018062"/>
    <n v="16.064868894201275"/>
    <n v="16.698734627780183"/>
    <n v="17.68841747668381"/>
    <n v="18.996253407347062"/>
    <n v="20.423107141004756"/>
    <n v="21.854984322888619"/>
    <n v="23.287793172122861"/>
  </r>
  <r>
    <x v="21"/>
    <x v="1"/>
    <x v="3"/>
    <x v="4"/>
    <x v="6"/>
    <n v="23.935682993602505"/>
    <n v="25.495137122096846"/>
    <n v="27.160866560630375"/>
    <n v="29.009707213359864"/>
    <n v="31.041966188939607"/>
    <n v="33.255445454939604"/>
    <n v="35.633458363689172"/>
    <n v="38.151820830877469"/>
    <n v="40.810982190567202"/>
    <n v="43.709235155490838"/>
    <n v="46.874986714852035"/>
    <n v="50.275352174368862"/>
    <n v="53.881147466603977"/>
  </r>
  <r>
    <x v="21"/>
    <x v="1"/>
    <x v="3"/>
    <x v="5"/>
    <x v="7"/>
    <n v="15.913995517308253"/>
    <n v="16.78172390968971"/>
    <n v="17.724735702360412"/>
    <n v="18.750279179506332"/>
    <n v="19.87266059759218"/>
    <n v="21.115220912789013"/>
    <n v="22.484742549278419"/>
    <n v="23.988060092363902"/>
    <n v="25.599884641113903"/>
    <n v="27.302945579416612"/>
    <n v="29.064698658963117"/>
    <n v="30.872313194844356"/>
    <n v="32.743938442384305"/>
  </r>
  <r>
    <x v="21"/>
    <x v="1"/>
    <x v="3"/>
    <x v="6"/>
    <x v="8"/>
    <n v="9.6897146400196288"/>
    <n v="10.219436774757003"/>
    <n v="10.796183434835175"/>
    <n v="11.409983047731238"/>
    <n v="12.039641091971903"/>
    <n v="12.697635122793567"/>
    <n v="13.392833776698804"/>
    <n v="14.145387598901836"/>
    <n v="14.961743782914471"/>
    <n v="15.842951180481132"/>
    <n v="16.769815010184374"/>
    <n v="17.724380756011911"/>
    <n v="18.719111111122857"/>
  </r>
  <r>
    <x v="21"/>
    <x v="1"/>
    <x v="3"/>
    <x v="7"/>
    <x v="9"/>
    <n v="16.887443621050735"/>
    <n v="18.154741992019343"/>
    <n v="19.547401184020032"/>
    <n v="21.079470949928108"/>
    <n v="22.773778933007094"/>
    <n v="24.66500065498181"/>
    <n v="26.770828331670664"/>
    <n v="29.109987248892711"/>
    <n v="31.663238555268247"/>
    <n v="34.41932796445554"/>
    <n v="37.346479283102255"/>
    <n v="40.435424962489911"/>
    <n v="43.716453385442655"/>
  </r>
  <r>
    <x v="21"/>
    <x v="1"/>
    <x v="3"/>
    <x v="8"/>
    <x v="10"/>
    <n v="19.008499512286765"/>
    <n v="19.888113006097281"/>
    <n v="20.733309568164564"/>
    <n v="21.578108851962433"/>
    <n v="22.483667099465602"/>
    <n v="23.503965519383094"/>
    <n v="24.672665359134509"/>
    <n v="25.953389732362673"/>
    <n v="27.28217088175618"/>
    <n v="28.65158202493679"/>
    <n v="30.087048746810954"/>
    <n v="31.616177098259879"/>
    <n v="33.211864060788777"/>
  </r>
  <r>
    <x v="21"/>
    <x v="1"/>
    <x v="4"/>
    <x v="9"/>
    <x v="11"/>
    <n v="2.8117394552965354"/>
    <n v="3.1083684665035061"/>
    <n v="3.4401762966180693"/>
    <n v="3.8048233591420519"/>
    <n v="4.2005121313733165"/>
    <n v="4.6352509427539639"/>
    <n v="5.1173013775304428"/>
    <n v="5.6648353327291217"/>
    <n v="6.2893642857587757"/>
    <n v="6.9874624686889408"/>
    <n v="7.7682877877881022"/>
    <n v="8.6285994099725354"/>
    <n v="9.5712447380654631"/>
  </r>
  <r>
    <x v="21"/>
    <x v="1"/>
    <x v="4"/>
    <x v="10"/>
    <x v="12"/>
    <n v="2.1147484944195258"/>
    <n v="2.3640641687736208"/>
    <n v="2.6475007364407022"/>
    <n v="2.9640370827496705"/>
    <n v="3.3144666036617587"/>
    <n v="3.6974878144331913"/>
    <n v="4.1260036198281913"/>
    <n v="4.6124337450082837"/>
    <n v="5.1715857310388733"/>
    <n v="5.8123129884032316"/>
    <n v="6.5343597994157685"/>
    <n v="7.3373919150947629"/>
    <n v="8.2295337774440949"/>
  </r>
  <r>
    <x v="21"/>
    <x v="1"/>
    <x v="4"/>
    <x v="11"/>
    <x v="13"/>
    <n v="2.0556664995399703"/>
    <n v="2.21854035225061"/>
    <n v="2.3970921448187212"/>
    <n v="2.5882162615108824"/>
    <n v="2.7894025872400943"/>
    <n v="3.0048327571335505"/>
    <n v="3.2384033713161453"/>
    <n v="3.4998450253107376"/>
    <n v="3.793767792265045"/>
    <n v="4.1152200045915022"/>
    <n v="4.4669958089094761"/>
    <n v="4.8443749943037346"/>
    <n v="5.2463692342174122"/>
  </r>
  <r>
    <x v="21"/>
    <x v="1"/>
    <x v="4"/>
    <x v="12"/>
    <x v="14"/>
    <n v="2.3788951445839999"/>
    <n v="2.5800987975682639"/>
    <n v="2.8010229371975912"/>
    <n v="3.0448320944092919"/>
    <n v="3.3144666036617587"/>
    <n v="3.6132659074171096"/>
    <n v="3.9445079099778764"/>
    <n v="4.3088679065740836"/>
    <n v="4.7068125574331985"/>
    <n v="5.1393464160775819"/>
    <n v="5.6073697792405799"/>
    <n v="6.115010541602059"/>
    <n v="6.6626770415425245"/>
  </r>
  <r>
    <x v="21"/>
    <x v="1"/>
    <x v="4"/>
    <x v="13"/>
    <x v="15"/>
    <n v="1.9369187459691932"/>
    <n v="2.1182097656199002"/>
    <n v="2.3186882734006553"/>
    <n v="2.5414259294732733"/>
    <n v="2.7894025872400943"/>
    <n v="3.0660250381519245"/>
    <n v="3.3747519174710505"/>
    <n v="3.7169196854201361"/>
    <n v="4.0937180641273931"/>
    <n v="4.5068327761337317"/>
    <n v="4.9579024391845206"/>
    <n v="5.4514617210463614"/>
    <n v="5.9888669875616882"/>
  </r>
  <r>
    <x v="21"/>
    <x v="1"/>
    <x v="5"/>
    <x v="14"/>
    <x v="16"/>
    <n v="2.7794361611669038"/>
    <n v="3.009439398990871"/>
    <n v="3.2637957472662307"/>
    <n v="3.5410116344054106"/>
    <n v="3.8358649470964359"/>
    <n v="4.1532273838922702"/>
    <n v="4.4972537900907747"/>
    <n v="4.8762555711992448"/>
    <n v="5.2946143713515195"/>
    <n v="5.7551433019105112"/>
    <n v="6.253460990034311"/>
    <n v="6.7850359828988296"/>
    <n v="7.3563727496074947"/>
  </r>
  <r>
    <x v="21"/>
    <x v="1"/>
    <x v="5"/>
    <x v="15"/>
    <x v="17"/>
    <n v="2.6787947669467735"/>
    <n v="2.8600738534202206"/>
    <n v="3.0586763334752352"/>
    <n v="3.2723455976660261"/>
    <n v="3.4954810268762757"/>
    <n v="3.7319701811962935"/>
    <n v="3.9848247186097079"/>
    <n v="4.2605513563587962"/>
    <n v="4.5618371607742736"/>
    <n v="4.8898367141995962"/>
    <n v="5.2394923956835822"/>
    <n v="5.6058641555665387"/>
    <n v="5.9933725214173315"/>
  </r>
  <r>
    <x v="21"/>
    <x v="1"/>
    <x v="5"/>
    <x v="16"/>
    <x v="18"/>
    <n v="1.5547908959553229"/>
    <n v="1.7133993127895786"/>
    <n v="1.8817159985617946"/>
    <n v="2.0632713838100956"/>
    <n v="2.2648622383879986"/>
    <n v="2.4938794256772336"/>
    <n v="2.7568876179779798"/>
    <n v="3.0536571637596821"/>
    <n v="3.3802051984204411"/>
    <n v="3.7382781592729772"/>
    <n v="4.1339327995491102"/>
    <n v="4.5744505809488629"/>
    <n v="5.0602962923056927"/>
  </r>
  <r>
    <x v="21"/>
    <x v="1"/>
    <x v="5"/>
    <x v="17"/>
    <x v="19"/>
    <n v="1.2437168597127166"/>
    <n v="1.3171268385772825"/>
    <n v="1.3971981686850101"/>
    <n v="1.482720058139088"/>
    <n v="1.5710027087084384"/>
    <n v="1.6637051758626633"/>
    <n v="1.7620408344108318"/>
    <n v="1.8687270465453181"/>
    <n v="1.9847152024494441"/>
    <n v="2.1102554787402692"/>
    <n v="2.2429048830410503"/>
    <n v="2.3803452421206823"/>
    <n v="2.5243045338751098"/>
  </r>
  <r>
    <x v="21"/>
    <x v="1"/>
    <x v="5"/>
    <x v="18"/>
    <x v="20"/>
    <n v="1.4400944947409522"/>
    <n v="1.546918802392963"/>
    <n v="1.6647610337059209"/>
    <n v="1.7910254102186263"/>
    <n v="1.9244783181678369"/>
    <n v="2.0627431286950828"/>
    <n v="2.2116292034092049"/>
    <n v="2.3756849367655457"/>
    <n v="2.5598290575390759"/>
    <n v="2.7650727705439775"/>
    <n v="2.9876943443107566"/>
    <n v="3.2242560365725961"/>
    <n v="3.475339573820353"/>
  </r>
  <r>
    <x v="21"/>
    <x v="2"/>
    <x v="6"/>
    <x v="19"/>
    <x v="21"/>
    <n v="54.366356510621586"/>
    <n v="58.551336143541555"/>
    <n v="63.137605562100802"/>
    <n v="68.168097961298997"/>
    <n v="73.662571452773463"/>
    <n v="79.689432920473308"/>
    <n v="86.311862713322967"/>
    <n v="93.568347301217599"/>
    <n v="101.47810329119568"/>
    <n v="110.06328239235445"/>
    <n v="119.31008361621477"/>
    <n v="129.25345197673573"/>
    <n v="139.92241252540697"/>
  </r>
  <r>
    <x v="21"/>
    <x v="2"/>
    <x v="7"/>
    <x v="20"/>
    <x v="22"/>
    <n v="78.426925427606491"/>
    <n v="83.446209955781512"/>
    <n v="88.95361863694211"/>
    <n v="94.794862367256542"/>
    <n v="100.89328507038637"/>
    <n v="107.11498786467449"/>
    <n v="113.75606425717827"/>
    <n v="121.03639623754114"/>
    <n v="129.18612052634592"/>
    <n v="138.22908521724537"/>
    <n v="147.95112933606222"/>
    <n v="158.15968425484965"/>
    <n v="168.86616995796635"/>
  </r>
  <r>
    <x v="21"/>
    <x v="3"/>
    <x v="8"/>
    <x v="21"/>
    <x v="23"/>
    <n v="7.7276256989017069"/>
    <n v="8.1095878605279168"/>
    <n v="8.479798393199351"/>
    <n v="8.8520563366799951"/>
    <n v="9.2514603957274701"/>
    <n v="9.7004608843485229"/>
    <n v="10.213391287879805"/>
    <n v="10.775761323982252"/>
    <n v="11.3614470618931"/>
    <n v="11.967554750937863"/>
    <n v="12.604877032174235"/>
    <n v="13.285248810781491"/>
    <n v="13.997656707197581"/>
  </r>
  <r>
    <x v="21"/>
    <x v="3"/>
    <x v="9"/>
    <x v="22"/>
    <x v="24"/>
    <n v="25.857648223730038"/>
    <n v="27.306071717924734"/>
    <n v="28.883899381249222"/>
    <n v="30.564947385679311"/>
    <n v="32.292833456784571"/>
    <n v="34.101202508581366"/>
    <n v="36.014178794883193"/>
    <n v="38.086347126926739"/>
    <n v="40.335674042302294"/>
    <n v="42.765662806133648"/>
    <n v="45.325188467132875"/>
    <n v="47.966216889591379"/>
    <n v="50.722784363010355"/>
  </r>
  <r>
    <x v="21"/>
    <x v="3"/>
    <x v="10"/>
    <x v="23"/>
    <x v="25"/>
    <n v="46.606283377386063"/>
    <n v="50.28223646516129"/>
    <n v="54.355521434531923"/>
    <n v="58.825162374719994"/>
    <n v="63.712887630953347"/>
    <n v="68.984915869753095"/>
    <n v="74.754875710561166"/>
    <n v="81.081798212492942"/>
    <n v="88.052898870236163"/>
    <n v="95.684300398100902"/>
    <n v="103.9269485409082"/>
    <n v="112.7860578180684"/>
    <n v="122.2626230121011"/>
  </r>
  <r>
    <x v="21"/>
    <x v="3"/>
    <x v="11"/>
    <x v="24"/>
    <x v="26"/>
    <n v="28.996904057101439"/>
    <n v="31.183152774733784"/>
    <n v="33.596602065944239"/>
    <n v="36.185643656277058"/>
    <n v="38.925956004664641"/>
    <n v="41.769987655136141"/>
    <n v="44.835734988799658"/>
    <n v="48.216167187021213"/>
    <n v="52.0121907916363"/>
    <n v="56.245771735823602"/>
    <n v="60.842697553464561"/>
    <n v="65.73420316185323"/>
    <n v="70.933159498299332"/>
  </r>
  <r>
    <x v="21"/>
    <x v="3"/>
    <x v="12"/>
    <x v="25"/>
    <x v="27"/>
    <n v="7.4806113911554757"/>
    <n v="7.9905593688241714"/>
    <n v="8.5512512575118862"/>
    <n v="9.1484360816288284"/>
    <n v="9.7751279652969512"/>
    <n v="10.418682879979151"/>
    <n v="11.108079743322246"/>
    <n v="11.865309668083093"/>
    <n v="12.713710452458063"/>
    <n v="13.656677347602958"/>
    <n v="14.674135654943688"/>
    <n v="15.747831762517148"/>
    <n v="16.879532949177424"/>
  </r>
  <r>
    <x v="21"/>
    <x v="3"/>
    <x v="13"/>
    <x v="26"/>
    <x v="28"/>
    <n v="16.124209189953341"/>
    <n v="17.125937912151183"/>
    <n v="18.224151666606286"/>
    <n v="19.386714493570356"/>
    <n v="20.597591069732861"/>
    <n v="21.82917098734951"/>
    <n v="23.141666445055147"/>
    <n v="24.579360020252484"/>
    <n v="26.188302599015671"/>
    <n v="27.972400571000836"/>
    <n v="29.887365703653444"/>
    <n v="31.893577788773733"/>
    <n v="33.99282595358752"/>
  </r>
  <r>
    <x v="21"/>
    <x v="4"/>
    <x v="14"/>
    <x v="27"/>
    <x v="29"/>
    <n v="58.592342701774911"/>
    <n v="63.148611909508546"/>
    <n v="68.138122378992449"/>
    <n v="73.47076143333544"/>
    <n v="79.073803004991404"/>
    <n v="85.064607926853711"/>
    <n v="91.551821686346912"/>
    <n v="98.808420074848812"/>
    <n v="106.96131974869807"/>
    <n v="115.86715406410534"/>
    <n v="125.60140806288352"/>
    <n v="136.02785670355016"/>
    <n v="147.11578595204764"/>
  </r>
  <r>
    <x v="21"/>
    <x v="4"/>
    <x v="15"/>
    <x v="28"/>
    <x v="30"/>
    <n v="74.200939236453152"/>
    <n v="78.848934189814528"/>
    <n v="83.953101820050477"/>
    <n v="89.492198895220099"/>
    <n v="95.482053518168428"/>
    <n v="101.73981285829407"/>
    <n v="108.51610528415431"/>
    <n v="115.79632346390991"/>
    <n v="123.70290406884352"/>
    <n v="132.42521354549447"/>
    <n v="141.65980488939346"/>
    <n v="151.38527952803523"/>
    <n v="161.67279653132567"/>
  </r>
  <r>
    <x v="21"/>
    <x v="5"/>
    <x v="16"/>
    <x v="29"/>
    <x v="31"/>
    <n v="21.231607861372748"/>
    <n v="22.962156682028454"/>
    <n v="24.872029575676613"/>
    <n v="26.982209156559993"/>
    <n v="29.325383895890855"/>
    <n v="31.950244400581838"/>
    <n v="34.884601851470549"/>
    <n v="38.158224211372961"/>
    <n v="41.75176751774611"/>
    <n v="45.655897550893734"/>
    <n v="49.833783718321165"/>
    <n v="54.277701640464819"/>
    <n v="59.032793977586806"/>
  </r>
  <r>
    <x v="21"/>
    <x v="5"/>
    <x v="17"/>
    <x v="30"/>
    <x v="32"/>
    <n v="13.612063680021151"/>
    <n v="15.133942512599688"/>
    <n v="16.895618234282409"/>
    <n v="18.649741844920896"/>
    <n v="20.248479356686545"/>
    <n v="21.509769055109047"/>
    <n v="22.722178640430826"/>
    <n v="24.153153334995011"/>
    <n v="26.117610059402409"/>
    <n v="28.642128207458853"/>
    <n v="31.558613791430076"/>
    <n v="34.680065834382845"/>
    <n v="38.047152765302428"/>
  </r>
  <r>
    <x v="21"/>
    <x v="5"/>
    <x v="18"/>
    <x v="31"/>
    <x v="33"/>
    <n v="22.357048124704335"/>
    <n v="23.667714938825128"/>
    <n v="25.080013456792887"/>
    <n v="26.612116589365634"/>
    <n v="28.278048756751893"/>
    <n v="30.093379354131962"/>
    <n v="32.071103041911648"/>
    <n v="34.201175275092474"/>
    <n v="36.472150880250318"/>
    <n v="38.877160610327259"/>
    <n v="41.408546558037635"/>
    <n v="44.082574016755423"/>
    <n v="46.886521797632845"/>
  </r>
  <r>
    <x v="21"/>
    <x v="5"/>
    <x v="19"/>
    <x v="32"/>
    <x v="34"/>
    <n v="32.446860570864118"/>
    <n v="34.562506653733465"/>
    <n v="36.852308424329898"/>
    <n v="39.346019364641805"/>
    <n v="42.067961422081517"/>
    <n v="45.045314769117148"/>
    <n v="48.302030310223074"/>
    <n v="51.827898411598376"/>
    <n v="55.610277938616051"/>
    <n v="59.643139780735098"/>
    <n v="63.919046487437861"/>
    <n v="68.467257052981708"/>
    <n v="73.272686754703955"/>
  </r>
  <r>
    <x v="21"/>
    <x v="5"/>
    <x v="20"/>
    <x v="33"/>
    <x v="35"/>
    <n v="19.326073601156612"/>
    <n v="20.709186297443384"/>
    <n v="22.212979814793595"/>
    <n v="23.857439392703895"/>
    <n v="25.659710908904493"/>
    <n v="27.639065448395186"/>
    <n v="29.813221325170815"/>
    <n v="32.179199843766959"/>
    <n v="34.732406198724483"/>
    <n v="37.472232198087021"/>
    <n v="40.397137805848928"/>
    <n v="43.528706418418018"/>
    <n v="46.860810559428629"/>
  </r>
  <r>
    <x v="21"/>
    <x v="5"/>
    <x v="21"/>
    <x v="34"/>
    <x v="36"/>
    <n v="8.962623932602181"/>
    <n v="9.3339886405380756"/>
    <n v="9.7362974259762449"/>
    <n v="10.172173480477888"/>
    <n v="10.64790724791275"/>
    <n v="11.174284624380229"/>
    <n v="11.752756702411148"/>
    <n v="12.384680724988558"/>
    <n v="13.054710362113784"/>
    <n v="13.752286458369214"/>
    <n v="14.459632834735604"/>
    <n v="15.169622301253421"/>
    <n v="15.890686315055243"/>
  </r>
  <r>
    <x v="21"/>
    <x v="5"/>
    <x v="22"/>
    <x v="35"/>
    <x v="37"/>
    <n v="14.857004167506922"/>
    <n v="15.628050374154883"/>
    <n v="16.441977267191287"/>
    <n v="17.343260499885428"/>
    <n v="18.328364934931781"/>
    <n v="19.39236313343239"/>
    <n v="20.522035098883158"/>
    <n v="21.7004117369444"/>
    <n v="22.925300860688463"/>
    <n v="24.24952280372861"/>
    <n v="25.684451756465734"/>
    <n v="27.207208967329152"/>
    <n v="28.797930313663421"/>
  </r>
  <r>
    <x v="22"/>
    <x v="0"/>
    <x v="0"/>
    <x v="0"/>
    <x v="0"/>
    <n v="2.9750369282540974"/>
    <n v="3.1965447832546441"/>
    <n v="3.4378938770326752"/>
    <n v="3.7023359292606215"/>
    <n v="3.9927163861782144"/>
    <n v="4.3122412058114952"/>
    <n v="4.6639076488277427"/>
    <n v="5.0475063798187012"/>
    <n v="5.4625713502254181"/>
    <n v="5.9092576322313217"/>
    <n v="6.3875741762463152"/>
    <n v="6.9011854651312499"/>
    <n v="7.4494010826537487"/>
  </r>
  <r>
    <x v="22"/>
    <x v="0"/>
    <x v="1"/>
    <x v="1"/>
    <x v="1"/>
    <n v="10.99936677549352"/>
    <n v="11.558910716102178"/>
    <n v="12.103258976349776"/>
    <n v="12.652042595250112"/>
    <n v="13.24115128069306"/>
    <n v="13.902882460315308"/>
    <n v="14.65807772697223"/>
    <n v="15.486324313320956"/>
    <n v="16.350377032866433"/>
    <n v="17.246217040933814"/>
    <n v="18.189526423978378"/>
    <n v="19.197577016387548"/>
    <n v="20.254718438457331"/>
  </r>
  <r>
    <x v="22"/>
    <x v="0"/>
    <x v="2"/>
    <x v="2"/>
    <x v="2"/>
    <n v="19.861895192951117"/>
    <n v="20.696820522926565"/>
    <n v="21.608236865062885"/>
    <n v="22.552586082785275"/>
    <n v="23.508136273722751"/>
    <n v="24.441484640769524"/>
    <n v="25.420037091448645"/>
    <n v="26.488607469571377"/>
    <n v="27.690392206197085"/>
    <n v="29.020542808662853"/>
    <n v="30.424262756561014"/>
    <n v="31.855314775319865"/>
    <n v="33.312096047089959"/>
  </r>
  <r>
    <x v="22"/>
    <x v="1"/>
    <x v="3"/>
    <x v="3"/>
    <x v="3"/>
    <n v="1.1338049362210987"/>
    <n v="1.2246808073445834"/>
    <n v="1.3250054220590151"/>
    <n v="1.4341012425734818"/>
    <n v="1.549786717576414"/>
    <n v="1.673978936472226"/>
    <n v="1.8082872705650108"/>
    <n v="1.9559764682375951"/>
    <n v="2.1187030919462453"/>
    <n v="2.2974795030670223"/>
    <n v="2.4904355558103703"/>
    <n v="2.6956584158783103"/>
    <n v="2.915637331666558"/>
  </r>
  <r>
    <x v="22"/>
    <x v="1"/>
    <x v="3"/>
    <x v="3"/>
    <x v="4"/>
    <n v="2.8740078032597389"/>
    <n v="3.0300815085339714"/>
    <n v="3.2006909980293616"/>
    <n v="3.3798398000692442"/>
    <n v="3.5645094504257515"/>
    <n v="3.7497638298791913"/>
    <n v="3.945896155330185"/>
    <n v="4.1601790229310396"/>
    <n v="4.3999658381167457"/>
    <n v="4.6653068672840723"/>
    <n v="4.9482044551949169"/>
    <n v="5.2416589454374005"/>
    <n v="5.5456746033790356"/>
  </r>
  <r>
    <x v="22"/>
    <x v="1"/>
    <x v="3"/>
    <x v="3"/>
    <x v="5"/>
    <n v="2.8856903936761809"/>
    <n v="3.0933787183306372"/>
    <n v="3.2748609407890505"/>
    <n v="3.4022590526963281"/>
    <n v="3.4956300407556897"/>
    <n v="3.5408202905020119"/>
    <n v="3.6075033855614151"/>
    <n v="3.7052512047982367"/>
    <n v="3.8427215880614183"/>
    <n v="4.015403769244033"/>
    <n v="4.2002947279697871"/>
    <n v="4.394808572877035"/>
    <n v="4.592388348629548"/>
  </r>
  <r>
    <x v="22"/>
    <x v="1"/>
    <x v="3"/>
    <x v="4"/>
    <x v="6"/>
    <n v="6.1208556741381068"/>
    <n v="6.3823643747531902"/>
    <n v="6.6617321135330272"/>
    <n v="6.9627657420127687"/>
    <n v="7.2879296648934595"/>
    <n v="7.6399048550300579"/>
    <n v="8.0205206702158787"/>
    <n v="8.4256938218374344"/>
    <n v="8.8511947030384537"/>
    <n v="9.2941162128641839"/>
    <n v="9.7515010625538956"/>
    <n v="10.226170854963662"/>
    <n v="10.71402669224441"/>
  </r>
  <r>
    <x v="22"/>
    <x v="1"/>
    <x v="3"/>
    <x v="5"/>
    <x v="7"/>
    <n v="4.0017806554870505"/>
    <n v="4.1459872167454765"/>
    <n v="4.2997337629357339"/>
    <n v="4.4652730152535112"/>
    <n v="4.6439365771646699"/>
    <n v="4.8371569723646699"/>
    <n v="5.0457875996543029"/>
    <n v="5.2669366779922786"/>
    <n v="5.4976905966377263"/>
    <n v="5.7360279375614445"/>
    <n v="5.9799450332416688"/>
    <n v="6.2310308428305836"/>
    <n v="6.4866152145159335"/>
  </r>
  <r>
    <x v="22"/>
    <x v="1"/>
    <x v="3"/>
    <x v="6"/>
    <x v="8"/>
    <n v="2.5235038447783933"/>
    <n v="2.5865538893763032"/>
    <n v="2.6554901700088758"/>
    <n v="2.730689542587732"/>
    <n v="2.8134798241216612"/>
    <n v="2.9062827917485148"/>
    <n v="3.0089282028473563"/>
    <n v="3.1212167474410881"/>
    <n v="3.2387361323491914"/>
    <n v="3.35852117456239"/>
    <n v="3.4760194385022256"/>
    <n v="3.5895176811995344"/>
    <n v="3.7010932383950705"/>
  </r>
  <r>
    <x v="22"/>
    <x v="1"/>
    <x v="3"/>
    <x v="7"/>
    <x v="9"/>
    <n v="4.2027313722162694"/>
    <n v="4.4427389485785449"/>
    <n v="4.6972672431134406"/>
    <n v="4.9792239291207601"/>
    <n v="5.2879861754575801"/>
    <n v="5.6225131433614353"/>
    <n v="5.9793354963024177"/>
    <n v="6.3538198707477296"/>
    <n v="6.7455654583253128"/>
    <n v="7.1703483165149686"/>
    <n v="7.6319982114922764"/>
    <n v="8.1242378161277156"/>
    <n v="8.6415616889509757"/>
  </r>
  <r>
    <x v="22"/>
    <x v="1"/>
    <x v="3"/>
    <x v="8"/>
    <x v="10"/>
    <n v="4.7566025828978358"/>
    <n v="4.8760790178587508"/>
    <n v="5.0046515629782036"/>
    <n v="5.1328608227625612"/>
    <n v="5.2540888281790057"/>
    <n v="5.3755529545397662"/>
    <n v="5.5025128673820154"/>
    <n v="5.6489788604843989"/>
    <n v="5.8177026694985763"/>
    <n v="5.9958292014804817"/>
    <n v="6.1839064869381364"/>
    <n v="6.3716994778084697"/>
    <n v="6.5556378206127643"/>
  </r>
  <r>
    <x v="22"/>
    <x v="1"/>
    <x v="4"/>
    <x v="9"/>
    <x v="11"/>
    <n v="0.7128200621233598"/>
    <n v="0.77019596317824468"/>
    <n v="0.83299700410925603"/>
    <n v="0.90209886083874424"/>
    <n v="0.97829699862154418"/>
    <n v="1.0624920278853986"/>
    <n v="1.1555521569164655"/>
    <n v="1.2575692471141007"/>
    <n v="1.3685718831820033"/>
    <n v="1.4887435656460573"/>
    <n v="1.6182337635814468"/>
    <n v="1.7581200455889825"/>
    <n v="1.908393274967926"/>
  </r>
  <r>
    <x v="22"/>
    <x v="1"/>
    <x v="4"/>
    <x v="10"/>
    <x v="12"/>
    <n v="0.51102421297157075"/>
    <n v="0.55854615029559718"/>
    <n v="0.61058971692293218"/>
    <n v="0.66915240063140069"/>
    <n v="0.73465981505679145"/>
    <n v="0.80749963602445651"/>
    <n v="0.8877240256254596"/>
    <n v="0.97517882923945909"/>
    <n v="1.0702988655635224"/>
    <n v="1.1761066379148208"/>
    <n v="1.2940338874131283"/>
    <n v="1.4239326455339165"/>
    <n v="1.5657030753663608"/>
  </r>
  <r>
    <x v="22"/>
    <x v="1"/>
    <x v="4"/>
    <x v="11"/>
    <x v="13"/>
    <n v="0.52962069486987229"/>
    <n v="0.55654848661919998"/>
    <n v="0.58577296347536756"/>
    <n v="0.61750831196564293"/>
    <n v="0.65219799908102905"/>
    <n v="0.69057563906978447"/>
    <n v="0.73282289846557869"/>
    <n v="0.77912035895605491"/>
    <n v="0.82860245509677488"/>
    <n v="0.88067476782442333"/>
    <n v="0.93425813955941872"/>
    <n v="0.98892177773432066"/>
    <n v="1.0452331007068698"/>
  </r>
  <r>
    <x v="22"/>
    <x v="1"/>
    <x v="4"/>
    <x v="12"/>
    <x v="14"/>
    <n v="0.5752193704367552"/>
    <n v="0.61267779591725724"/>
    <n v="0.65026133378677731"/>
    <n v="0.68901137556842362"/>
    <n v="0.73091155069425684"/>
    <n v="0.77785437054712692"/>
    <n v="0.83119107824140626"/>
    <n v="0.89000128138482126"/>
    <n v="0.95234075236519666"/>
    <n v="1.0180902231359792"/>
    <n v="1.0882837578817619"/>
    <n v="1.1641033680370354"/>
    <n v="1.24479445305544"/>
  </r>
  <r>
    <x v="22"/>
    <x v="1"/>
    <x v="4"/>
    <x v="13"/>
    <x v="15"/>
    <n v="0.48851524083361553"/>
    <n v="0.52508352429902472"/>
    <n v="0.56504551659364244"/>
    <n v="0.6076250710400305"/>
    <n v="0.65219799908102905"/>
    <n v="0.6997145186090028"/>
    <n v="0.75104275763939377"/>
    <n v="0.80838935783682431"/>
    <n v="0.87274197887859362"/>
    <n v="0.94287200938965665"/>
    <n v="1.0193445607154892"/>
    <n v="1.1010001481304124"/>
    <n v="1.187545335568376"/>
  </r>
  <r>
    <x v="22"/>
    <x v="1"/>
    <x v="5"/>
    <x v="14"/>
    <x v="16"/>
    <n v="0.74787132356277419"/>
    <n v="0.79008962925090387"/>
    <n v="0.83551892596806621"/>
    <n v="0.88474400978370893"/>
    <n v="0.938206866743999"/>
    <n v="0.99639701312184847"/>
    <n v="1.0597145901973868"/>
    <n v="1.1277950569461681"/>
    <n v="1.2002304990636119"/>
    <n v="1.2767667530912632"/>
    <n v="1.3571256756795547"/>
    <n v="1.4418153083490355"/>
    <n v="1.5303913423022018"/>
  </r>
  <r>
    <x v="22"/>
    <x v="1"/>
    <x v="5"/>
    <x v="15"/>
    <x v="17"/>
    <n v="0.6945869023458987"/>
    <n v="0.72097322074295811"/>
    <n v="0.7495635379775486"/>
    <n v="0.78053688172919777"/>
    <n v="0.8143511747645934"/>
    <n v="0.85180196828764143"/>
    <n v="0.89296260576260633"/>
    <n v="0.93789812614163537"/>
    <n v="0.98540751724618159"/>
    <n v="1.0346665663943666"/>
    <n v="1.0843186686616602"/>
    <n v="1.1338234242208001"/>
    <n v="1.1838104163176537"/>
  </r>
  <r>
    <x v="22"/>
    <x v="1"/>
    <x v="5"/>
    <x v="16"/>
    <x v="18"/>
    <n v="0.38976992110322839"/>
    <n v="0.42006447886445458"/>
    <n v="0.45315372463246845"/>
    <n v="0.48949143846589543"/>
    <n v="0.52948308321196003"/>
    <n v="0.57358671278703099"/>
    <n v="0.62223801908380449"/>
    <n v="0.67544998724452077"/>
    <n v="0.73320122916309638"/>
    <n v="0.79555330175862804"/>
    <n v="0.86254867630384002"/>
    <n v="0.93472380588455528"/>
    <n v="1.0120316333304009"/>
  </r>
  <r>
    <x v="22"/>
    <x v="1"/>
    <x v="5"/>
    <x v="17"/>
    <x v="19"/>
    <n v="0.3155820327927541"/>
    <n v="0.3270393166219499"/>
    <n v="0.33956663861028874"/>
    <n v="0.3524606338892437"/>
    <n v="0.3653742913392472"/>
    <n v="0.37778675542891976"/>
    <n v="0.39074682360258911"/>
    <n v="0.40493298377068587"/>
    <n v="0.42098395260832255"/>
    <n v="0.43879378294642951"/>
    <n v="0.45750332716048586"/>
    <n v="0.47640061535296446"/>
    <n v="0.49545658898892475"/>
  </r>
  <r>
    <x v="22"/>
    <x v="1"/>
    <x v="5"/>
    <x v="18"/>
    <x v="20"/>
    <n v="0.37231187298423507"/>
    <n v="0.38919297497234007"/>
    <n v="0.40748814292227786"/>
    <n v="0.42732247630732867"/>
    <n v="0.44897688342534614"/>
    <n v="0.47292589123724599"/>
    <n v="0.49925586385534282"/>
    <n v="0.52805025960696494"/>
    <n v="0.55868137814796592"/>
    <n v="0.59071689114776782"/>
    <n v="0.6234079281256395"/>
    <n v="0.65645351088392734"/>
    <n v="0.690221409202596"/>
  </r>
  <r>
    <x v="22"/>
    <x v="2"/>
    <x v="6"/>
    <x v="19"/>
    <x v="21"/>
    <n v="13.974403703747617"/>
    <n v="14.755455499356822"/>
    <n v="15.541152853382451"/>
    <n v="16.354378524510732"/>
    <n v="17.233867666871276"/>
    <n v="18.215123666126804"/>
    <n v="19.321985375799972"/>
    <n v="20.533830693139656"/>
    <n v="21.81294838309185"/>
    <n v="23.155474673165138"/>
    <n v="24.577100600224693"/>
    <n v="26.098762481518797"/>
    <n v="27.704119521111082"/>
  </r>
  <r>
    <x v="22"/>
    <x v="2"/>
    <x v="7"/>
    <x v="20"/>
    <x v="22"/>
    <n v="19.861895192951117"/>
    <n v="20.696820522926565"/>
    <n v="21.608236865062885"/>
    <n v="22.552586082785275"/>
    <n v="23.508136273722751"/>
    <n v="24.441484640769524"/>
    <n v="25.420037091448645"/>
    <n v="26.488607469571377"/>
    <n v="27.690392206197085"/>
    <n v="29.020542808662853"/>
    <n v="30.424262756561014"/>
    <n v="31.855314775319865"/>
    <n v="33.312096047089959"/>
  </r>
  <r>
    <x v="22"/>
    <x v="3"/>
    <x v="8"/>
    <x v="21"/>
    <x v="23"/>
    <n v="1.8959280757911445"/>
    <n v="1.9491785915787598"/>
    <n v="2.0063612161565083"/>
    <n v="2.0637166239301759"/>
    <n v="2.1185842049108894"/>
    <n v="2.1738512461235362"/>
    <n v="2.2316469521345486"/>
    <n v="2.2976742007539328"/>
    <n v="2.3731224242404423"/>
    <n v="2.4528279663020207"/>
    <n v="2.5370501818875053"/>
    <n v="2.6216272670243983"/>
    <n v="2.705091438986821"/>
  </r>
  <r>
    <x v="22"/>
    <x v="3"/>
    <x v="9"/>
    <x v="22"/>
    <x v="24"/>
    <n v="6.6428571471572209"/>
    <n v="6.8427035369671554"/>
    <n v="7.049816647768929"/>
    <n v="7.2824786849032295"/>
    <n v="7.5372707290098946"/>
    <n v="7.8104106805663625"/>
    <n v="8.0950222236657989"/>
    <n v="8.3832588048841288"/>
    <n v="8.6735879064346904"/>
    <n v="8.9853951069300262"/>
    <n v="9.321090095585399"/>
    <n v="9.6703858193723526"/>
    <n v="10.024839152096709"/>
  </r>
  <r>
    <x v="22"/>
    <x v="3"/>
    <x v="10"/>
    <x v="23"/>
    <x v="25"/>
    <n v="11.880501299205811"/>
    <n v="12.645928880086824"/>
    <n v="13.441463243834654"/>
    <n v="14.23065302407668"/>
    <n v="15.033799454079194"/>
    <n v="15.83412057285528"/>
    <n v="16.719331651842321"/>
    <n v="17.710216370559905"/>
    <n v="18.829757644963568"/>
    <n v="20.06485547055199"/>
    <n v="21.3943471358549"/>
    <n v="22.817889902185911"/>
    <n v="24.318334475792561"/>
  </r>
  <r>
    <x v="22"/>
    <x v="3"/>
    <x v="11"/>
    <x v="24"/>
    <x v="26"/>
    <n v="7.5044553259312874"/>
    <n v="7.8524663250208127"/>
    <n v="8.2297034016672601"/>
    <n v="8.6387793405292168"/>
    <n v="9.0854668787524684"/>
    <n v="9.5794793136474663"/>
    <n v="10.122705258775623"/>
    <n v="10.716981464851976"/>
    <n v="11.349718320925865"/>
    <n v="12.012245852309176"/>
    <n v="12.689423220057455"/>
    <n v="13.375167075312559"/>
    <n v="14.076995765627514"/>
  </r>
  <r>
    <x v="22"/>
    <x v="3"/>
    <x v="12"/>
    <x v="25"/>
    <x v="27"/>
    <n v="1.8695319357062112"/>
    <n v="1.9535585127526054"/>
    <n v="2.0339827587027579"/>
    <n v="2.1141552295206996"/>
    <n v="2.2000682127920772"/>
    <n v="2.2969813048552816"/>
    <n v="2.4081414626368103"/>
    <n v="2.5299431786905111"/>
    <n v="2.6561095560153083"/>
    <n v="2.7858999862677849"/>
    <n v="2.921771911016311"/>
    <n v="3.066382020777684"/>
    <n v="3.2170673670709569"/>
  </r>
  <r>
    <x v="22"/>
    <x v="3"/>
    <x v="13"/>
    <x v="26"/>
    <x v="28"/>
    <n v="4.0430251129070642"/>
    <n v="4.2084401758772296"/>
    <n v="4.3880624503152204"/>
    <n v="4.5771817043360077"/>
    <n v="4.7668144610495009"/>
    <n v="4.9617651888484033"/>
    <n v="5.1651749181935136"/>
    <n v="5.3843641429705809"/>
    <n v="5.6210447367090639"/>
    <n v="5.8747930994669888"/>
    <n v="6.137680812384132"/>
    <n v="6.4026251721657506"/>
    <n v="6.6738873686264784"/>
  </r>
  <r>
    <x v="22"/>
    <x v="4"/>
    <x v="14"/>
    <x v="27"/>
    <x v="29"/>
    <n v="15.077359965933145"/>
    <n v="15.820199614147542"/>
    <n v="16.626004893323199"/>
    <n v="17.500564046331451"/>
    <n v="18.456127785089095"/>
    <n v="19.513083443428958"/>
    <n v="20.676099946709897"/>
    <n v="21.949786622660071"/>
    <n v="23.309251390887663"/>
    <n v="24.7373754017942"/>
    <n v="26.203523747831973"/>
    <n v="27.695427023540926"/>
    <n v="29.228843836432521"/>
  </r>
  <r>
    <x v="22"/>
    <x v="4"/>
    <x v="15"/>
    <x v="28"/>
    <x v="30"/>
    <n v="18.758938930765591"/>
    <n v="19.632076408135845"/>
    <n v="20.523384825122136"/>
    <n v="21.406400560964553"/>
    <n v="22.28587615550493"/>
    <n v="23.143524863467373"/>
    <n v="24.06592252053872"/>
    <n v="25.072651540050963"/>
    <n v="26.194089198401276"/>
    <n v="27.438642080033791"/>
    <n v="28.79783960895373"/>
    <n v="30.258650233297733"/>
    <n v="31.78737173176852"/>
  </r>
  <r>
    <x v="22"/>
    <x v="5"/>
    <x v="16"/>
    <x v="29"/>
    <x v="31"/>
    <n v="5.4341295716442604"/>
    <n v="5.8015134333773739"/>
    <n v="6.2039905526466157"/>
    <n v="6.6369772642881673"/>
    <n v="7.0891086856633594"/>
    <n v="7.5682654647387366"/>
    <n v="8.0805500302934465"/>
    <n v="8.6391507016870666"/>
    <n v="9.2495074397250594"/>
    <n v="9.9139516316084926"/>
    <n v="10.622219088367393"/>
    <n v="11.364286458242598"/>
    <n v="12.149108708471815"/>
  </r>
  <r>
    <x v="22"/>
    <x v="5"/>
    <x v="17"/>
    <x v="30"/>
    <x v="32"/>
    <n v="3.4369048280818362"/>
    <n v="3.6201022939299072"/>
    <n v="3.7615281123911757"/>
    <n v="3.8627787593631808"/>
    <n v="3.9927163861782162"/>
    <n v="4.1415964812875785"/>
    <n v="4.3653264865934887"/>
    <n v="4.6382051142072527"/>
    <n v="4.9394761645195047"/>
    <n v="5.2468469373750324"/>
    <n v="5.5754483191510147"/>
    <n v="5.9571560632464227"/>
    <n v="6.3550124977191089"/>
  </r>
  <r>
    <x v="22"/>
    <x v="5"/>
    <x v="18"/>
    <x v="31"/>
    <x v="33"/>
    <n v="5.8993760068214796"/>
    <n v="6.1432563690994844"/>
    <n v="6.4080784954038483"/>
    <n v="6.686989590132729"/>
    <n v="6.966882673841579"/>
    <n v="7.2547809218317596"/>
    <n v="7.5552868356399738"/>
    <n v="7.8791239073398076"/>
    <n v="8.228825888153148"/>
    <n v="8.6038044524137085"/>
    <n v="8.9924792598873822"/>
    <n v="9.3844901361747279"/>
    <n v="9.7860870030150799"/>
  </r>
  <r>
    <x v="22"/>
    <x v="5"/>
    <x v="19"/>
    <x v="32"/>
    <x v="34"/>
    <n v="8.2759136293971896"/>
    <n v="8.6724881082906702"/>
    <n v="9.1033968797829026"/>
    <n v="9.5595135627851597"/>
    <n v="10.02253296938613"/>
    <n v="10.502641533669113"/>
    <n v="11.006777436555709"/>
    <n v="11.550967968527489"/>
    <n v="12.139633588158736"/>
    <n v="12.7726911192327"/>
    <n v="13.433727079572076"/>
    <n v="14.107727836283143"/>
    <n v="14.804265448356182"/>
  </r>
  <r>
    <x v="22"/>
    <x v="5"/>
    <x v="20"/>
    <x v="33"/>
    <x v="35"/>
    <n v="4.5482011021547164"/>
    <n v="4.79124285689681"/>
    <n v="5.0568544946162293"/>
    <n v="5.3355051992262288"/>
    <n v="5.6223965438019761"/>
    <n v="5.9097210446635247"/>
    <n v="6.2136987585202812"/>
    <n v="6.5457395403129084"/>
    <n v="6.9173426830295357"/>
    <n v="7.3284880689799508"/>
    <n v="7.7665134903258011"/>
    <n v="8.2203644407646479"/>
    <n v="8.690006542191627"/>
  </r>
  <r>
    <x v="22"/>
    <x v="5"/>
    <x v="21"/>
    <x v="34"/>
    <x v="36"/>
    <n v="1.8628116895955347"/>
    <n v="1.9125253723054199"/>
    <n v="1.9673908368849047"/>
    <n v="2.0231744544632235"/>
    <n v="2.077842200970295"/>
    <n v="2.1284461999489261"/>
    <n v="2.1809920963871727"/>
    <n v="2.2391972008956706"/>
    <n v="2.3064196415428193"/>
    <n v="2.3818106044920975"/>
    <n v="2.4604598421915296"/>
    <n v="2.5384255257361352"/>
    <n v="2.6155481971362895"/>
  </r>
  <r>
    <x v="22"/>
    <x v="5"/>
    <x v="22"/>
    <x v="35"/>
    <x v="37"/>
    <n v="4.3789620690037205"/>
    <n v="4.5111475883837207"/>
    <n v="4.6481503467196559"/>
    <n v="4.8020257770373158"/>
    <n v="4.9705244807524664"/>
    <n v="5.1511566607566914"/>
    <n v="5.3393908232585456"/>
    <n v="5.5300537297408381"/>
    <n v="5.7221351841601367"/>
    <n v="5.9284246677260111"/>
    <n v="6.1505162772904978"/>
    <n v="6.3816267963909796"/>
    <n v="6.6161871713109388"/>
  </r>
  <r>
    <x v="23"/>
    <x v="0"/>
    <x v="0"/>
    <x v="0"/>
    <x v="0"/>
    <n v="7.9572302788962395"/>
    <n v="8.5907123792987186"/>
    <n v="9.2889444007886741"/>
    <n v="10.059408581599127"/>
    <n v="10.913897124519471"/>
    <n v="11.870073249706643"/>
    <n v="12.937717643702797"/>
    <n v="14.127265907525258"/>
    <n v="15.430895338655548"/>
    <n v="16.844533231162714"/>
    <n v="18.353986667748593"/>
    <n v="19.955877585367912"/>
    <n v="21.666285449372722"/>
  </r>
  <r>
    <x v="23"/>
    <x v="0"/>
    <x v="1"/>
    <x v="1"/>
    <x v="1"/>
    <n v="24.249424822452177"/>
    <n v="25.718329688450588"/>
    <n v="27.327649881202625"/>
    <n v="29.028563800099285"/>
    <n v="30.796640400871773"/>
    <n v="32.590282931444605"/>
    <n v="34.499253321027886"/>
    <n v="36.589039839578611"/>
    <n v="38.92737829423416"/>
    <n v="41.51896201458954"/>
    <n v="44.296919643089517"/>
    <n v="47.201682763945612"/>
    <n v="50.23531030956331"/>
  </r>
  <r>
    <x v="23"/>
    <x v="0"/>
    <x v="2"/>
    <x v="2"/>
    <x v="2"/>
    <n v="55.383538807749787"/>
    <n v="57.798863641606076"/>
    <n v="60.415854355000647"/>
    <n v="63.252029076671015"/>
    <n v="66.34784984608865"/>
    <n v="69.772120725539594"/>
    <n v="73.535922851543006"/>
    <n v="77.649832165968022"/>
    <n v="82.019774175794453"/>
    <n v="86.580965949107949"/>
    <n v="91.222647676327639"/>
    <n v="95.900321198441958"/>
    <n v="100.66747616835154"/>
  </r>
  <r>
    <x v="23"/>
    <x v="1"/>
    <x v="3"/>
    <x v="3"/>
    <x v="3"/>
    <n v="3.0614287119200219"/>
    <n v="3.3316822455658412"/>
    <n v="3.6316825142740652"/>
    <n v="3.960211137164261"/>
    <n v="4.3118512378828662"/>
    <n v="4.6924183804897028"/>
    <n v="5.1070342815851806"/>
    <n v="5.5656419681011648"/>
    <n v="6.0738978590213302"/>
    <n v="6.6357686849132378"/>
    <n v="7.247000391867445"/>
    <n v="7.9030720414078433"/>
    <n v="8.6122193181445219"/>
  </r>
  <r>
    <x v="23"/>
    <x v="1"/>
    <x v="3"/>
    <x v="3"/>
    <x v="4"/>
    <n v="6.444541023866357"/>
    <n v="6.8468797763245171"/>
    <n v="7.2880306747541734"/>
    <n v="7.7551759965884841"/>
    <n v="8.2419239807448541"/>
    <n v="8.7372438843590228"/>
    <n v="9.2652437432252643"/>
    <n v="9.8436816172437265"/>
    <n v="10.49104418338888"/>
    <n v="11.208956195948414"/>
    <n v="11.97973192092619"/>
    <n v="12.787536502457431"/>
    <n v="13.633119836764454"/>
  </r>
  <r>
    <x v="23"/>
    <x v="1"/>
    <x v="3"/>
    <x v="3"/>
    <x v="5"/>
    <n v="8.8979837269416393"/>
    <n v="8.9992771749123222"/>
    <n v="9.1832419536793477"/>
    <n v="9.461275247095795"/>
    <n v="9.9037833120122087"/>
    <n v="10.456854136660542"/>
    <n v="11.11193909579573"/>
    <n v="11.835093313673115"/>
    <n v="12.570675147023763"/>
    <n v="13.276206219825863"/>
    <n v="13.818708476385105"/>
    <n v="14.175962616611038"/>
    <n v="14.398367935789082"/>
  </r>
  <r>
    <x v="23"/>
    <x v="1"/>
    <x v="3"/>
    <x v="4"/>
    <x v="6"/>
    <n v="15.73365257899629"/>
    <n v="16.603360619740439"/>
    <n v="17.550494048324563"/>
    <n v="18.558977441000497"/>
    <n v="19.594443498845191"/>
    <n v="20.677246771892957"/>
    <n v="21.821911890010536"/>
    <n v="23.061379428022065"/>
    <n v="24.40632515230179"/>
    <n v="25.858643237675363"/>
    <n v="27.387190712924909"/>
    <n v="28.962778455375165"/>
    <n v="30.605853817310297"/>
  </r>
  <r>
    <x v="23"/>
    <x v="1"/>
    <x v="3"/>
    <x v="5"/>
    <x v="7"/>
    <n v="10.200018108343684"/>
    <n v="10.675097747155094"/>
    <n v="11.131983182648204"/>
    <n v="11.588924364261652"/>
    <n v="12.078766540384024"/>
    <n v="12.630538412485777"/>
    <n v="13.262382657369646"/>
    <n v="13.954814849758655"/>
    <n v="14.673492803901279"/>
    <n v="15.41444501893085"/>
    <n v="16.191369890019708"/>
    <n v="17.019154979195477"/>
    <n v="17.883254773283049"/>
  </r>
  <r>
    <x v="23"/>
    <x v="1"/>
    <x v="3"/>
    <x v="6"/>
    <x v="8"/>
    <n v="6.4649994799069699"/>
    <n v="6.7009313870792866"/>
    <n v="6.952493351530606"/>
    <n v="7.2233486555876221"/>
    <n v="7.51567695846117"/>
    <n v="7.8318250569688885"/>
    <n v="8.1732061831102012"/>
    <n v="8.5351695425583767"/>
    <n v="8.9130207688973559"/>
    <n v="9.3035036914817795"/>
    <n v="9.7033852061386607"/>
    <n v="10.115256113730922"/>
    <n v="10.534797662367932"/>
  </r>
  <r>
    <x v="23"/>
    <x v="1"/>
    <x v="3"/>
    <x v="7"/>
    <x v="9"/>
    <n v="10.639383130112009"/>
    <n v="11.374628679148922"/>
    <n v="12.180791633787322"/>
    <n v="13.049171519246469"/>
    <n v="13.957685779999315"/>
    <n v="14.922019932946677"/>
    <n v="15.954441387443989"/>
    <n v="17.081276752674668"/>
    <n v="18.313679997676417"/>
    <n v="19.656712025598999"/>
    <n v="21.090487652444377"/>
    <n v="22.595487918878785"/>
    <n v="24.189818426466012"/>
  </r>
  <r>
    <x v="23"/>
    <x v="1"/>
    <x v="3"/>
    <x v="8"/>
    <x v="10"/>
    <n v="12.16480579894124"/>
    <n v="12.569209091956822"/>
    <n v="13.002767762692871"/>
    <n v="13.441529405263058"/>
    <n v="13.868213435255729"/>
    <n v="14.301507893230783"/>
    <n v="14.755490832141467"/>
    <n v="15.268151346934363"/>
    <n v="15.848245082568447"/>
    <n v="16.462264915981478"/>
    <n v="17.112420855290956"/>
    <n v="17.77114144476646"/>
    <n v="18.428561922328413"/>
  </r>
  <r>
    <x v="23"/>
    <x v="1"/>
    <x v="4"/>
    <x v="9"/>
    <x v="11"/>
    <n v="1.9030937845364739"/>
    <n v="2.0777005103215394"/>
    <n v="2.2709243335068581"/>
    <n v="2.4804145628433454"/>
    <n v="2.7042692023586561"/>
    <n v="2.9469743380681352"/>
    <n v="3.2129354753680603"/>
    <n v="3.5125381142109529"/>
    <n v="3.8514941128387208"/>
    <n v="4.2260476067366124"/>
    <n v="4.6401955446169616"/>
    <n v="5.0902893215674316"/>
    <n v="5.5764062573904489"/>
  </r>
  <r>
    <x v="23"/>
    <x v="1"/>
    <x v="4"/>
    <x v="10"/>
    <x v="12"/>
    <n v="1.4424669574569029"/>
    <n v="1.5939144819508149"/>
    <n v="1.7640804312836587"/>
    <n v="1.9531491299419992"/>
    <n v="2.1592226964569115"/>
    <n v="2.3858888752795244"/>
    <n v="2.6365832214562639"/>
    <n v="2.9174170637530641"/>
    <n v="3.2326012519828851"/>
    <n v="3.5856688668711891"/>
    <n v="3.9758855823245924"/>
    <n v="4.4022801818591288"/>
    <n v="4.8708838737122759"/>
  </r>
  <r>
    <x v="23"/>
    <x v="1"/>
    <x v="4"/>
    <x v="11"/>
    <x v="13"/>
    <n v="1.3619186096791003"/>
    <n v="1.4422299063674446"/>
    <n v="1.5296808151844832"/>
    <n v="1.6249838566152983"/>
    <n v="1.7294744898805359"/>
    <n v="1.8452960710620681"/>
    <n v="1.973179825606397"/>
    <n v="2.1138726122656273"/>
    <n v="2.2653017799719173"/>
    <n v="2.4260685112523896"/>
    <n v="2.5933925972236107"/>
    <n v="2.7662056477797075"/>
    <n v="2.9461966545136384"/>
  </r>
  <r>
    <x v="23"/>
    <x v="1"/>
    <x v="4"/>
    <x v="12"/>
    <x v="14"/>
    <n v="1.6482437882878844"/>
    <n v="1.7689709468440258"/>
    <n v="1.8918591716103721"/>
    <n v="2.0199705438514921"/>
    <n v="2.1592226964569115"/>
    <n v="2.3154440285023106"/>
    <n v="2.4930263293733264"/>
    <n v="2.68967580757054"/>
    <n v="2.8999276061169508"/>
    <n v="3.1237021167617209"/>
    <n v="3.364452002989831"/>
    <n v="3.6261884152064385"/>
    <n v="3.9070068812033765"/>
  </r>
  <r>
    <x v="23"/>
    <x v="1"/>
    <x v="4"/>
    <x v="13"/>
    <x v="15"/>
    <n v="1.2505673744279586"/>
    <n v="1.3549033857128436"/>
    <n v="1.4706540552417262"/>
    <n v="1.5958031952281897"/>
    <n v="1.7294744898805359"/>
    <n v="1.8697307313902043"/>
    <n v="2.0219846619501922"/>
    <n v="2.1906807424821193"/>
    <n v="2.3807535646886882"/>
    <n v="2.5936665933217924"/>
    <n v="2.8264851897243486"/>
    <n v="3.0764339312765476"/>
    <n v="3.3444700378238044"/>
  </r>
  <r>
    <x v="23"/>
    <x v="1"/>
    <x v="5"/>
    <x v="14"/>
    <x v="16"/>
    <n v="1.8172735537269114"/>
    <n v="1.94113533868849"/>
    <n v="2.0773215695532969"/>
    <n v="2.2223699175331797"/>
    <n v="2.37458306248827"/>
    <n v="2.530889271722474"/>
    <n v="2.6983279194867587"/>
    <n v="2.8822406341322044"/>
    <n v="3.0882959458366033"/>
    <n v="3.3173178885034567"/>
    <n v="3.5644294198403723"/>
    <n v="3.8251960534234937"/>
    <n v="4.1000466229713108"/>
  </r>
  <r>
    <x v="23"/>
    <x v="1"/>
    <x v="5"/>
    <x v="15"/>
    <x v="17"/>
    <n v="1.766382921643709"/>
    <n v="1.854792730010117"/>
    <n v="1.9479676026977206"/>
    <n v="2.0511504521287907"/>
    <n v="2.1638692071138848"/>
    <n v="2.2854905554450111"/>
    <n v="2.4144080990403287"/>
    <n v="2.5485853731636325"/>
    <n v="2.6877354167916123"/>
    <n v="2.8380227459652576"/>
    <n v="3.0007180577632595"/>
    <n v="3.1730811714987475"/>
    <n v="3.3527423215855827"/>
  </r>
  <r>
    <x v="23"/>
    <x v="1"/>
    <x v="5"/>
    <x v="16"/>
    <x v="18"/>
    <n v="1.0122130374986691"/>
    <n v="1.1015559809989732"/>
    <n v="1.1946240094744485"/>
    <n v="1.2934626684858415"/>
    <n v="1.4020575761449514"/>
    <n v="1.5245549983181061"/>
    <n v="1.6643776258093146"/>
    <n v="1.8206607684450706"/>
    <n v="1.9903262615826023"/>
    <n v="2.1738036425033727"/>
    <n v="2.3739913890636664"/>
    <n v="2.5943302857581472"/>
    <n v="2.8342041372200284"/>
  </r>
  <r>
    <x v="23"/>
    <x v="1"/>
    <x v="5"/>
    <x v="17"/>
    <x v="19"/>
    <n v="0.82267587896420502"/>
    <n v="0.85628210512027336"/>
    <n v="0.89215819964732557"/>
    <n v="0.93080130425728502"/>
    <n v="0.97252548634331903"/>
    <n v="1.0176714100325057"/>
    <n v="1.066463804798035"/>
    <n v="1.1183395430593472"/>
    <n v="1.1727200211884381"/>
    <n v="1.2292059165140914"/>
    <n v="1.2873940584958268"/>
    <n v="1.3476470349899852"/>
    <n v="1.4094127869809421"/>
  </r>
  <r>
    <x v="23"/>
    <x v="1"/>
    <x v="5"/>
    <x v="18"/>
    <x v="20"/>
    <n v="0.95854544384816809"/>
    <n v="1.0153536014576106"/>
    <n v="1.0716933271009057"/>
    <n v="1.1292820612761687"/>
    <n v="1.1913437207705657"/>
    <n v="1.26088215783616"/>
    <n v="1.3399567827030054"/>
    <n v="1.4269184350231965"/>
    <n v="1.5185108529064848"/>
    <n v="1.6144573160743376"/>
    <n v="1.7163150391259023"/>
    <n v="1.825839431972728"/>
    <n v="1.9417086614323744"/>
  </r>
  <r>
    <x v="23"/>
    <x v="2"/>
    <x v="6"/>
    <x v="19"/>
    <x v="21"/>
    <n v="32.206655101348417"/>
    <n v="34.309042067749303"/>
    <n v="36.616594281991297"/>
    <n v="39.087972381698414"/>
    <n v="41.710537525391246"/>
    <n v="44.460356181151248"/>
    <n v="47.436970964730683"/>
    <n v="50.716305747103867"/>
    <n v="54.358273632889706"/>
    <n v="58.363495245752254"/>
    <n v="62.65090631083811"/>
    <n v="67.157560349313528"/>
    <n v="71.901595758936026"/>
  </r>
  <r>
    <x v="23"/>
    <x v="2"/>
    <x v="7"/>
    <x v="20"/>
    <x v="22"/>
    <n v="55.383538807749787"/>
    <n v="57.798863641606076"/>
    <n v="60.415854355000647"/>
    <n v="63.252029076671015"/>
    <n v="66.34784984608865"/>
    <n v="69.772120725539594"/>
    <n v="73.535922851543006"/>
    <n v="77.649832165968022"/>
    <n v="82.019774175794453"/>
    <n v="86.580965949107949"/>
    <n v="91.222647676327639"/>
    <n v="95.900321198441958"/>
    <n v="100.66747616835154"/>
  </r>
  <r>
    <x v="23"/>
    <x v="3"/>
    <x v="8"/>
    <x v="21"/>
    <x v="23"/>
    <n v="5.3232324231524837"/>
    <n v="5.4828465629372127"/>
    <n v="5.6563847208220164"/>
    <n v="5.8448428612095302"/>
    <n v="6.0512696928028742"/>
    <n v="6.281123779492793"/>
    <n v="6.5343647002854359"/>
    <n v="6.8108844603595102"/>
    <n v="7.1013762156053994"/>
    <n v="7.3995235146933958"/>
    <n v="7.6953893139505505"/>
    <n v="7.985129232917223"/>
    <n v="8.2732569590762779"/>
  </r>
  <r>
    <x v="23"/>
    <x v="3"/>
    <x v="9"/>
    <x v="22"/>
    <x v="24"/>
    <n v="16.191564076156798"/>
    <n v="16.863895547451886"/>
    <n v="17.59787240972091"/>
    <n v="18.357928604552832"/>
    <n v="19.126334564751939"/>
    <n v="19.875900056642685"/>
    <n v="20.661466494195825"/>
    <n v="21.519404251278406"/>
    <n v="22.484697990507456"/>
    <n v="23.55325100797285"/>
    <n v="24.680436558412183"/>
    <n v="25.828658464948994"/>
    <n v="26.996584191007546"/>
  </r>
  <r>
    <x v="23"/>
    <x v="3"/>
    <x v="10"/>
    <x v="23"/>
    <x v="25"/>
    <n v="29.817492200071264"/>
    <n v="31.495449403955604"/>
    <n v="33.536727244120918"/>
    <n v="35.8871275134115"/>
    <n v="38.468785904246843"/>
    <n v="41.237864513687427"/>
    <n v="44.176377422715376"/>
    <n v="47.399030533033596"/>
    <n v="50.968798708663144"/>
    <n v="54.843494534135942"/>
    <n v="58.830054194514332"/>
    <n v="62.800169408573652"/>
    <n v="66.872775798639069"/>
  </r>
  <r>
    <x v="23"/>
    <x v="3"/>
    <x v="11"/>
    <x v="24"/>
    <x v="26"/>
    <n v="19.637706110675207"/>
    <n v="20.827441422307249"/>
    <n v="22.010587104138214"/>
    <n v="23.222390474066053"/>
    <n v="24.529253933325936"/>
    <n v="25.993381105732443"/>
    <n v="27.657815316780422"/>
    <n v="29.489263815394821"/>
    <n v="31.421053452773254"/>
    <n v="33.447832225969627"/>
    <n v="35.60221606433516"/>
    <n v="37.921093723070349"/>
    <n v="40.377624803012019"/>
  </r>
  <r>
    <x v="23"/>
    <x v="3"/>
    <x v="12"/>
    <x v="25"/>
    <x v="27"/>
    <n v="5.2460530611767977"/>
    <n v="5.5259697883300021"/>
    <n v="5.7999496580967778"/>
    <n v="6.0773544785478588"/>
    <n v="6.3754448549173137"/>
    <n v="6.7099158485987083"/>
    <n v="7.0910817240186317"/>
    <n v="7.5093950892222514"/>
    <n v="7.9470545825236893"/>
    <n v="8.4022396245747455"/>
    <n v="8.8827101324404545"/>
    <n v="9.3970751343432184"/>
    <n v="9.9379089920851449"/>
  </r>
  <r>
    <x v="23"/>
    <x v="3"/>
    <x v="13"/>
    <x v="26"/>
    <x v="28"/>
    <n v="11.374146037865655"/>
    <n v="11.912302984373424"/>
    <n v="12.430927500093112"/>
    <n v="12.950357526581652"/>
    <n v="13.507298421434987"/>
    <n v="14.134291602536775"/>
    <n v="14.851788158277984"/>
    <n v="15.638159763783314"/>
    <n v="16.455066858611218"/>
    <n v="17.298120287513619"/>
    <n v="18.182747723513064"/>
    <n v="19.125755583902027"/>
    <n v="20.110921183467514"/>
  </r>
  <r>
    <x v="23"/>
    <x v="4"/>
    <x v="14"/>
    <x v="27"/>
    <x v="29"/>
    <n v="35.029224823796092"/>
    <n v="37.33317779247438"/>
    <n v="39.854662802103704"/>
    <n v="42.563074088914718"/>
    <n v="45.384522696021556"/>
    <n v="48.368832245151935"/>
    <n v="51.55411611996292"/>
    <n v="55.023429467227032"/>
    <n v="58.809901969562553"/>
    <n v="62.926664725522535"/>
    <n v="67.306803722994815"/>
    <n v="71.885380914145756"/>
    <n v="76.717944743317005"/>
  </r>
  <r>
    <x v="23"/>
    <x v="4"/>
    <x v="15"/>
    <x v="28"/>
    <x v="30"/>
    <n v="52.560969085302112"/>
    <n v="54.774727916880998"/>
    <n v="57.17778583488824"/>
    <n v="59.776927369454711"/>
    <n v="62.67386467545834"/>
    <n v="65.863644661538899"/>
    <n v="69.418777696310769"/>
    <n v="73.342708445844863"/>
    <n v="77.568145839121598"/>
    <n v="82.017796469337668"/>
    <n v="86.566750264170921"/>
    <n v="91.172500633609715"/>
    <n v="95.851127183970547"/>
  </r>
  <r>
    <x v="23"/>
    <x v="5"/>
    <x v="16"/>
    <x v="29"/>
    <x v="31"/>
    <n v="8.9319501828769088"/>
    <n v="9.5484632543835524"/>
    <n v="10.223444225228871"/>
    <n v="10.963178681920809"/>
    <n v="11.778364223491309"/>
    <n v="12.685573224737512"/>
    <n v="13.692258167970891"/>
    <n v="14.806214799919351"/>
    <n v="16.015734647249847"/>
    <n v="17.313383027574226"/>
    <n v="18.681544453163173"/>
    <n v="20.114232299564296"/>
    <n v="21.625252519513403"/>
  </r>
  <r>
    <x v="23"/>
    <x v="5"/>
    <x v="17"/>
    <x v="30"/>
    <x v="32"/>
    <n v="10.906772623798901"/>
    <n v="11.441000914037843"/>
    <n v="12.1097325288478"/>
    <n v="12.832084159586202"/>
    <n v="13.615356808806453"/>
    <n v="14.432786215565756"/>
    <n v="15.354480176627405"/>
    <n v="16.476096083270974"/>
    <n v="17.81399008618709"/>
    <n v="19.302056614393905"/>
    <n v="20.796368517460564"/>
    <n v="22.200188011580934"/>
    <n v="23.599363016403288"/>
  </r>
  <r>
    <x v="23"/>
    <x v="5"/>
    <x v="18"/>
    <x v="31"/>
    <x v="33"/>
    <n v="13.603137117231963"/>
    <n v="14.291001004046151"/>
    <n v="15.038910724629185"/>
    <n v="15.832235139874713"/>
    <n v="16.640991655207905"/>
    <n v="17.482199808122054"/>
    <n v="18.367643726168136"/>
    <n v="19.324393152054434"/>
    <n v="20.360371828758577"/>
    <n v="21.476027329399081"/>
    <n v="22.644351063664438"/>
    <n v="23.840419529958996"/>
    <n v="25.080603299779895"/>
  </r>
  <r>
    <x v="23"/>
    <x v="5"/>
    <x v="19"/>
    <x v="32"/>
    <x v="34"/>
    <n v="29.877942085683607"/>
    <n v="31.453065969809728"/>
    <n v="33.144179042922737"/>
    <n v="34.973171159930814"/>
    <n v="36.955968481046128"/>
    <n v="39.110133689854699"/>
    <n v="41.449461688153448"/>
    <n v="43.957629854066965"/>
    <n v="46.616838354207928"/>
    <n v="49.415493622227807"/>
    <n v="52.341222696236677"/>
    <n v="55.412134638538426"/>
    <n v="58.609470966141096"/>
  </r>
  <r>
    <x v="23"/>
    <x v="5"/>
    <x v="20"/>
    <x v="33"/>
    <x v="35"/>
    <n v="9.125508829018262"/>
    <n v="9.6646657178899282"/>
    <n v="10.245802173257399"/>
    <n v="10.876397256457023"/>
    <n v="11.562247448748348"/>
    <n v="12.309790919480958"/>
    <n v="13.124423708199911"/>
    <n v="14.002122812155978"/>
    <n v="14.938284893555331"/>
    <n v="15.930172947004085"/>
    <n v="16.974722147243696"/>
    <n v="18.078669346226544"/>
    <n v="19.23687541230132"/>
  </r>
  <r>
    <x v="23"/>
    <x v="5"/>
    <x v="21"/>
    <x v="34"/>
    <x v="36"/>
    <n v="6.8766906910618424"/>
    <n v="7.1156419423288737"/>
    <n v="7.336019268458382"/>
    <n v="7.5503722271200999"/>
    <n v="7.7802038907465523"/>
    <n v="8.0435855135040519"/>
    <n v="8.3508245117250492"/>
    <n v="8.6880465784331573"/>
    <n v="9.0327188101178244"/>
    <n v="9.3819925072483716"/>
    <n v="9.7438938434045372"/>
    <n v="10.126796994060912"/>
    <n v="10.521173349504735"/>
  </r>
  <r>
    <x v="23"/>
    <x v="5"/>
    <x v="22"/>
    <x v="35"/>
    <x v="37"/>
    <n v="8.268192379426722"/>
    <n v="8.594066906859295"/>
    <n v="8.9343606736475625"/>
    <n v="9.3125628334797614"/>
    <n v="9.7252548634331877"/>
    <n v="10.168407535425803"/>
    <n v="10.633801837428839"/>
    <n v="11.11163463317104"/>
    <n v="11.600109188607558"/>
    <n v="12.12533514701274"/>
    <n v="12.69145126599264"/>
    <n v="13.285440727825348"/>
    <n v="13.896333363643809"/>
  </r>
  <r>
    <x v="24"/>
    <x v="0"/>
    <x v="0"/>
    <x v="0"/>
    <x v="0"/>
    <n v="6.2073518468172448"/>
    <n v="6.7866271624204302"/>
    <n v="7.4335341939191864"/>
    <n v="8.1396271051534566"/>
    <n v="8.9019371884413534"/>
    <n v="9.7119022965600212"/>
    <n v="10.598801414652799"/>
    <n v="11.587890511903911"/>
    <n v="12.707908540567077"/>
    <n v="13.970068746903923"/>
    <n v="15.362244460237818"/>
    <n v="16.872673306879154"/>
    <n v="18.509583971746036"/>
  </r>
  <r>
    <x v="24"/>
    <x v="0"/>
    <x v="1"/>
    <x v="1"/>
    <x v="1"/>
    <n v="22.248240686415642"/>
    <n v="23.720070041767418"/>
    <n v="25.19967328538177"/>
    <n v="26.727431483449323"/>
    <n v="28.380433412654618"/>
    <n v="30.232530740318072"/>
    <n v="32.336824802780605"/>
    <n v="34.658245136603469"/>
    <n v="37.121714032958039"/>
    <n v="39.722998832883704"/>
    <n v="42.502850139105014"/>
    <n v="45.507954350355796"/>
    <n v="48.709470964825208"/>
  </r>
  <r>
    <x v="24"/>
    <x v="0"/>
    <x v="2"/>
    <x v="2"/>
    <x v="2"/>
    <n v="40.956583513096312"/>
    <n v="43.157582246856549"/>
    <n v="45.522074924409729"/>
    <n v="48.080601666602682"/>
    <n v="50.855621363669904"/>
    <n v="53.871930904311171"/>
    <n v="57.149232040296823"/>
    <n v="60.665776318736896"/>
    <n v="64.397691825229302"/>
    <n v="68.329587549384655"/>
    <n v="72.444935001989393"/>
    <n v="76.769331395999174"/>
    <n v="81.277395142646753"/>
  </r>
  <r>
    <x v="24"/>
    <x v="1"/>
    <x v="3"/>
    <x v="3"/>
    <x v="3"/>
    <n v="2.4079034156016563"/>
    <n v="2.6273039971408698"/>
    <n v="2.8694480829259237"/>
    <n v="3.1379743019857762"/>
    <n v="3.4363738286877505"/>
    <n v="3.768630908994397"/>
    <n v="4.1387560311041485"/>
    <n v="4.5481191904611036"/>
    <n v="4.9978965392635892"/>
    <n v="5.4898570865150473"/>
    <n v="6.025694303237028"/>
    <n v="6.6106038332375254"/>
    <n v="7.2458778783478266"/>
  </r>
  <r>
    <x v="24"/>
    <x v="1"/>
    <x v="3"/>
    <x v="3"/>
    <x v="4"/>
    <n v="5.780757288557627"/>
    <n v="6.1836638987548618"/>
    <n v="6.6270195790607644"/>
    <n v="7.09995392152313"/>
    <n v="7.5971724104502174"/>
    <n v="8.1089525941073735"/>
    <n v="8.6579116093217579"/>
    <n v="9.2613498171157236"/>
    <n v="9.9377175633614812"/>
    <n v="10.689981856583991"/>
    <n v="11.502754300010313"/>
    <n v="12.361985824324927"/>
    <n v="13.269263359405279"/>
  </r>
  <r>
    <x v="24"/>
    <x v="1"/>
    <x v="3"/>
    <x v="3"/>
    <x v="5"/>
    <n v="6.3417553015755175"/>
    <n v="6.6424897106103167"/>
    <n v="6.8735384225064244"/>
    <n v="7.1390933526040818"/>
    <n v="7.5414474294444691"/>
    <n v="8.1046619182432273"/>
    <n v="8.8010247041210157"/>
    <n v="9.4725543265672592"/>
    <n v="10.00284969807532"/>
    <n v="10.442064745911072"/>
    <n v="10.81352910811691"/>
    <n v="11.23935457915195"/>
    <n v="11.693202604233328"/>
  </r>
  <r>
    <x v="24"/>
    <x v="1"/>
    <x v="3"/>
    <x v="4"/>
    <x v="6"/>
    <n v="12.441608644090204"/>
    <n v="13.203639994757593"/>
    <n v="14.028849263470059"/>
    <n v="14.895111335119632"/>
    <n v="15.785073670929743"/>
    <n v="16.720317490651258"/>
    <n v="17.719333374096291"/>
    <n v="18.831197077305699"/>
    <n v="20.074030083184077"/>
    <n v="21.413943873967941"/>
    <n v="22.859355518102692"/>
    <n v="24.379471096942595"/>
    <n v="25.964103056226438"/>
  </r>
  <r>
    <x v="24"/>
    <x v="1"/>
    <x v="3"/>
    <x v="5"/>
    <x v="7"/>
    <n v="8.1309513269491536"/>
    <n v="8.5745761248984902"/>
    <n v="9.0531233170842089"/>
    <n v="9.5515883910839445"/>
    <n v="10.058395781011047"/>
    <n v="10.587065178988269"/>
    <n v="11.148814979195295"/>
    <n v="11.773817675202128"/>
    <n v="12.472122936982505"/>
    <n v="13.221198784076192"/>
    <n v="14.025180034252907"/>
    <n v="14.864026213468852"/>
    <n v="15.730747752994878"/>
  </r>
  <r>
    <x v="24"/>
    <x v="1"/>
    <x v="3"/>
    <x v="6"/>
    <x v="8"/>
    <n v="5.1538510684345153"/>
    <n v="5.3918339568891875"/>
    <n v="5.6204399972824222"/>
    <n v="5.8488939476216899"/>
    <n v="6.0937726264519476"/>
    <n v="6.3697018908871517"/>
    <n v="6.6857952348527583"/>
    <n v="7.0321838030377579"/>
    <n v="7.3915266045842181"/>
    <n v="7.7618077557352647"/>
    <n v="8.1499119433187097"/>
    <n v="8.5633118934532231"/>
    <n v="8.9946594367655344"/>
  </r>
  <r>
    <x v="24"/>
    <x v="1"/>
    <x v="3"/>
    <x v="7"/>
    <x v="9"/>
    <n v="8.6693555010597478"/>
    <n v="9.2930805444131792"/>
    <n v="9.9714156886052692"/>
    <n v="10.713391110237726"/>
    <n v="11.526774727144046"/>
    <n v="12.420300121868078"/>
    <n v="13.402015437166154"/>
    <n v="14.470676201539796"/>
    <n v="15.624309525766105"/>
    <n v="16.862733229142044"/>
    <n v="18.185345660534125"/>
    <n v="19.60195378969923"/>
    <n v="21.109899676464277"/>
  </r>
  <r>
    <x v="24"/>
    <x v="1"/>
    <x v="3"/>
    <x v="8"/>
    <x v="10"/>
    <n v="9.654645667600553"/>
    <n v="10.050099383348067"/>
    <n v="10.481851058679467"/>
    <n v="10.928656810104391"/>
    <n v="11.379936832530746"/>
    <n v="11.81950518644938"/>
    <n v="12.279992409726241"/>
    <n v="12.782980172816712"/>
    <n v="13.349180218855352"/>
    <n v="13.976056932708868"/>
    <n v="14.637030425627271"/>
    <n v="15.309747478625495"/>
    <n v="15.993397918664343"/>
  </r>
  <r>
    <x v="24"/>
    <x v="1"/>
    <x v="4"/>
    <x v="9"/>
    <x v="11"/>
    <n v="1.3862194224609621"/>
    <n v="1.5234770971968938"/>
    <n v="1.6762298016901227"/>
    <n v="1.8430412114208758"/>
    <n v="2.0227669155913777"/>
    <n v="2.219007338563447"/>
    <n v="2.4353956938598356"/>
    <n v="2.680191527564848"/>
    <n v="2.958303841562977"/>
    <n v="3.2674934401543312"/>
    <n v="3.6114488681474293"/>
    <n v="3.9879996028826761"/>
    <n v="4.3978297152969708"/>
  </r>
  <r>
    <x v="24"/>
    <x v="1"/>
    <x v="4"/>
    <x v="10"/>
    <x v="12"/>
    <n v="1.041211965024448"/>
    <n v="1.15674870838981"/>
    <n v="1.286551773417882"/>
    <n v="1.4299556082155163"/>
    <n v="1.5864838553657856"/>
    <n v="1.7593530233659924"/>
    <n v="1.9519383339055769"/>
    <n v="2.1714605621835363"/>
    <n v="2.4227283216831603"/>
    <n v="2.7048882522793996"/>
    <n v="3.021938241620314"/>
    <n v="3.3731288984784098"/>
    <n v="3.7600730314195072"/>
  </r>
  <r>
    <x v="24"/>
    <x v="1"/>
    <x v="4"/>
    <x v="11"/>
    <x v="13"/>
    <n v="0.99134512150771315"/>
    <n v="1.0647503952407313"/>
    <n v="1.1454732585452405"/>
    <n v="1.2327938600602983"/>
    <n v="1.324714019230431"/>
    <n v="1.4227825097222839"/>
    <n v="1.5282503661392988"/>
    <n v="1.6437378325193048"/>
    <n v="1.7704527037584603"/>
    <n v="1.9090349062782856"/>
    <n v="2.0577122017131013"/>
    <n v="2.2147142010039422"/>
    <n v="2.3819246516875614"/>
  </r>
  <r>
    <x v="24"/>
    <x v="1"/>
    <x v="4"/>
    <x v="12"/>
    <x v="14"/>
    <n v="1.1786901582372844"/>
    <n v="1.2735899095306553"/>
    <n v="1.3713197459668489"/>
    <n v="1.4741469732588908"/>
    <n v="1.5864838553657856"/>
    <n v="1.7127960217995732"/>
    <n v="1.8566052212356936"/>
    <n v="2.0165457800538822"/>
    <n v="2.1888331906348659"/>
    <n v="2.3736418603092373"/>
    <n v="2.5738322698318883"/>
    <n v="2.7927666077368953"/>
    <n v="3.0293383177920257"/>
  </r>
  <r>
    <x v="24"/>
    <x v="1"/>
    <x v="4"/>
    <x v="13"/>
    <x v="15"/>
    <n v="1.0146217234611257"/>
    <n v="1.1054627490802706"/>
    <n v="1.2002614227436028"/>
    <n v="1.3010871765433265"/>
    <n v="1.4119706312755491"/>
    <n v="1.5371230571441712"/>
    <n v="1.6800458131645863"/>
    <n v="1.8399287221383911"/>
    <n v="2.0137208818993977"/>
    <n v="2.2019061786687475"/>
    <n v="2.4074716307460715"/>
    <n v="2.6339681091466596"/>
    <n v="2.8808440231576369"/>
  </r>
  <r>
    <x v="24"/>
    <x v="1"/>
    <x v="5"/>
    <x v="14"/>
    <x v="16"/>
    <n v="1.5060408965049821"/>
    <n v="1.6209081060303114"/>
    <n v="1.747401710567638"/>
    <n v="1.884495628630122"/>
    <n v="2.0292009890048042"/>
    <n v="2.1839372550279967"/>
    <n v="2.3506868178167095"/>
    <n v="2.5335544152633211"/>
    <n v="2.7345015303949807"/>
    <n v="2.954628498754841"/>
    <n v="3.1913111130783491"/>
    <n v="3.4419060789470777"/>
    <n v="3.7094269533084114"/>
  </r>
  <r>
    <x v="24"/>
    <x v="1"/>
    <x v="5"/>
    <x v="15"/>
    <x v="17"/>
    <n v="1.4201822422825696"/>
    <n v="1.5042273869302833"/>
    <n v="1.5875645243002134"/>
    <n v="1.6727379532750257"/>
    <n v="1.764522599134613"/>
    <n v="1.8673658894986604"/>
    <n v="1.9843150892817114"/>
    <n v="2.1129245327020798"/>
    <n v="2.2483696120918601"/>
    <n v="2.3902389050817949"/>
    <n v="2.5408362997033942"/>
    <n v="2.7027583459095452"/>
    <n v="2.8740455627474728"/>
  </r>
  <r>
    <x v="24"/>
    <x v="1"/>
    <x v="5"/>
    <x v="16"/>
    <x v="18"/>
    <n v="0.80565335716589792"/>
    <n v="0.87794780750218027"/>
    <n v="0.95819277008214288"/>
    <n v="1.0473691589062222"/>
    <n v="1.1469396894374984"/>
    <n v="1.259034624689225"/>
    <n v="1.3850227871197744"/>
    <n v="1.5263882870618637"/>
    <n v="1.6826913742789067"/>
    <n v="1.8538781982641017"/>
    <n v="2.0387727760016192"/>
    <n v="2.2373504820584542"/>
    <n v="2.4517614607752649"/>
  </r>
  <r>
    <x v="24"/>
    <x v="1"/>
    <x v="5"/>
    <x v="17"/>
    <x v="19"/>
    <n v="0.7276685695975551"/>
    <n v="0.76022005202205745"/>
    <n v="0.79549472394135834"/>
    <n v="0.83373198659175141"/>
    <n v="0.87547467418601943"/>
    <n v="0.9216419034776645"/>
    <n v="0.97239421046206409"/>
    <n v="1.0278860970487778"/>
    <n v="1.0868873830164201"/>
    <n v="1.1485507870277363"/>
    <n v="1.2114154973531355"/>
    <n v="1.2748944048263591"/>
    <n v="1.3397005251716481"/>
  </r>
  <r>
    <x v="24"/>
    <x v="1"/>
    <x v="5"/>
    <x v="18"/>
    <x v="20"/>
    <n v="0.75971437621768101"/>
    <n v="0.81025962830862541"/>
    <n v="0.86110726284109196"/>
    <n v="0.91363752802307241"/>
    <n v="0.97048742952403699"/>
    <n v="1.0341870277111138"/>
    <n v="1.1065601451612896"/>
    <n v="1.1864159466620907"/>
    <n v="1.2711923893607444"/>
    <n v="1.3607498377133866"/>
    <n v="1.4564894099369536"/>
    <n v="1.5600176133402932"/>
    <n v="1.6703541547595884"/>
  </r>
  <r>
    <x v="24"/>
    <x v="2"/>
    <x v="6"/>
    <x v="19"/>
    <x v="21"/>
    <n v="28.455592533232888"/>
    <n v="30.506697204187848"/>
    <n v="32.633207479300957"/>
    <n v="34.867058588602781"/>
    <n v="37.28237060109597"/>
    <n v="39.944433036878095"/>
    <n v="42.935626217433402"/>
    <n v="46.246135648507376"/>
    <n v="49.829622573525114"/>
    <n v="53.693067579787623"/>
    <n v="57.865094599342832"/>
    <n v="62.380627657234953"/>
    <n v="67.21905493657124"/>
  </r>
  <r>
    <x v="24"/>
    <x v="2"/>
    <x v="7"/>
    <x v="20"/>
    <x v="22"/>
    <n v="40.956583513096312"/>
    <n v="43.157582246856549"/>
    <n v="45.522074924409729"/>
    <n v="48.080601666602682"/>
    <n v="50.855621363669904"/>
    <n v="53.871930904311171"/>
    <n v="57.149232040296823"/>
    <n v="60.665776318736896"/>
    <n v="64.397691825229302"/>
    <n v="68.329587549384655"/>
    <n v="72.444935001989393"/>
    <n v="76.769331395999174"/>
    <n v="81.277395142646753"/>
  </r>
  <r>
    <x v="24"/>
    <x v="3"/>
    <x v="8"/>
    <x v="21"/>
    <x v="23"/>
    <n v="3.9759746102326559"/>
    <n v="4.1543966614860288"/>
    <n v="4.3481693468030889"/>
    <n v="4.5527939341034527"/>
    <n v="4.7594515660973569"/>
    <n v="4.9729550767611448"/>
    <n v="5.1965232117258537"/>
    <n v="5.4376280372654788"/>
    <n v="5.6981903617025207"/>
    <n v="5.9779938658486635"/>
    <n v="6.269180643015285"/>
    <n v="6.5646359254784095"/>
    <n v="6.8687669806155283"/>
  </r>
  <r>
    <x v="24"/>
    <x v="3"/>
    <x v="9"/>
    <x v="22"/>
    <x v="24"/>
    <n v="13.216997964719056"/>
    <n v="13.859399949576735"/>
    <n v="14.560744186985271"/>
    <n v="15.292725826816763"/>
    <n v="16.04111453758739"/>
    <n v="16.783351261489472"/>
    <n v="17.565526393210895"/>
    <n v="18.419285246029823"/>
    <n v="19.375938006423834"/>
    <n v="20.433946146419473"/>
    <n v="21.55653731968394"/>
    <n v="22.712058864818076"/>
    <n v="23.899873960526946"/>
  </r>
  <r>
    <x v="24"/>
    <x v="3"/>
    <x v="10"/>
    <x v="23"/>
    <x v="25"/>
    <n v="23.939289953473072"/>
    <n v="25.715862732773545"/>
    <n v="27.560120324679048"/>
    <n v="29.541045734424245"/>
    <n v="31.729677107315709"/>
    <n v="34.176001280151389"/>
    <n v="36.904072534936617"/>
    <n v="39.847421549522622"/>
    <n v="42.961486432964151"/>
    <n v="46.262150348014416"/>
    <n v="49.832740931157844"/>
    <n v="53.772991681145939"/>
    <n v="58.020468380252296"/>
  </r>
  <r>
    <x v="24"/>
    <x v="3"/>
    <x v="11"/>
    <x v="24"/>
    <x v="26"/>
    <n v="15.447108251933392"/>
    <n v="16.402773243389159"/>
    <n v="17.444900238648426"/>
    <n v="18.58231213212807"/>
    <n v="19.831048192072323"/>
    <n v="21.216582425234375"/>
    <n v="22.748425025110205"/>
    <n v="24.436363896930114"/>
    <n v="26.257693713206606"/>
    <n v="28.197268641810989"/>
    <n v="30.223719456831553"/>
    <n v="32.325283035900924"/>
    <n v="34.522287641577563"/>
  </r>
  <r>
    <x v="24"/>
    <x v="3"/>
    <x v="12"/>
    <x v="25"/>
    <x v="27"/>
    <n v="4.0919166052718605"/>
    <n v="4.3155000510928287"/>
    <n v="4.5584926578128044"/>
    <n v="4.8227649226634322"/>
    <n v="5.1120035339564209"/>
    <n v="5.4322208376661889"/>
    <n v="5.7851718230780245"/>
    <n v="6.1726256509842603"/>
    <n v="6.5880862014294905"/>
    <n v="7.027118073159663"/>
    <n v="7.4813529131123779"/>
    <n v="7.947493127596335"/>
    <n v="8.4302149076524682"/>
  </r>
  <r>
    <x v="24"/>
    <x v="3"/>
    <x v="13"/>
    <x v="26"/>
    <x v="28"/>
    <n v="8.7408886606991558"/>
    <n v="9.2163468127261012"/>
    <n v="9.682855648782045"/>
    <n v="10.156017705069504"/>
    <n v="10.66469702773667"/>
    <n v="11.235253059886702"/>
    <n v="11.885139269668624"/>
    <n v="12.598587586511965"/>
    <n v="13.345919683027818"/>
    <n v="14.124178053919078"/>
    <n v="14.946498337531226"/>
    <n v="15.827496418294436"/>
    <n v="16.754838208593181"/>
  </r>
  <r>
    <x v="24"/>
    <x v="4"/>
    <x v="14"/>
    <x v="27"/>
    <x v="29"/>
    <n v="30.097983949196397"/>
    <n v="32.253251504547571"/>
    <n v="34.627360758347841"/>
    <n v="37.164681869710606"/>
    <n v="39.838372368074175"/>
    <n v="42.598177054047774"/>
    <n v="45.563366701761737"/>
    <n v="48.826085099466809"/>
    <n v="52.485195058714517"/>
    <n v="56.5584854692599"/>
    <n v="60.966750135491424"/>
    <n v="65.637313456096919"/>
    <n v="70.58000104972642"/>
  </r>
  <r>
    <x v="24"/>
    <x v="4"/>
    <x v="15"/>
    <x v="28"/>
    <x v="30"/>
    <n v="39.314192097132796"/>
    <n v="41.411027946496823"/>
    <n v="43.527921645362845"/>
    <n v="45.782978385494857"/>
    <n v="48.299619596691699"/>
    <n v="51.218186887141492"/>
    <n v="54.521491555968481"/>
    <n v="58.085826867777456"/>
    <n v="61.742119340039899"/>
    <n v="65.464169659912386"/>
    <n v="69.343279465840794"/>
    <n v="73.512645597137194"/>
    <n v="77.916449029491574"/>
  </r>
  <r>
    <x v="24"/>
    <x v="5"/>
    <x v="16"/>
    <x v="29"/>
    <x v="31"/>
    <n v="10.062716597286535"/>
    <n v="10.859369337731671"/>
    <n v="11.721082913973783"/>
    <n v="12.683230480300184"/>
    <n v="13.749526746503477"/>
    <n v="14.922676612458154"/>
    <n v="16.198929196864366"/>
    <n v="17.570832655020737"/>
    <n v="19.041798836280172"/>
    <n v="20.660987669433091"/>
    <n v="22.447014798994136"/>
    <n v="24.389984644492095"/>
    <n v="26.481129145350057"/>
  </r>
  <r>
    <x v="24"/>
    <x v="5"/>
    <x v="17"/>
    <x v="30"/>
    <x v="32"/>
    <n v="7.2425575984915369"/>
    <n v="7.742089598791253"/>
    <n v="8.1804548599283464"/>
    <n v="8.555286560181159"/>
    <n v="8.9900751804061372"/>
    <n v="9.5340552311769073"/>
    <n v="10.27008139955781"/>
    <n v="11.15260501641896"/>
    <n v="12.105380421163972"/>
    <n v="13.037026952869937"/>
    <n v="13.978728719549451"/>
    <n v="15.036635840304655"/>
    <n v="16.171285795120696"/>
  </r>
  <r>
    <x v="24"/>
    <x v="5"/>
    <x v="18"/>
    <x v="31"/>
    <x v="33"/>
    <n v="10.035414317533563"/>
    <n v="10.56630807929726"/>
    <n v="11.127224301395744"/>
    <n v="11.748348078473091"/>
    <n v="12.427456867031987"/>
    <n v="13.161375240731481"/>
    <n v="13.941287372556644"/>
    <n v="14.755796900967841"/>
    <n v="15.603512037691834"/>
    <n v="16.520478470165454"/>
    <n v="17.514642773906189"/>
    <n v="18.570623766026859"/>
    <n v="19.675039348682425"/>
  </r>
  <r>
    <x v="24"/>
    <x v="5"/>
    <x v="19"/>
    <x v="32"/>
    <x v="34"/>
    <n v="18.375388202886619"/>
    <n v="19.458192901265321"/>
    <n v="20.625188699419823"/>
    <n v="21.891393528864381"/>
    <n v="23.268429878698193"/>
    <n v="24.76920475903778"/>
    <n v="26.404520663712187"/>
    <n v="28.166223920572879"/>
    <n v="30.044998157206734"/>
    <n v="32.035286053328562"/>
    <n v="34.130874199475016"/>
    <n v="36.345260841354204"/>
    <n v="38.668060841917033"/>
  </r>
  <r>
    <x v="24"/>
    <x v="5"/>
    <x v="20"/>
    <x v="33"/>
    <x v="35"/>
    <n v="10.65787750162829"/>
    <n v="11.400920280655239"/>
    <n v="12.215920278595771"/>
    <n v="13.094276690787485"/>
    <n v="14.013940722397773"/>
    <n v="14.990733497192696"/>
    <n v="16.037078547871296"/>
    <n v="17.179559917011048"/>
    <n v="18.429562537302303"/>
    <n v="19.792365703456952"/>
    <n v="21.248142508996171"/>
    <n v="22.777389857275406"/>
    <n v="24.398487668563895"/>
  </r>
  <r>
    <x v="24"/>
    <x v="5"/>
    <x v="21"/>
    <x v="34"/>
    <x v="36"/>
    <n v="4.2123988780085675"/>
    <n v="4.3747498713612956"/>
    <n v="4.5479411414164215"/>
    <n v="4.7344317694635611"/>
    <n v="4.9357275500268889"/>
    <n v="5.1534555666052064"/>
    <n v="5.3886410274117775"/>
    <n v="5.6383187383485032"/>
    <n v="5.8994710637126406"/>
    <n v="6.170008341201096"/>
    <n v="6.4478395939684177"/>
    <n v="6.7347271981139096"/>
    <n v="7.0278468618957115"/>
  </r>
  <r>
    <x v="24"/>
    <x v="5"/>
    <x v="22"/>
    <x v="35"/>
    <x v="37"/>
    <n v="8.8258229504940786"/>
    <n v="9.2626493819423619"/>
    <n v="9.7374702089807901"/>
    <n v="10.24069314713562"/>
    <n v="10.752835019701427"/>
    <n v="11.284863033987046"/>
    <n v="11.844320049756135"/>
    <n v="12.448574818904309"/>
    <n v="13.102591345396764"/>
    <n v="13.806501938717188"/>
    <n v="14.542787006442843"/>
    <n v="15.295336905666968"/>
    <n v="16.074600417688178"/>
  </r>
  <r>
    <x v="25"/>
    <x v="0"/>
    <x v="0"/>
    <x v="0"/>
    <x v="0"/>
    <n v="22.590972987249998"/>
    <n v="24.692243285899266"/>
    <n v="27.022739964710144"/>
    <n v="29.625018020271845"/>
    <n v="32.537654273096528"/>
    <n v="35.814410195584323"/>
    <n v="39.489683752989727"/>
    <n v="43.599235138720474"/>
    <n v="48.141238825851559"/>
    <n v="53.145983718381686"/>
    <n v="58.603058408850345"/>
    <n v="64.513702497153531"/>
    <n v="70.930084844302726"/>
  </r>
  <r>
    <x v="25"/>
    <x v="0"/>
    <x v="1"/>
    <x v="1"/>
    <x v="1"/>
    <n v="65.625742132548439"/>
    <n v="70.21937408193439"/>
    <n v="75.260537960592629"/>
    <n v="80.721670885719504"/>
    <n v="86.574966006718441"/>
    <n v="92.881569995830631"/>
    <n v="99.753256565939438"/>
    <n v="107.31915754310404"/>
    <n v="115.61765301628836"/>
    <n v="124.64599773429643"/>
    <n v="134.26742185979694"/>
    <n v="144.38541516557606"/>
    <n v="155.08888695957515"/>
  </r>
  <r>
    <x v="25"/>
    <x v="0"/>
    <x v="2"/>
    <x v="2"/>
    <x v="2"/>
    <n v="143.95313020955933"/>
    <n v="152.35675707926811"/>
    <n v="161.28960864552431"/>
    <n v="170.88409846891915"/>
    <n v="181.34349132018505"/>
    <n v="192.90387022145899"/>
    <n v="205.69440448952554"/>
    <n v="219.67515412575858"/>
    <n v="234.61486177815965"/>
    <n v="250.42296525518992"/>
    <n v="266.99779614837968"/>
    <n v="284.3745588753755"/>
    <n v="302.56644985455978"/>
  </r>
  <r>
    <x v="25"/>
    <x v="1"/>
    <x v="3"/>
    <x v="3"/>
    <x v="3"/>
    <n v="8.6891694439506288"/>
    <n v="9.5434584681434238"/>
    <n v="10.497436267373731"/>
    <n v="11.546500821923996"/>
    <n v="12.690309257844049"/>
    <n v="13.941356793146706"/>
    <n v="15.327689298574404"/>
    <n v="16.890003615043391"/>
    <n v="18.65683511021151"/>
    <n v="20.628708557247293"/>
    <n v="22.810641186778472"/>
    <n v="25.192892924165442"/>
    <n v="27.788561591216361"/>
  </r>
  <r>
    <x v="25"/>
    <x v="1"/>
    <x v="3"/>
    <x v="3"/>
    <x v="4"/>
    <n v="17.413922040761197"/>
    <n v="18.639813066176249"/>
    <n v="19.984544995006971"/>
    <n v="21.451629732163553"/>
    <n v="23.042222189535202"/>
    <n v="24.786749251487528"/>
    <n v="26.702296595276724"/>
    <n v="28.814895743880072"/>
    <n v="31.117353257299015"/>
    <n v="33.604428821364927"/>
    <n v="36.243182095384348"/>
    <n v="39.015325631940684"/>
    <n v="41.950145035514382"/>
  </r>
  <r>
    <x v="25"/>
    <x v="1"/>
    <x v="3"/>
    <x v="3"/>
    <x v="5"/>
    <n v="21.866700368941068"/>
    <n v="22.907014094875755"/>
    <n v="24.011607124632086"/>
    <n v="25.254960260180955"/>
    <n v="26.804656104760699"/>
    <n v="28.724668562963522"/>
    <n v="31.001702639474587"/>
    <n v="33.466016160684802"/>
    <n v="35.877986006012861"/>
    <n v="38.165360292955796"/>
    <n v="40.072250948139782"/>
    <n v="41.702517133161059"/>
    <n v="43.189818769937816"/>
  </r>
  <r>
    <x v="25"/>
    <x v="1"/>
    <x v="3"/>
    <x v="4"/>
    <x v="6"/>
    <n v="41.846614334792058"/>
    <n v="44.611298227446106"/>
    <n v="47.616517267814785"/>
    <n v="50.834548920454417"/>
    <n v="54.226114814300303"/>
    <n v="57.800396153260309"/>
    <n v="61.633104288439682"/>
    <n v="65.834226984071819"/>
    <n v="70.479083353854122"/>
    <n v="75.560045058831165"/>
    <n v="81.067456040158049"/>
    <n v="86.90845601403467"/>
    <n v="93.060572510743569"/>
  </r>
  <r>
    <x v="25"/>
    <x v="1"/>
    <x v="3"/>
    <x v="5"/>
    <x v="7"/>
    <n v="27.141207773093328"/>
    <n v="28.729725033446115"/>
    <n v="30.335228421785292"/>
    <n v="31.999563613924849"/>
    <n v="33.796827114659045"/>
    <n v="35.797248980536736"/>
    <n v="38.050007352342092"/>
    <n v="40.516364117706296"/>
    <n v="43.121253834584628"/>
    <n v="45.856660321425174"/>
    <n v="48.75542622900258"/>
    <n v="51.861248297702268"/>
    <n v="55.141803552497677"/>
  </r>
  <r>
    <x v="25"/>
    <x v="1"/>
    <x v="3"/>
    <x v="6"/>
    <x v="8"/>
    <n v="17.109349461994405"/>
    <n v="17.981172186992676"/>
    <n v="18.898826254983668"/>
    <n v="19.859427661923679"/>
    <n v="20.867405250226501"/>
    <n v="21.949316402564875"/>
    <n v="23.124649456900983"/>
    <n v="24.411236681843512"/>
    <n v="25.802471130522338"/>
    <n v="27.273460201452053"/>
    <n v="28.831060661302601"/>
    <n v="30.464818286027121"/>
    <n v="32.159091793732514"/>
  </r>
  <r>
    <x v="25"/>
    <x v="1"/>
    <x v="3"/>
    <x v="7"/>
    <x v="9"/>
    <n v="28.328392315216057"/>
    <n v="30.57942397325985"/>
    <n v="33.037399219219793"/>
    <n v="35.728058962518972"/>
    <n v="38.632774738733808"/>
    <n v="41.785666850177954"/>
    <n v="45.20951752007273"/>
    <n v="48.958021118901129"/>
    <n v="53.065742492166336"/>
    <n v="57.577808387540216"/>
    <n v="62.521294933409344"/>
    <n v="67.852783864228357"/>
    <n v="73.570889268447047"/>
  </r>
  <r>
    <x v="25"/>
    <x v="1"/>
    <x v="3"/>
    <x v="8"/>
    <x v="10"/>
    <n v="32.630867750626415"/>
    <n v="33.970423617353241"/>
    <n v="35.422729809732267"/>
    <n v="36.986656413446028"/>
    <n v="38.66390045117317"/>
    <n v="40.493847426819173"/>
    <n v="42.486459015492365"/>
    <n v="44.65881296250376"/>
    <n v="46.970532436054462"/>
    <n v="49.39089557212489"/>
    <n v="51.855404860050257"/>
    <n v="54.331349177377035"/>
    <n v="56.850211894128037"/>
  </r>
  <r>
    <x v="25"/>
    <x v="1"/>
    <x v="4"/>
    <x v="9"/>
    <x v="11"/>
    <n v="4.9486811367405847"/>
    <n v="5.4672522421514742"/>
    <n v="6.0477712315254113"/>
    <n v="6.6870931358851262"/>
    <n v="7.3812500048300098"/>
    <n v="8.1438720828151805"/>
    <n v="8.988822912331413"/>
    <n v="9.9456120266637544"/>
    <n v="11.033194701556567"/>
    <n v="12.249350813163192"/>
    <n v="13.606216656552863"/>
    <n v="15.098630737691767"/>
    <n v="16.734812748826101"/>
  </r>
  <r>
    <x v="25"/>
    <x v="1"/>
    <x v="4"/>
    <x v="10"/>
    <x v="12"/>
    <n v="3.8217945391422772"/>
    <n v="4.2480786648969469"/>
    <n v="4.7293496415237168"/>
    <n v="5.27102527315082"/>
    <n v="5.8815671306419368"/>
    <n v="6.5719289101129119"/>
    <n v="7.3561730106457723"/>
    <n v="8.2491254342828171"/>
    <n v="9.2587904254308278"/>
    <n v="10.392543093025793"/>
    <n v="11.649535453478119"/>
    <n v="13.033955419112889"/>
    <n v="14.563368757823115"/>
  </r>
  <r>
    <x v="25"/>
    <x v="1"/>
    <x v="4"/>
    <x v="11"/>
    <x v="13"/>
    <n v="3.6429784839841775"/>
    <n v="3.9197692261926602"/>
    <n v="4.2224294967260461"/>
    <n v="4.5535262513854091"/>
    <n v="4.9142016542420075"/>
    <n v="5.3090280737807971"/>
    <n v="5.7421483157188042"/>
    <n v="6.2158264161603149"/>
    <n v="6.7308578509591719"/>
    <n v="7.2881413550300742"/>
    <n v="7.8864193973103616"/>
    <n v="8.5279995403769213"/>
    <n v="9.2140670913518914"/>
  </r>
  <r>
    <x v="25"/>
    <x v="1"/>
    <x v="4"/>
    <x v="12"/>
    <x v="14"/>
    <n v="4.1461756370810541"/>
    <n v="4.4970572411295731"/>
    <n v="4.873040728754809"/>
    <n v="5.2871414041785307"/>
    <n v="5.7459074546005162"/>
    <n v="6.255772238551387"/>
    <n v="6.8203496166338313"/>
    <n v="7.4367299978614128"/>
    <n v="8.1024046193547417"/>
    <n v="8.8328219330788365"/>
    <n v="9.6377575249069718"/>
    <n v="10.519255364642618"/>
    <n v="11.474589077494088"/>
  </r>
  <r>
    <x v="25"/>
    <x v="1"/>
    <x v="4"/>
    <x v="13"/>
    <x v="15"/>
    <n v="3.3428919104846191"/>
    <n v="3.6575699546629776"/>
    <n v="4.0061858102028749"/>
    <n v="4.3889812903307464"/>
    <n v="4.8066110286881116"/>
    <n v="5.2663331597436738"/>
    <n v="5.7754043625278344"/>
    <n v="6.3452785547791901"/>
    <n v="6.982747404622188"/>
    <n v="7.685795228159277"/>
    <n v="8.4599427940634992"/>
    <n v="9.3056081252493676"/>
    <n v="10.224357929360202"/>
  </r>
  <r>
    <x v="25"/>
    <x v="1"/>
    <x v="5"/>
    <x v="14"/>
    <x v="16"/>
    <n v="5.0612464047844279"/>
    <n v="5.465575091766584"/>
    <n v="5.893975189468649"/>
    <n v="6.3486624526156419"/>
    <n v="6.8373910200954855"/>
    <n v="7.3752431078106131"/>
    <n v="7.9746938546014317"/>
    <n v="8.6434048172837254"/>
    <n v="9.3779641397149263"/>
    <n v="10.17345447058535"/>
    <n v="11.039894381093283"/>
    <n v="11.979718787313196"/>
    <n v="12.989301508586582"/>
  </r>
  <r>
    <x v="25"/>
    <x v="1"/>
    <x v="5"/>
    <x v="15"/>
    <x v="17"/>
    <n v="4.6797148794676229"/>
    <n v="4.9747140666917717"/>
    <n v="5.2932784758818903"/>
    <n v="5.6400410903635603"/>
    <n v="6.0154632447005891"/>
    <n v="6.4193244884134657"/>
    <n v="6.8559735889177214"/>
    <n v="7.3259936639197605"/>
    <n v="7.8314206842908032"/>
    <n v="8.3781247675464332"/>
    <n v="8.9644130511249003"/>
    <n v="9.5875073772511268"/>
    <n v="10.244620229469877"/>
  </r>
  <r>
    <x v="25"/>
    <x v="1"/>
    <x v="5"/>
    <x v="16"/>
    <x v="18"/>
    <n v="2.7498274831477496"/>
    <n v="3.0223867281416581"/>
    <n v="3.3226116909265118"/>
    <n v="3.6618509562651966"/>
    <n v="4.0431083484069905"/>
    <n v="4.4692473501539043"/>
    <n v="4.9413401937014614"/>
    <n v="5.4593358838261956"/>
    <n v="6.0264802195207627"/>
    <n v="6.6606650474611921"/>
    <n v="7.3711893971363986"/>
    <n v="8.1585708250473417"/>
    <n v="9.023615092194877"/>
  </r>
  <r>
    <x v="25"/>
    <x v="1"/>
    <x v="5"/>
    <x v="17"/>
    <x v="19"/>
    <n v="2.2477390083598503"/>
    <n v="2.3727960743795746"/>
    <n v="2.5045194695200474"/>
    <n v="2.6460276986622109"/>
    <n v="2.7971502544219367"/>
    <n v="2.9601463782904363"/>
    <n v="3.1358857812208827"/>
    <n v="3.3240267802062182"/>
    <n v="3.5233653224670571"/>
    <n v="3.7375340522855192"/>
    <n v="3.9666179316217276"/>
    <n v="4.2084885292234144"/>
    <n v="4.4622286333519146"/>
  </r>
  <r>
    <x v="25"/>
    <x v="1"/>
    <x v="5"/>
    <x v="18"/>
    <x v="20"/>
    <n v="2.502572356790262"/>
    <n v="2.6808464893951172"/>
    <n v="2.875435475748521"/>
    <n v="3.0850914355367816"/>
    <n v="3.3092515381396472"/>
    <n v="3.5497042022447838"/>
    <n v="3.8111270055820095"/>
    <n v="4.0986358479648963"/>
    <n v="4.4152706316772328"/>
    <n v="4.7591487345908785"/>
    <n v="5.1295728755134471"/>
    <n v="5.5245505035598184"/>
    <n v="5.9433661737615386"/>
  </r>
  <r>
    <x v="25"/>
    <x v="2"/>
    <x v="6"/>
    <x v="19"/>
    <x v="21"/>
    <n v="88.216715119798437"/>
    <n v="94.911617367833657"/>
    <n v="102.28327792530277"/>
    <n v="110.34668890599136"/>
    <n v="119.11262027981496"/>
    <n v="128.69598019141495"/>
    <n v="139.24294031892916"/>
    <n v="150.91839268182451"/>
    <n v="163.75889184213992"/>
    <n v="177.7919814526781"/>
    <n v="192.87048026864727"/>
    <n v="208.89911766272959"/>
    <n v="226.01897180387789"/>
  </r>
  <r>
    <x v="25"/>
    <x v="2"/>
    <x v="7"/>
    <x v="20"/>
    <x v="22"/>
    <n v="143.95313020955933"/>
    <n v="152.35675707926811"/>
    <n v="161.28960864552431"/>
    <n v="170.88409846891915"/>
    <n v="181.34349132018505"/>
    <n v="192.90387022145899"/>
    <n v="205.69440448952554"/>
    <n v="219.67515412575858"/>
    <n v="234.61486177815965"/>
    <n v="250.42296525518992"/>
    <n v="266.99779614837968"/>
    <n v="284.3745588753755"/>
    <n v="302.56644985455978"/>
  </r>
  <r>
    <x v="25"/>
    <x v="3"/>
    <x v="8"/>
    <x v="21"/>
    <x v="23"/>
    <n v="13.952907474486246"/>
    <n v="14.640595276828222"/>
    <n v="15.384847564354384"/>
    <n v="16.17740030157346"/>
    <n v="17.000740857313154"/>
    <n v="17.847628847489283"/>
    <n v="18.74109795312302"/>
    <n v="19.701777812031672"/>
    <n v="20.747782513844371"/>
    <n v="21.889904823537023"/>
    <n v="23.103652907624497"/>
    <n v="24.360518719854333"/>
    <n v="25.661256230466822"/>
  </r>
  <r>
    <x v="25"/>
    <x v="3"/>
    <x v="9"/>
    <x v="22"/>
    <x v="24"/>
    <n v="41.042902742294267"/>
    <n v="43.250237683732323"/>
    <n v="45.647723680998837"/>
    <n v="48.210976479905106"/>
    <n v="50.876814857967076"/>
    <n v="53.690425066152642"/>
    <n v="56.684381794538425"/>
    <n v="59.918664359603724"/>
    <n v="63.4091749988293"/>
    <n v="67.156631223603483"/>
    <n v="71.095276905084773"/>
    <n v="75.17208563171755"/>
    <n v="79.42260015341995"/>
  </r>
  <r>
    <x v="25"/>
    <x v="3"/>
    <x v="10"/>
    <x v="23"/>
    <x v="25"/>
    <n v="75.152716869421056"/>
    <n v="80.432482630789167"/>
    <n v="86.347617156764954"/>
    <n v="92.955720665534528"/>
    <n v="100.38241363903313"/>
    <n v="108.73633877545787"/>
    <n v="118.05466679011241"/>
    <n v="128.40895379647071"/>
    <n v="139.71069047339293"/>
    <n v="151.85878715346803"/>
    <n v="164.59789300994407"/>
    <n v="177.87311126392353"/>
    <n v="191.88372342457347"/>
  </r>
  <r>
    <x v="25"/>
    <x v="3"/>
    <x v="11"/>
    <x v="24"/>
    <x v="26"/>
    <n v="52.639271584587192"/>
    <n v="56.468949609722166"/>
    <n v="60.45428482097266"/>
    <n v="64.679070313520029"/>
    <n v="69.286517144060156"/>
    <n v="74.420218608147977"/>
    <n v="80.191757885180436"/>
    <n v="86.549962210704948"/>
    <n v="93.373294940108678"/>
    <n v="100.66040049061068"/>
    <n v="108.48610214910525"/>
    <n v="116.95798853824684"/>
    <n v="126.03089700490921"/>
  </r>
  <r>
    <x v="25"/>
    <x v="3"/>
    <x v="12"/>
    <x v="25"/>
    <x v="27"/>
    <n v="16.175845267473473"/>
    <n v="17.266607011364599"/>
    <n v="18.452292292632379"/>
    <n v="19.725505374107485"/>
    <n v="21.064952001868278"/>
    <n v="22.492094328899363"/>
    <n v="24.023488725653372"/>
    <n v="25.702911343338769"/>
    <n v="27.550301777494333"/>
    <n v="29.55884358501325"/>
    <n v="31.730752359802825"/>
    <n v="34.032731732972458"/>
    <n v="36.463117205290757"/>
  </r>
  <r>
    <x v="25"/>
    <x v="3"/>
    <x v="13"/>
    <x v="26"/>
    <x v="28"/>
    <n v="33.206201391095561"/>
    <n v="35.209502234665258"/>
    <n v="37.286121055103891"/>
    <n v="39.482114240269894"/>
    <n v="41.844673099758239"/>
    <n v="44.413144786726832"/>
    <n v="47.241951659847068"/>
    <n v="50.311277285433206"/>
    <n v="53.582508916629962"/>
    <n v="57.09037943163554"/>
    <n v="60.85459908546558"/>
    <n v="64.877240651390409"/>
    <n v="69.123827639777431"/>
  </r>
  <r>
    <x v="25"/>
    <x v="4"/>
    <x v="14"/>
    <x v="27"/>
    <x v="29"/>
    <n v="98.593149907978528"/>
    <n v="105.80546462715191"/>
    <n v="113.6864476306198"/>
    <n v="122.27285500763846"/>
    <n v="131.62103690615845"/>
    <n v="141.88664304117108"/>
    <n v="153.18395907456872"/>
    <n v="165.64014026907026"/>
    <n v="179.24898250770588"/>
    <n v="193.93242086261324"/>
    <n v="209.65059182729769"/>
    <n v="226.38804857980784"/>
    <n v="244.17802728461552"/>
  </r>
  <r>
    <x v="25"/>
    <x v="4"/>
    <x v="15"/>
    <x v="28"/>
    <x v="30"/>
    <n v="133.57669542137927"/>
    <n v="141.46290981994986"/>
    <n v="149.88643894020728"/>
    <n v="158.95793236727201"/>
    <n v="168.83507469384153"/>
    <n v="179.71320737170288"/>
    <n v="191.75338573388601"/>
    <n v="204.95340653851281"/>
    <n v="219.12477111259369"/>
    <n v="234.28252584525478"/>
    <n v="250.21768458972929"/>
    <n v="266.88562795829728"/>
    <n v="284.40739437382206"/>
  </r>
  <r>
    <x v="25"/>
    <x v="5"/>
    <x v="16"/>
    <x v="29"/>
    <x v="31"/>
    <n v="18.258235707045436"/>
    <n v="19.81034179249454"/>
    <n v="21.511613427291955"/>
    <n v="23.390046534646199"/>
    <n v="25.437476949363067"/>
    <n v="27.675352396450219"/>
    <n v="30.117387464526303"/>
    <n v="32.792207355856483"/>
    <n v="35.72331155731483"/>
    <n v="38.95953046647498"/>
    <n v="42.521119535598274"/>
    <n v="46.385976257086412"/>
    <n v="50.559996829075025"/>
  </r>
  <r>
    <x v="25"/>
    <x v="5"/>
    <x v="17"/>
    <x v="30"/>
    <x v="32"/>
    <n v="31.12182303528455"/>
    <n v="33.123086781847142"/>
    <n v="35.261211618018223"/>
    <n v="37.620517597845094"/>
    <n v="40.461489260840125"/>
    <n v="43.859090825540697"/>
    <n v="47.879996679366542"/>
    <n v="52.411312681143215"/>
    <n v="57.252492279742924"/>
    <n v="62.291372209765555"/>
    <n v="67.411831606966857"/>
    <n v="72.735235456911042"/>
    <n v="78.314330233817515"/>
  </r>
  <r>
    <x v="25"/>
    <x v="5"/>
    <x v="18"/>
    <x v="31"/>
    <x v="33"/>
    <n v="23.478870250559247"/>
    <n v="24.925532735634793"/>
    <n v="26.504127962464722"/>
    <n v="28.180197023936543"/>
    <n v="29.915937965066302"/>
    <n v="31.727614626121561"/>
    <n v="33.659475859598352"/>
    <n v="35.780202381133734"/>
    <n v="38.126442362404703"/>
    <n v="40.682300273389949"/>
    <n v="43.41724904476699"/>
    <n v="46.280033413213957"/>
    <n v="49.280514079013997"/>
  </r>
  <r>
    <x v="25"/>
    <x v="5"/>
    <x v="19"/>
    <x v="32"/>
    <x v="34"/>
    <n v="70.264252764650536"/>
    <n v="74.960730074893945"/>
    <n v="80.10817016046488"/>
    <n v="85.702256442026084"/>
    <n v="91.710513713899388"/>
    <n v="98.243831934844877"/>
    <n v="105.36578401952974"/>
    <n v="113.18868208622828"/>
    <n v="121.70232216967773"/>
    <n v="130.89523929761043"/>
    <n v="140.63531202388941"/>
    <n v="150.83501881135629"/>
    <n v="161.60800411794838"/>
  </r>
  <r>
    <x v="25"/>
    <x v="5"/>
    <x v="20"/>
    <x v="33"/>
    <x v="35"/>
    <n v="35.965725001766202"/>
    <n v="38.63445889232348"/>
    <n v="41.553659220381256"/>
    <n v="44.718334737836912"/>
    <n v="48.110699114267184"/>
    <n v="51.783909376290417"/>
    <n v="55.784922205184067"/>
    <n v="60.182260135375643"/>
    <n v="65.004322375633464"/>
    <n v="70.237358522176194"/>
    <n v="75.871504080171519"/>
    <n v="81.887301132791507"/>
    <n v="88.298237415085907"/>
  </r>
  <r>
    <x v="25"/>
    <x v="5"/>
    <x v="21"/>
    <x v="34"/>
    <x v="36"/>
    <n v="30.491666863947231"/>
    <n v="32.02032465419412"/>
    <n v="33.54298402430917"/>
    <n v="35.12414545959308"/>
    <n v="36.831522544288795"/>
    <n v="38.725461161990566"/>
    <n v="40.839395976329946"/>
    <n v="43.123530172631256"/>
    <n v="45.503233520978561"/>
    <n v="48.000701725491687"/>
    <n v="50.653004367861364"/>
    <n v="53.481223933564678"/>
    <n v="56.443070026943467"/>
  </r>
  <r>
    <x v="25"/>
    <x v="5"/>
    <x v="22"/>
    <x v="35"/>
    <x v="37"/>
    <n v="22.589271706104583"/>
    <n v="23.793899515713729"/>
    <n v="25.091120157896885"/>
    <n v="26.495289579026593"/>
    <n v="27.988472052275178"/>
    <n v="29.584590091635629"/>
    <n v="31.290382603919774"/>
    <n v="33.115351995214461"/>
    <n v="35.061629354547364"/>
    <n v="37.148444212959262"/>
    <n v="39.358255757772547"/>
    <n v="41.668887533181206"/>
    <n v="44.081268956553309"/>
  </r>
  <r>
    <x v="25"/>
    <x v="7"/>
    <x v="48"/>
    <x v="61"/>
    <x v="63"/>
    <n v="103.2382652696362"/>
    <n v="110.24937073549134"/>
    <n v="117.93264757553406"/>
    <n v="126.36130550092918"/>
    <n v="135.6596760414202"/>
    <n v="146.01997263974062"/>
    <n v="157.52964063948576"/>
    <n v="170.28072603173837"/>
    <n v="184.14173261027696"/>
    <n v="199.03144317652129"/>
    <n v="214.75259268208671"/>
    <n v="231.24253150415353"/>
    <n v="248.66692633486446"/>
  </r>
  <r>
    <x v="25"/>
    <x v="7"/>
    <x v="49"/>
    <x v="62"/>
    <x v="64"/>
    <n v="53.164708046566837"/>
    <n v="56.27322479381165"/>
    <n v="59.4730333795913"/>
    <n v="62.809755003124408"/>
    <n v="66.378093717675611"/>
    <n v="70.25077948233654"/>
    <n v="74.548703189171022"/>
    <n v="79.252365500660005"/>
    <n v="84.29885658126824"/>
    <n v="89.707027773883738"/>
    <n v="95.492878147685872"/>
    <n v="101.66731670468191"/>
    <n v="108.18312505539843"/>
  </r>
  <r>
    <x v="25"/>
    <x v="7"/>
    <x v="50"/>
    <x v="63"/>
    <x v="65"/>
    <n v="75.766872013154753"/>
    <n v="80.745778917798759"/>
    <n v="86.167205615701732"/>
    <n v="92.059726870856906"/>
    <n v="98.418341840904205"/>
    <n v="105.32909829079679"/>
    <n v="112.85900097979794"/>
    <n v="121.06045527518469"/>
    <n v="129.93316442875437"/>
    <n v="139.47647575746299"/>
    <n v="149.62280558725439"/>
    <n v="160.36382832926967"/>
    <n v="171.73537026817473"/>
  </r>
  <r>
    <x v="26"/>
    <x v="0"/>
    <x v="0"/>
    <x v="0"/>
    <x v="0"/>
    <n v="10.555749968044408"/>
    <n v="11.586051942496733"/>
    <n v="12.736227408467325"/>
    <n v="14.021810627152156"/>
    <n v="15.465203068721904"/>
    <n v="17.098417557847579"/>
    <n v="18.944005208331859"/>
    <n v="21.026691922775981"/>
    <n v="23.345356218964838"/>
    <n v="25.904141677734486"/>
    <n v="28.691576472325718"/>
    <n v="31.712008288452186"/>
    <n v="35.000681716804479"/>
  </r>
  <r>
    <x v="26"/>
    <x v="0"/>
    <x v="1"/>
    <x v="1"/>
    <x v="1"/>
    <n v="27.102690430030115"/>
    <n v="29.043399115854271"/>
    <n v="31.171479382929068"/>
    <n v="33.507441716204603"/>
    <n v="36.085473827017772"/>
    <n v="38.95808531547523"/>
    <n v="42.150275417317062"/>
    <n v="45.688331225564689"/>
    <n v="49.538597666368233"/>
    <n v="53.680309663084458"/>
    <n v="58.060932010421425"/>
    <n v="62.663562855888841"/>
    <n v="67.532794714183268"/>
  </r>
  <r>
    <x v="26"/>
    <x v="0"/>
    <x v="2"/>
    <x v="2"/>
    <x v="2"/>
    <n v="65.579824871561669"/>
    <n v="69.619919677140345"/>
    <n v="74.024940784137669"/>
    <n v="78.832053157572417"/>
    <n v="84.108999145680528"/>
    <n v="89.963469766417802"/>
    <n v="96.435360013836842"/>
    <n v="103.56570288339771"/>
    <n v="111.25777872494388"/>
    <n v="119.44699183570233"/>
    <n v="128.00008419933957"/>
    <n v="136.86696035981251"/>
    <n v="146.13344990387671"/>
  </r>
  <r>
    <x v="26"/>
    <x v="1"/>
    <x v="3"/>
    <x v="3"/>
    <x v="3"/>
    <n v="3.9859016443757693"/>
    <n v="4.4046672675481453"/>
    <n v="4.8729349552183168"/>
    <n v="5.3873302779977941"/>
    <n v="5.9452513875962287"/>
    <n v="6.5579791329296331"/>
    <n v="7.2371346340338443"/>
    <n v="8.0083360407716455"/>
    <n v="8.8877450765297787"/>
    <n v="9.8703893268040304"/>
    <n v="10.969079192903573"/>
    <n v="12.179097022196554"/>
    <n v="13.504325335923149"/>
  </r>
  <r>
    <x v="26"/>
    <x v="1"/>
    <x v="3"/>
    <x v="3"/>
    <x v="4"/>
    <n v="7.0972220857601966"/>
    <n v="7.6192016649283882"/>
    <n v="8.192269959358347"/>
    <n v="8.8220946197815042"/>
    <n v="9.5179846158230728"/>
    <n v="10.294147957303936"/>
    <n v="11.157624789747508"/>
    <n v="12.115845618982991"/>
    <n v="13.160397412816621"/>
    <n v="14.286230275982522"/>
    <n v="15.479802332114605"/>
    <n v="16.736974245397661"/>
    <n v="18.070001027923126"/>
  </r>
  <r>
    <x v="26"/>
    <x v="1"/>
    <x v="3"/>
    <x v="3"/>
    <x v="5"/>
    <n v="10.354095765247138"/>
    <n v="10.675586320657528"/>
    <n v="11.107518405086058"/>
    <n v="11.670909888286888"/>
    <n v="12.4487423421029"/>
    <n v="13.467293218602602"/>
    <n v="14.698845257741922"/>
    <n v="16.082111837026392"/>
    <n v="17.469144276556836"/>
    <n v="18.791200781629268"/>
    <n v="19.784541419778208"/>
    <n v="20.451206971581176"/>
    <n v="20.957552657029503"/>
  </r>
  <r>
    <x v="26"/>
    <x v="1"/>
    <x v="3"/>
    <x v="4"/>
    <x v="6"/>
    <n v="18.590610507016542"/>
    <n v="19.930281599251021"/>
    <n v="21.391404526682095"/>
    <n v="22.943601313908395"/>
    <n v="24.562540944059542"/>
    <n v="26.283434444517763"/>
    <n v="28.138038395158897"/>
    <n v="30.20792047805277"/>
    <n v="32.52824235790164"/>
    <n v="35.051188299522025"/>
    <n v="37.796106621508031"/>
    <n v="40.718188071064233"/>
    <n v="43.805103337859236"/>
  </r>
  <r>
    <x v="26"/>
    <x v="1"/>
    <x v="3"/>
    <x v="5"/>
    <x v="7"/>
    <n v="11.882619115343649"/>
    <n v="12.650906404895437"/>
    <n v="13.421083730133329"/>
    <n v="14.214640728522363"/>
    <n v="15.072468306581992"/>
    <n v="16.033506735015305"/>
    <n v="17.125471339566346"/>
    <n v="18.329225535295681"/>
    <n v="19.604580341133598"/>
    <n v="20.948984195673752"/>
    <n v="22.383621549070988"/>
    <n v="23.93268278376576"/>
    <n v="25.580501405359389"/>
  </r>
  <r>
    <x v="26"/>
    <x v="1"/>
    <x v="3"/>
    <x v="6"/>
    <x v="8"/>
    <n v="7.5806871515805669"/>
    <n v="8.0181347266357825"/>
    <n v="8.4908481145656616"/>
    <n v="8.9850624350579427"/>
    <n v="9.4900726374775513"/>
    <n v="10.018722170007839"/>
    <n v="10.581829766380245"/>
    <n v="11.208332613339868"/>
    <n v="11.9083549748241"/>
    <n v="12.66102887061882"/>
    <n v="13.470771691084574"/>
    <n v="14.318831271662241"/>
    <n v="15.198802646282003"/>
  </r>
  <r>
    <x v="26"/>
    <x v="1"/>
    <x v="3"/>
    <x v="7"/>
    <x v="9"/>
    <n v="12.392311521043036"/>
    <n v="13.424755331323073"/>
    <n v="14.545676534648925"/>
    <n v="15.799970847970647"/>
    <n v="17.19377866084168"/>
    <n v="18.732061805213586"/>
    <n v="20.411744715010105"/>
    <n v="22.225032203913983"/>
    <n v="24.17774269459683"/>
    <n v="26.333862945279808"/>
    <n v="28.719419204825179"/>
    <n v="31.324343795834299"/>
    <n v="34.139849001666924"/>
  </r>
  <r>
    <x v="26"/>
    <x v="1"/>
    <x v="3"/>
    <x v="8"/>
    <x v="10"/>
    <n v="14.472402115958488"/>
    <n v="15.120897037317199"/>
    <n v="15.823651909940365"/>
    <n v="16.58544058818147"/>
    <n v="17.417074487605859"/>
    <n v="18.336854043814181"/>
    <n v="19.3479922984212"/>
    <n v="20.453583134012142"/>
    <n v="21.629167951295809"/>
    <n v="22.85790093006775"/>
    <n v="24.110721288337317"/>
    <n v="25.375949219273014"/>
    <n v="26.667779721669589"/>
  </r>
  <r>
    <x v="26"/>
    <x v="1"/>
    <x v="4"/>
    <x v="9"/>
    <x v="11"/>
    <n v="2.3243571372427803"/>
    <n v="2.5796387752242"/>
    <n v="2.8661822686987257"/>
    <n v="3.1824050677411542"/>
    <n v="3.5271515770769239"/>
    <n v="3.9074805282332696"/>
    <n v="4.3307736803404158"/>
    <n v="4.8129140442106655"/>
    <n v="5.3643725455324356"/>
    <n v="5.9830398466957959"/>
    <n v="6.6775446604657143"/>
    <n v="7.4459892994587999"/>
    <n v="8.2916967349284132"/>
  </r>
  <r>
    <x v="26"/>
    <x v="1"/>
    <x v="4"/>
    <x v="10"/>
    <x v="12"/>
    <n v="1.8245078328402971"/>
    <n v="2.0348044696274594"/>
    <n v="2.272731682923248"/>
    <n v="2.5422673222035415"/>
    <n v="2.8488531968698241"/>
    <n v="3.2000088752661737"/>
    <n v="3.6019154336407988"/>
    <n v="4.0615034584021066"/>
    <n v="4.58108665901233"/>
    <n v="5.1640854491421591"/>
    <n v="5.8109497290904653"/>
    <n v="6.5252827159841553"/>
    <n v="7.3171957052589001"/>
  </r>
  <r>
    <x v="26"/>
    <x v="1"/>
    <x v="4"/>
    <x v="11"/>
    <x v="13"/>
    <n v="1.6807532757716261"/>
    <n v="1.8159399368491427"/>
    <n v="1.9639023699412075"/>
    <n v="2.1267029483463888"/>
    <n v="2.3062144927041435"/>
    <n v="2.5045572763991482"/>
    <n v="2.7237747247624982"/>
    <n v="2.9640798689551313"/>
    <n v="3.2255365436706533"/>
    <n v="3.5085736764939219"/>
    <n v="3.8135398892462375"/>
    <n v="4.1429708833592063"/>
    <n v="4.4968410003282795"/>
  </r>
  <r>
    <x v="26"/>
    <x v="1"/>
    <x v="4"/>
    <x v="12"/>
    <x v="14"/>
    <n v="1.9118010797931944"/>
    <n v="2.082840612927281"/>
    <n v="2.2695640640003298"/>
    <n v="2.4792338669957199"/>
    <n v="2.7131935208284044"/>
    <n v="2.9726271939208018"/>
    <n v="3.2574665627498089"/>
    <n v="3.5668847528928858"/>
    <n v="3.9022173533188638"/>
    <n v="4.2742148462646368"/>
    <n v="4.6877057996258777"/>
    <n v="5.1417308573256166"/>
    <n v="5.6355129277964053"/>
  </r>
  <r>
    <x v="26"/>
    <x v="1"/>
    <x v="4"/>
    <x v="13"/>
    <x v="15"/>
    <n v="1.4835917359269966"/>
    <n v="1.6288797839170588"/>
    <n v="1.7901023270515477"/>
    <n v="1.9698182620815323"/>
    <n v="2.1705548166627233"/>
    <n v="2.3952102082685753"/>
    <n v="2.6467675842329874"/>
    <n v="2.9265912536034202"/>
    <n v="3.235949887166115"/>
    <n v="3.5765226284393612"/>
    <n v="3.9499760902023975"/>
    <n v="4.3603087696494853"/>
    <n v="4.8090383135360169"/>
  </r>
  <r>
    <x v="26"/>
    <x v="1"/>
    <x v="5"/>
    <x v="14"/>
    <x v="16"/>
    <n v="2.2391185903554187"/>
    <n v="2.4312098763379977"/>
    <n v="2.6428194546422263"/>
    <n v="2.8708651610855256"/>
    <n v="3.1128469264464274"/>
    <n v="3.3736686197857875"/>
    <n v="3.6580310828593787"/>
    <n v="3.9773362085694961"/>
    <n v="4.337439436654229"/>
    <n v="4.7333990567036865"/>
    <n v="5.1690554026735418"/>
    <n v="5.639639978407291"/>
    <n v="6.1446065469471742"/>
  </r>
  <r>
    <x v="26"/>
    <x v="1"/>
    <x v="5"/>
    <x v="15"/>
    <x v="17"/>
    <n v="2.0762323414484696"/>
    <n v="2.2165382072592719"/>
    <n v="2.3686476313527196"/>
    <n v="2.5345511137943055"/>
    <n v="2.7159067143492326"/>
    <n v="2.9145714319173699"/>
    <n v="3.1322094430312739"/>
    <n v="3.3682840932946667"/>
    <n v="3.6220955537299306"/>
    <n v="3.8933681165885985"/>
    <n v="4.1817313836422532"/>
    <n v="4.4892121337463626"/>
    <n v="4.814947318512643"/>
  </r>
  <r>
    <x v="26"/>
    <x v="1"/>
    <x v="5"/>
    <x v="16"/>
    <x v="18"/>
    <n v="1.2683333929357796"/>
    <n v="1.4008541358048974"/>
    <n v="1.5474780128288024"/>
    <n v="1.7136807384574173"/>
    <n v="1.9011347000444627"/>
    <n v="2.1114730634528076"/>
    <n v="2.3455082628701729"/>
    <n v="2.6035291762905395"/>
    <n v="2.8873965501828738"/>
    <n v="3.2060172863123979"/>
    <n v="3.5643212079536508"/>
    <n v="3.9630741226912964"/>
    <n v="4.4031863300164176"/>
  </r>
  <r>
    <x v="26"/>
    <x v="1"/>
    <x v="5"/>
    <x v="17"/>
    <x v="19"/>
    <n v="0.96266419812071324"/>
    <n v="1.0199274645325809"/>
    <n v="1.0807839696054153"/>
    <n v="1.1482273945637775"/>
    <n v="1.2221580214571548"/>
    <n v="1.3023784298255185"/>
    <n v="1.3881267326999505"/>
    <n v="1.4783638503427727"/>
    <n v="1.5730260927747857"/>
    <n v="1.6758214557805711"/>
    <n v="1.7876989980782403"/>
    <n v="1.9072485997958017"/>
    <n v="2.0332285423870036"/>
  </r>
  <r>
    <x v="26"/>
    <x v="1"/>
    <x v="5"/>
    <x v="18"/>
    <x v="20"/>
    <n v="1.1110557788755386"/>
    <n v="1.1943071204548825"/>
    <n v="1.2850476588567366"/>
    <n v="1.3845029259528157"/>
    <n v="1.4937486928920778"/>
    <n v="1.6139975052663122"/>
    <n v="1.7463859362384071"/>
    <n v="1.890851863781208"/>
    <n v="2.0472369025795252"/>
    <n v="2.21561518852221"/>
    <n v="2.3960062214858802"/>
    <n v="2.5898007629605666"/>
    <n v="2.7967577814402564"/>
  </r>
  <r>
    <x v="26"/>
    <x v="2"/>
    <x v="6"/>
    <x v="19"/>
    <x v="21"/>
    <n v="37.658440398074525"/>
    <n v="40.629451058351002"/>
    <n v="43.907706791396393"/>
    <n v="47.52925234335676"/>
    <n v="51.550676895739677"/>
    <n v="56.056502873322813"/>
    <n v="61.094280625648921"/>
    <n v="66.715023148340663"/>
    <n v="72.883953885333071"/>
    <n v="79.584451340818944"/>
    <n v="86.752508482747146"/>
    <n v="94.375571144341023"/>
    <n v="102.53347643098775"/>
  </r>
  <r>
    <x v="26"/>
    <x v="2"/>
    <x v="7"/>
    <x v="20"/>
    <x v="22"/>
    <n v="65.579824871561669"/>
    <n v="69.619919677140345"/>
    <n v="74.024940784137669"/>
    <n v="78.832053157572417"/>
    <n v="84.108999145680528"/>
    <n v="89.963469766417802"/>
    <n v="96.435360013836842"/>
    <n v="103.56570288339771"/>
    <n v="111.25777872494388"/>
    <n v="119.44699183570233"/>
    <n v="128.00008419933957"/>
    <n v="136.86696035981251"/>
    <n v="146.13344990387671"/>
  </r>
  <r>
    <x v="26"/>
    <x v="3"/>
    <x v="8"/>
    <x v="21"/>
    <x v="23"/>
    <n v="6.3107330121943574"/>
    <n v="6.6622127968534288"/>
    <n v="7.0465928691788493"/>
    <n v="7.4508010992500271"/>
    <n v="7.8682612104023715"/>
    <n v="8.2881291180805672"/>
    <n v="8.7331648202966186"/>
    <n v="9.2195632916784245"/>
    <n v="9.7637838740602323"/>
    <n v="10.366165950036908"/>
    <n v="11.009167711839615"/>
    <n v="11.67737526856307"/>
    <n v="12.370896939294031"/>
  </r>
  <r>
    <x v="26"/>
    <x v="3"/>
    <x v="9"/>
    <x v="22"/>
    <x v="24"/>
    <n v="17.048675003893226"/>
    <n v="18.090634108172488"/>
    <n v="19.228254059686918"/>
    <n v="20.445433541774211"/>
    <n v="21.705548166627231"/>
    <n v="23.031768440644807"/>
    <n v="24.441277433593871"/>
    <n v="25.97225478134218"/>
    <n v="27.638636001604823"/>
    <n v="29.444699146597962"/>
    <n v="31.357175179619396"/>
    <n v="33.344275789546842"/>
    <n v="35.430639580945616"/>
  </r>
  <r>
    <x v="26"/>
    <x v="3"/>
    <x v="10"/>
    <x v="23"/>
    <x v="25"/>
    <n v="31.830125331172326"/>
    <n v="33.903260391772918"/>
    <n v="36.408076617517182"/>
    <n v="39.38526584865717"/>
    <n v="42.86845762908878"/>
    <n v="46.879376275612501"/>
    <n v="51.343258812682265"/>
    <n v="56.316076239481703"/>
    <n v="61.751804059095988"/>
    <n v="67.585725553709608"/>
    <n v="73.576816938087774"/>
    <n v="79.629082315607917"/>
    <n v="85.932967548588834"/>
  </r>
  <r>
    <x v="26"/>
    <x v="3"/>
    <x v="11"/>
    <x v="24"/>
    <x v="26"/>
    <n v="23.789714320648805"/>
    <n v="25.676985504351823"/>
    <n v="27.61699015058981"/>
    <n v="29.655196927482994"/>
    <n v="31.880023869733744"/>
    <n v="34.380571310186639"/>
    <n v="37.226600655496739"/>
    <n v="40.389569265030708"/>
    <n v="43.79260851334039"/>
    <n v="47.4383873273242"/>
    <n v="51.383241745097301"/>
    <n v="55.693274297411733"/>
    <n v="60.345179353306719"/>
  </r>
  <r>
    <x v="26"/>
    <x v="3"/>
    <x v="12"/>
    <x v="25"/>
    <x v="27"/>
    <n v="8.0884933235112157"/>
    <n v="8.6775091631295336"/>
    <n v="9.3202648787172286"/>
    <n v="10.003640245679355"/>
    <n v="10.717114407272195"/>
    <n v="11.476116025828139"/>
    <n v="12.294609300154582"/>
    <n v="13.208362532302958"/>
    <n v="14.232954410941733"/>
    <n v="15.347700086554536"/>
    <n v="16.561265038715415"/>
    <n v="17.854227070397847"/>
    <n v="19.221351186476593"/>
  </r>
  <r>
    <x v="26"/>
    <x v="3"/>
    <x v="13"/>
    <x v="26"/>
    <x v="28"/>
    <n v="16.170524278216273"/>
    <n v="17.238768771211152"/>
    <n v="18.312468999844075"/>
    <n v="19.420967838085431"/>
    <n v="20.620270758295874"/>
    <n v="21.96401146938797"/>
    <n v="23.490729617261689"/>
    <n v="25.174899921902391"/>
    <n v="26.961945751233799"/>
    <n v="28.848765112298072"/>
    <n v="30.864926068727211"/>
    <n v="33.044296762626125"/>
    <n v="35.365891726252656"/>
  </r>
  <r>
    <x v="26"/>
    <x v="4"/>
    <x v="14"/>
    <x v="27"/>
    <x v="29"/>
    <n v="42.460017158476489"/>
    <n v="45.835998844892778"/>
    <n v="49.5284223654252"/>
    <n v="53.588462756668854"/>
    <n v="58.062341345727845"/>
    <n v="63.002348769241152"/>
    <n v="68.458660999421525"/>
    <n v="74.435274680534803"/>
    <n v="80.932421214405892"/>
    <n v="87.959486358905167"/>
    <n v="95.52380506611992"/>
    <n v="103.68746476330719"/>
    <n v="112.44823193724538"/>
  </r>
  <r>
    <x v="26"/>
    <x v="4"/>
    <x v="15"/>
    <x v="28"/>
    <x v="30"/>
    <n v="60.778248111159712"/>
    <n v="64.413371890598569"/>
    <n v="68.404225210108862"/>
    <n v="72.772842744260316"/>
    <n v="77.597334695692354"/>
    <n v="83.017623870499463"/>
    <n v="89.070979640064238"/>
    <n v="95.845451351203565"/>
    <n v="103.20931139587107"/>
    <n v="111.07195681761613"/>
    <n v="119.22878761596679"/>
    <n v="127.55506674084634"/>
    <n v="136.21869439761906"/>
  </r>
  <r>
    <x v="26"/>
    <x v="5"/>
    <x v="16"/>
    <x v="29"/>
    <x v="31"/>
    <n v="3.3845857604815763"/>
    <n v="3.7093078426865889"/>
    <n v="4.069820868710476"/>
    <n v="4.4623203146042725"/>
    <n v="4.8837483374911264"/>
    <n v="5.3425347618400698"/>
    <n v="5.8470915177766321"/>
    <n v="6.4168406223932832"/>
    <n v="7.062961640733147"/>
    <n v="7.7794387457027829"/>
    <n v="8.5744309096857663"/>
    <n v="9.4420900486565582"/>
    <n v="10.38338574321245"/>
  </r>
  <r>
    <x v="26"/>
    <x v="5"/>
    <x v="17"/>
    <x v="30"/>
    <x v="32"/>
    <n v="15.683156270588768"/>
    <n v="16.405296878413495"/>
    <n v="17.297922477725294"/>
    <n v="18.428526016008846"/>
    <n v="19.941972378088806"/>
    <n v="21.865744888518122"/>
    <n v="24.156188061683082"/>
    <n v="26.772048847355762"/>
    <n v="29.566502296651123"/>
    <n v="32.455971969458744"/>
    <n v="35.273413607921213"/>
    <n v="38.000891217275438"/>
    <n v="40.750982370019074"/>
  </r>
  <r>
    <x v="26"/>
    <x v="5"/>
    <x v="18"/>
    <x v="31"/>
    <x v="33"/>
    <n v="7.0445299060863835"/>
    <n v="7.53535560861022"/>
    <n v="8.0697986527844705"/>
    <n v="8.6360945753136615"/>
    <n v="9.2248579708165739"/>
    <n v="9.8491477214640035"/>
    <n v="10.52061068481261"/>
    <n v="11.269412284858998"/>
    <n v="12.108135224767201"/>
    <n v="13.018360992457954"/>
    <n v="14.006776505065645"/>
    <n v="15.056230419753309"/>
    <n v="16.161730037534898"/>
  </r>
  <r>
    <x v="26"/>
    <x v="5"/>
    <x v="19"/>
    <x v="32"/>
    <x v="34"/>
    <n v="33.970549646217385"/>
    <n v="36.604934706319384"/>
    <n v="39.508322303213511"/>
    <n v="42.658477976808264"/>
    <n v="45.988630178041447"/>
    <n v="49.55426134428464"/>
    <n v="53.401200040699358"/>
    <n v="57.623706197598317"/>
    <n v="62.26773996774854"/>
    <n v="67.359868789844469"/>
    <n v="72.841872189606519"/>
    <n v="78.654817548234661"/>
    <n v="84.868763539883247"/>
  </r>
  <r>
    <x v="26"/>
    <x v="5"/>
    <x v="20"/>
    <x v="33"/>
    <x v="35"/>
    <n v="15.675874620658909"/>
    <n v="16.92188442897589"/>
    <n v="18.284662041843738"/>
    <n v="19.78309209896425"/>
    <n v="21.43422881454439"/>
    <n v="23.257365424631718"/>
    <n v="25.271012820439474"/>
    <n v="27.476633485994626"/>
    <n v="29.874299870051694"/>
    <n v="32.467463500307922"/>
    <n v="35.258818579294449"/>
    <n v="38.271268741092911"/>
    <n v="41.503974573921823"/>
  </r>
  <r>
    <x v="26"/>
    <x v="5"/>
    <x v="21"/>
    <x v="34"/>
    <x v="36"/>
    <n v="18.404143110780062"/>
    <n v="19.419157965085219"/>
    <n v="20.416802843258381"/>
    <n v="21.429939294483834"/>
    <n v="22.519506222875755"/>
    <n v="23.741329591504975"/>
    <n v="25.132576336101518"/>
    <n v="26.660268049005257"/>
    <n v="28.26189531405009"/>
    <n v="29.931355070163765"/>
    <n v="31.69663066576193"/>
    <n v="33.588924600666196"/>
    <n v="35.582335621374611"/>
  </r>
  <r>
    <x v="26"/>
    <x v="5"/>
    <x v="22"/>
    <x v="35"/>
    <x v="37"/>
    <n v="9.0754259548231104"/>
    <n v="9.6534333054005366"/>
    <n v="10.285318387998185"/>
    <n v="10.962855224746052"/>
    <n v="11.666732139562118"/>
    <n v="12.409588907497083"/>
    <n v="13.200961177973088"/>
    <n v="14.061816544532112"/>
    <n v="15.000198296275148"/>
    <n v="16.018984108585677"/>
    <n v="17.10065022475121"/>
    <n v="18.228308928474458"/>
    <n v="19.415754448918332"/>
  </r>
  <r>
    <x v="27"/>
    <x v="0"/>
    <x v="0"/>
    <x v="0"/>
    <x v="0"/>
    <n v="4.8754852203552961"/>
    <n v="5.2957846561452548"/>
    <n v="5.7532875820727991"/>
    <n v="6.2660484833559602"/>
    <n v="6.8369436529205876"/>
    <n v="7.4684096546374352"/>
    <n v="8.1597028934878644"/>
    <n v="8.9081837139750721"/>
    <n v="9.7166396522864886"/>
    <n v="10.611263594097338"/>
    <n v="11.603229510836094"/>
    <n v="12.689245202473893"/>
    <n v="13.866499695079032"/>
  </r>
  <r>
    <x v="27"/>
    <x v="0"/>
    <x v="1"/>
    <x v="1"/>
    <x v="1"/>
    <n v="15.575575453154329"/>
    <n v="16.560473815432569"/>
    <n v="17.640771709329524"/>
    <n v="18.78566097334593"/>
    <n v="19.979806209020364"/>
    <n v="21.19658000888559"/>
    <n v="22.4945210791786"/>
    <n v="23.916928683812536"/>
    <n v="25.509003214674589"/>
    <n v="27.275081135714874"/>
    <n v="29.172522530235852"/>
    <n v="31.163066243111523"/>
    <n v="33.248752896343234"/>
  </r>
  <r>
    <x v="27"/>
    <x v="0"/>
    <x v="2"/>
    <x v="2"/>
    <x v="2"/>
    <n v="32.713647373057213"/>
    <n v="34.416966322233826"/>
    <n v="36.078974088188978"/>
    <n v="37.758045546422515"/>
    <n v="39.561343855734663"/>
    <n v="41.585789818813517"/>
    <n v="43.894479216504557"/>
    <n v="46.427253102872406"/>
    <n v="49.073213714307165"/>
    <n v="51.820683044071536"/>
    <n v="54.717126106613932"/>
    <n v="57.815005259096495"/>
    <n v="61.067872463976173"/>
  </r>
  <r>
    <x v="27"/>
    <x v="1"/>
    <x v="3"/>
    <x v="3"/>
    <x v="3"/>
    <n v="1.9567555816246174"/>
    <n v="2.1198672095700442"/>
    <n v="2.300108641637912"/>
    <n v="2.4995085922819857"/>
    <n v="2.7211938480698503"/>
    <n v="2.9697972265853285"/>
    <n v="3.2480420897504656"/>
    <n v="3.558852225652736"/>
    <n v="3.9005905448760583"/>
    <n v="4.2725438477831146"/>
    <n v="4.6714208613603319"/>
    <n v="5.0966363339194443"/>
    <n v="5.5525651196921597"/>
  </r>
  <r>
    <x v="27"/>
    <x v="1"/>
    <x v="3"/>
    <x v="3"/>
    <x v="4"/>
    <n v="4.207962304758694"/>
    <n v="4.4535314209002514"/>
    <n v="4.7208540616086463"/>
    <n v="5.0120907989438797"/>
    <n v="5.331318559483786"/>
    <n v="5.6850952758535467"/>
    <n v="6.0756132015055098"/>
    <n v="6.5051076296298662"/>
    <n v="6.9671320477045633"/>
    <n v="7.4573269349096716"/>
    <n v="7.9670963993657056"/>
    <n v="8.493122896484417"/>
    <n v="9.0405624346906439"/>
  </r>
  <r>
    <x v="27"/>
    <x v="1"/>
    <x v="3"/>
    <x v="3"/>
    <x v="5"/>
    <n v="5.0369202536840056"/>
    <n v="5.3729930410481241"/>
    <n v="5.5939015561004002"/>
    <n v="5.7120939125745158"/>
    <n v="5.8311296744353953"/>
    <n v="5.9754801446598709"/>
    <n v="6.2286480233019219"/>
    <n v="6.543853583571698"/>
    <n v="6.8645395183705826"/>
    <n v="7.1705142037745944"/>
    <n v="7.5067174287164526"/>
    <n v="7.9259825542616902"/>
    <n v="8.3709231256535261"/>
  </r>
  <r>
    <x v="27"/>
    <x v="1"/>
    <x v="3"/>
    <x v="4"/>
    <x v="6"/>
    <n v="9.60334885415201"/>
    <n v="10.124765861160183"/>
    <n v="10.676349534138168"/>
    <n v="11.287180796225238"/>
    <n v="11.955358459490554"/>
    <n v="12.678053943892463"/>
    <n v="13.446989975782689"/>
    <n v="14.251356284582126"/>
    <n v="15.089947963745937"/>
    <n v="15.997758830633581"/>
    <n v="16.982756812706093"/>
    <n v="18.030331838948523"/>
    <n v="19.127737394820592"/>
  </r>
  <r>
    <x v="27"/>
    <x v="1"/>
    <x v="3"/>
    <x v="5"/>
    <x v="7"/>
    <n v="6.1896568947963004"/>
    <n v="6.4808957711022703"/>
    <n v="6.7926276766208309"/>
    <n v="7.1289768153939468"/>
    <n v="7.4927592188512238"/>
    <n v="7.8870576995798238"/>
    <n v="8.3141240919149801"/>
    <n v="8.770115257865406"/>
    <n v="9.2509692569133009"/>
    <n v="9.753936813920884"/>
    <n v="10.276168468181321"/>
    <n v="10.820855629631188"/>
    <n v="11.383917775552574"/>
  </r>
  <r>
    <x v="27"/>
    <x v="1"/>
    <x v="3"/>
    <x v="6"/>
    <x v="8"/>
    <n v="3.9330691961668003"/>
    <n v="4.0974714978375877"/>
    <n v="4.2532689615976196"/>
    <n v="4.407540338551347"/>
    <n v="4.5727868762106736"/>
    <n v="4.7598357801888183"/>
    <n v="4.9752125110246412"/>
    <n v="5.2112061974219426"/>
    <n v="5.4546946343852536"/>
    <n v="5.7040811856650055"/>
    <n v="5.9643358218481008"/>
    <n v="6.2407752147313147"/>
    <n v="6.5278249209031998"/>
  </r>
  <r>
    <x v="27"/>
    <x v="1"/>
    <x v="3"/>
    <x v="7"/>
    <x v="9"/>
    <n v="6.5225719229961632"/>
    <n v="6.9921791537020512"/>
    <n v="7.5079572396519962"/>
    <n v="8.0649135756805599"/>
    <n v="8.6497293923503094"/>
    <n v="9.2723459758336126"/>
    <n v="9.9406873832648373"/>
    <n v="10.671522096180166"/>
    <n v="11.472319304023646"/>
    <n v="12.346809738025947"/>
    <n v="13.283092795299712"/>
    <n v="14.269367930630121"/>
    <n v="15.317465868206275"/>
  </r>
  <r>
    <x v="27"/>
    <x v="1"/>
    <x v="3"/>
    <x v="8"/>
    <x v="10"/>
    <n v="7.3405710486069378"/>
    <n v="7.615330054287182"/>
    <n v="7.9138353451405692"/>
    <n v="8.2273426188967527"/>
    <n v="8.5395417567789682"/>
    <n v="8.8590401231203408"/>
    <n v="9.1913599460248303"/>
    <n v="9.5493862244390382"/>
    <n v="9.9358835622912185"/>
    <n v="10.349803237488125"/>
    <n v="10.776887132278315"/>
    <n v="11.204550227592748"/>
    <n v="11.640226256362572"/>
  </r>
  <r>
    <x v="27"/>
    <x v="1"/>
    <x v="4"/>
    <x v="9"/>
    <x v="11"/>
    <n v="1.1014369822384209"/>
    <n v="1.20710374107595"/>
    <n v="1.3250415369882127"/>
    <n v="1.4550549527281487"/>
    <n v="1.5953974825043333"/>
    <n v="1.7484266756062647"/>
    <n v="1.9163055601007666"/>
    <n v="2.1030641994625565"/>
    <n v="2.3112227527721005"/>
    <n v="2.542724624616115"/>
    <n v="2.7964125117535841"/>
    <n v="3.0709881463138857"/>
    <n v="3.3700686662116732"/>
  </r>
  <r>
    <x v="27"/>
    <x v="1"/>
    <x v="4"/>
    <x v="10"/>
    <x v="12"/>
    <n v="0.83668396953344326"/>
    <n v="0.9262403189645374"/>
    <n v="1.0272350142054445"/>
    <n v="1.1388994813929187"/>
    <n v="1.2611837806358368"/>
    <n v="1.3932346594114582"/>
    <n v="1.5395761936652872"/>
    <n v="1.7043681923127181"/>
    <n v="1.8924803002731476"/>
    <n v="2.1064010650535563"/>
    <n v="2.345204978034134"/>
    <n v="2.6079552894508931"/>
    <n v="2.8967391162607359"/>
  </r>
  <r>
    <x v="27"/>
    <x v="1"/>
    <x v="4"/>
    <x v="11"/>
    <x v="13"/>
    <n v="0.85859550928276707"/>
    <n v="0.91841419849398021"/>
    <n v="0.98402400645423604"/>
    <n v="1.0547313346925453"/>
    <n v="1.1287594836690737"/>
    <n v="1.2073823172672591"/>
    <n v="1.2915998246571223"/>
    <n v="1.3835522810410084"/>
    <n v="1.4841555249321474"/>
    <n v="1.5938335373728585"/>
    <n v="1.7109884787445531"/>
    <n v="1.8340488637013403"/>
    <n v="1.9644938452662264"/>
  </r>
  <r>
    <x v="27"/>
    <x v="1"/>
    <x v="4"/>
    <x v="12"/>
    <x v="14"/>
    <n v="0.93990663351285952"/>
    <n v="1.009719426909409"/>
    <n v="1.0849027669818043"/>
    <n v="1.1686512607289552"/>
    <n v="1.2611837806358368"/>
    <n v="1.3626213963399589"/>
    <n v="1.4724921849536172"/>
    <n v="1.5899949244336824"/>
    <n v="1.7153245473396725"/>
    <n v="1.852792284065065"/>
    <n v="2.0038911518737748"/>
    <n v="2.1675401309039608"/>
    <n v="2.3427757539108764"/>
  </r>
  <r>
    <x v="27"/>
    <x v="1"/>
    <x v="4"/>
    <x v="13"/>
    <x v="15"/>
    <n v="0.76180264329224412"/>
    <n v="0.8272208312611059"/>
    <n v="0.89929069355999069"/>
    <n v="0.97696502189777878"/>
    <n v="1.0593943757341029"/>
    <n v="1.1482488344702284"/>
    <n v="1.2451298970950031"/>
    <n v="1.3539204838090619"/>
    <n v="1.4766166591160819"/>
    <n v="1.6115393778494429"/>
    <n v="1.7599990286809983"/>
    <n v="1.9203752112767101"/>
    <n v="2.0924847709070806"/>
  </r>
  <r>
    <x v="27"/>
    <x v="1"/>
    <x v="5"/>
    <x v="14"/>
    <x v="16"/>
    <n v="1.1275777330984436"/>
    <n v="1.2063765486396223"/>
    <n v="1.2861253911392159"/>
    <n v="1.368893364704735"/>
    <n v="1.4586586094459211"/>
    <n v="1.5592886344357968"/>
    <n v="1.6736344476227518"/>
    <n v="1.8000225598083406"/>
    <n v="1.9346773367443524"/>
    <n v="2.0774620994445852"/>
    <n v="2.2305903857092275"/>
    <n v="2.3966176777059265"/>
    <n v="2.5741569719636246"/>
  </r>
  <r>
    <x v="27"/>
    <x v="1"/>
    <x v="5"/>
    <x v="15"/>
    <x v="17"/>
    <n v="1.0649966878510073"/>
    <n v="1.1246038795508"/>
    <n v="1.1897964558662677"/>
    <n v="1.258371605820126"/>
    <n v="1.3292213266964541"/>
    <n v="1.4005154880528643"/>
    <n v="1.4761004240259579"/>
    <n v="1.5587168320831533"/>
    <n v="1.65115295107166"/>
    <n v="1.7534738561669181"/>
    <n v="1.862720014384752"/>
    <n v="1.9762888767002762"/>
    <n v="2.0942022030620095"/>
  </r>
  <r>
    <x v="27"/>
    <x v="1"/>
    <x v="5"/>
    <x v="16"/>
    <x v="18"/>
    <n v="0.60724556035254351"/>
    <n v="0.66146975380563289"/>
    <n v="0.72065718074851459"/>
    <n v="0.78711149750150367"/>
    <n v="0.86125576598684095"/>
    <n v="0.9434622013348557"/>
    <n v="1.0337052583754156"/>
    <n v="1.1317186825019085"/>
    <n v="1.2379224890460343"/>
    <n v="1.3557231600749398"/>
    <n v="1.4866466990878888"/>
    <n v="1.6303825812669037"/>
    <n v="1.7866782496891449"/>
  </r>
  <r>
    <x v="27"/>
    <x v="1"/>
    <x v="5"/>
    <x v="17"/>
    <x v="19"/>
    <n v="0.50529557617998555"/>
    <n v="0.52861808812203637"/>
    <n v="0.55102039662062696"/>
    <n v="0.57340693551077726"/>
    <n v="0.59740284345908046"/>
    <n v="0.62444187453796551"/>
    <n v="0.65541728117076403"/>
    <n v="0.6893613848395671"/>
    <n v="0.72457408972539838"/>
    <n v="0.76085771094696864"/>
    <n v="0.79888706418239452"/>
    <n v="0.83939455672009955"/>
    <n v="0.88165976461451312"/>
  </r>
  <r>
    <x v="27"/>
    <x v="1"/>
    <x v="5"/>
    <x v="18"/>
    <x v="20"/>
    <n v="0.57031069443958915"/>
    <n v="0.60642399738088515"/>
    <n v="0.64603692053083472"/>
    <n v="0.68802209959869376"/>
    <n v="0.73181848323737353"/>
    <n v="0.77645123116609061"/>
    <n v="0.82406489493446311"/>
    <n v="0.87624646102502823"/>
    <n v="0.93465309793708029"/>
    <n v="0.9994452660923705"/>
    <n v="1.0690621154785263"/>
    <n v="1.1421027444424623"/>
    <n v="1.2186428176310018"/>
  </r>
  <r>
    <x v="27"/>
    <x v="2"/>
    <x v="6"/>
    <x v="19"/>
    <x v="21"/>
    <n v="20.451060673509623"/>
    <n v="21.856258471577824"/>
    <n v="23.394059291402321"/>
    <n v="25.051709456701889"/>
    <n v="26.816749861940952"/>
    <n v="28.664989663523023"/>
    <n v="30.654223972666465"/>
    <n v="32.825112397787606"/>
    <n v="35.225642866961081"/>
    <n v="37.886344729812208"/>
    <n v="40.775752041071947"/>
    <n v="43.852311445585414"/>
    <n v="47.115252591422262"/>
  </r>
  <r>
    <x v="27"/>
    <x v="2"/>
    <x v="7"/>
    <x v="20"/>
    <x v="22"/>
    <n v="32.713647373057213"/>
    <n v="34.416966322233826"/>
    <n v="36.078974088188978"/>
    <n v="37.758045546422515"/>
    <n v="39.561343855734663"/>
    <n v="41.585789818813517"/>
    <n v="43.894479216504557"/>
    <n v="46.427253102872406"/>
    <n v="49.073213714307165"/>
    <n v="51.820683044071536"/>
    <n v="54.717126106613932"/>
    <n v="57.815005259096495"/>
    <n v="61.067872463976173"/>
  </r>
  <r>
    <x v="27"/>
    <x v="3"/>
    <x v="8"/>
    <x v="21"/>
    <x v="23"/>
    <n v="3.3601448113450174"/>
    <n v="3.4845871899668062"/>
    <n v="3.6142770941388118"/>
    <n v="3.7586782671878933"/>
    <n v="3.9163075293428609"/>
    <n v="4.0854489291077352"/>
    <n v="4.2627183806147233"/>
    <n v="4.4441271772117172"/>
    <n v="4.6289247985432933"/>
    <n v="4.8275032104733917"/>
    <n v="5.0414122583774734"/>
    <n v="5.2653725727302065"/>
    <n v="5.4949633907989242"/>
  </r>
  <r>
    <x v="27"/>
    <x v="3"/>
    <x v="9"/>
    <x v="22"/>
    <x v="24"/>
    <n v="10.099086310629129"/>
    <n v="10.51371219819363"/>
    <n v="10.956375241035079"/>
    <n v="11.433197435159668"/>
    <n v="11.94805686918161"/>
    <n v="12.505161434628693"/>
    <n v="13.107297716138097"/>
    <n v="13.747571374483288"/>
    <n v="14.418892403629279"/>
    <n v="15.116369538532886"/>
    <n v="15.835060358547667"/>
    <n v="16.579437458745744"/>
    <n v="17.342724507457504"/>
  </r>
  <r>
    <x v="27"/>
    <x v="3"/>
    <x v="10"/>
    <x v="23"/>
    <x v="25"/>
    <n v="17.825127116138596"/>
    <n v="19.113497246289732"/>
    <n v="20.416369284422252"/>
    <n v="21.747211241527417"/>
    <n v="23.165954707468785"/>
    <n v="24.717306372688213"/>
    <n v="26.47422678892022"/>
    <n v="28.43402364479946"/>
    <n v="30.564929033841047"/>
    <n v="32.871453738073427"/>
    <n v="35.368771416486155"/>
    <n v="38.066644992355847"/>
    <n v="40.949193434403057"/>
  </r>
  <r>
    <x v="27"/>
    <x v="3"/>
    <x v="11"/>
    <x v="24"/>
    <x v="26"/>
    <n v="11.764431615768592"/>
    <n v="12.513796361363589"/>
    <n v="13.263626998187327"/>
    <n v="14.035155399946602"/>
    <n v="14.868692992759337"/>
    <n v="15.802480809072327"/>
    <n v="16.863558284919971"/>
    <n v="18.032731996270503"/>
    <n v="19.270164995619076"/>
    <n v="20.573157732657197"/>
    <n v="21.962329882664328"/>
    <n v="23.461175799452448"/>
    <n v="25.054033085561386"/>
  </r>
  <r>
    <x v="27"/>
    <x v="3"/>
    <x v="12"/>
    <x v="25"/>
    <x v="27"/>
    <n v="3.248607854234673"/>
    <n v="3.4260143237587704"/>
    <n v="3.6137370459241689"/>
    <n v="3.8216286935892896"/>
    <n v="4.0490637167782122"/>
    <n v="4.2951017157095066"/>
    <n v="4.5569552477642583"/>
    <n v="4.8309751763179509"/>
    <n v="5.1167640997218884"/>
    <n v="5.426198568779955"/>
    <n v="5.7620024779241854"/>
    <n v="6.1192425664910086"/>
    <n v="6.4936121950248795"/>
  </r>
  <r>
    <x v="27"/>
    <x v="3"/>
    <x v="13"/>
    <x v="26"/>
    <x v="28"/>
    <n v="6.8673103384508272"/>
    <n v="7.2216174742391201"/>
    <n v="7.6086477158836656"/>
    <n v="8.0138839657135392"/>
    <n v="8.4300179021448027"/>
    <n v="8.8452802211300696"/>
    <n v="9.2839467708137526"/>
    <n v="9.7629361315770851"/>
    <n v="10.299181249913651"/>
    <n v="10.892344985366879"/>
    <n v="11.523301753686065"/>
    <n v="12.175443314906651"/>
    <n v="12.84859844215269"/>
  </r>
  <r>
    <x v="27"/>
    <x v="4"/>
    <x v="14"/>
    <x v="27"/>
    <x v="29"/>
    <n v="22.415012508811582"/>
    <n v="23.91958929521012"/>
    <n v="25.555058208998197"/>
    <n v="27.283183759488235"/>
    <n v="29.073605048341918"/>
    <n v="30.966983461327466"/>
    <n v="32.999149022704039"/>
    <n v="35.263670092130099"/>
    <n v="37.798197723156633"/>
    <n v="40.543239678811943"/>
    <n v="43.51804394864434"/>
    <n v="46.667602333189308"/>
    <n v="49.975104256552299"/>
  </r>
  <r>
    <x v="27"/>
    <x v="4"/>
    <x v="15"/>
    <x v="28"/>
    <x v="30"/>
    <n v="30.749695537755255"/>
    <n v="32.353635498601534"/>
    <n v="33.917975170593103"/>
    <n v="35.52657124363617"/>
    <n v="37.304488669333693"/>
    <n v="39.283796021009074"/>
    <n v="41.549554166466983"/>
    <n v="43.988695408529907"/>
    <n v="46.500658858111606"/>
    <n v="49.163788095071794"/>
    <n v="51.974834199041531"/>
    <n v="54.999714371492601"/>
    <n v="58.208020798846135"/>
  </r>
  <r>
    <x v="27"/>
    <x v="5"/>
    <x v="16"/>
    <x v="29"/>
    <x v="31"/>
    <n v="5.2744284205049272"/>
    <n v="5.6891085375740467"/>
    <n v="6.1464480868821312"/>
    <n v="6.6431164669505947"/>
    <n v="7.1688341215089659"/>
    <n v="7.7323379103948486"/>
    <n v="8.3408931101847958"/>
    <n v="9.0093585583668361"/>
    <n v="9.7451005742658428"/>
    <n v="10.552479615180893"/>
    <n v="11.422590626445468"/>
    <n v="12.346381550606116"/>
    <n v="13.335012085246763"/>
  </r>
  <r>
    <x v="27"/>
    <x v="5"/>
    <x v="17"/>
    <x v="30"/>
    <x v="32"/>
    <n v="7.7460256950992914"/>
    <n v="8.3724052773442494"/>
    <n v="8.8967888187206796"/>
    <n v="9.3681507651491813"/>
    <n v="9.8903359639336657"/>
    <n v="10.494752425734127"/>
    <n v="11.254409943335617"/>
    <n v="12.090287324386182"/>
    <n v="12.939149492342338"/>
    <n v="13.839828444283597"/>
    <n v="14.852258479575269"/>
    <n v="16.052497681276819"/>
    <n v="17.385448862211632"/>
  </r>
  <r>
    <x v="27"/>
    <x v="5"/>
    <x v="18"/>
    <x v="31"/>
    <x v="33"/>
    <n v="6.2745339179649058"/>
    <n v="6.5977235157257113"/>
    <n v="6.9507554569195849"/>
    <n v="7.32036056364029"/>
    <n v="7.6998588712503713"/>
    <n v="8.0784979748539119"/>
    <n v="8.4784494174177283"/>
    <n v="8.9151586125031415"/>
    <n v="9.4040790831523733"/>
    <n v="9.9448902190243125"/>
    <n v="10.520117363082944"/>
    <n v="11.114589671913691"/>
    <n v="11.728146027188677"/>
  </r>
  <r>
    <x v="27"/>
    <x v="5"/>
    <x v="19"/>
    <x v="32"/>
    <x v="34"/>
    <n v="15.453644084612554"/>
    <n v="16.243685076429024"/>
    <n v="17.101188364475753"/>
    <n v="18.032461186985561"/>
    <n v="19.050512896972897"/>
    <n v="20.176841727632414"/>
    <n v="21.416842111814322"/>
    <n v="22.775882405828771"/>
    <n v="24.22875475669256"/>
    <n v="25.758153255876866"/>
    <n v="27.332576100051995"/>
    <n v="28.939456823530097"/>
    <n v="30.59542696073834"/>
  </r>
  <r>
    <x v="27"/>
    <x v="5"/>
    <x v="20"/>
    <x v="33"/>
    <x v="35"/>
    <n v="9.2166729266699452"/>
    <n v="9.8065559537782381"/>
    <n v="10.446450711018612"/>
    <n v="11.120264871192036"/>
    <n v="11.815300681746258"/>
    <n v="12.547869783659136"/>
    <n v="13.332133373315836"/>
    <n v="14.205411195494777"/>
    <n v="15.182057813599627"/>
    <n v="16.237237121242984"/>
    <n v="17.377931145781083"/>
    <n v="18.581382969649034"/>
    <n v="19.840303841790043"/>
  </r>
  <r>
    <x v="27"/>
    <x v="5"/>
    <x v="21"/>
    <x v="34"/>
    <x v="36"/>
    <n v="3.1462895354809186"/>
    <n v="3.2612410294070253"/>
    <n v="3.3680740739192294"/>
    <n v="3.4725073419142523"/>
    <n v="3.584417060754483"/>
    <n v="3.7121669942221898"/>
    <n v="3.8605955600662294"/>
    <n v="4.0233947988372636"/>
    <n v="4.1902030532597871"/>
    <n v="4.3597185092737156"/>
    <n v="4.5356837741878957"/>
    <n v="4.722029175910504"/>
    <n v="4.914364095721286"/>
  </r>
  <r>
    <x v="27"/>
    <x v="5"/>
    <x v="22"/>
    <x v="35"/>
    <x v="37"/>
    <n v="6.0531134662342918"/>
    <n v="6.3025054035533561"/>
    <n v="6.5633278676553104"/>
    <n v="6.8528938072924985"/>
    <n v="7.1688341215089721"/>
    <n v="7.5083126658399184"/>
    <n v="7.8653796730364949"/>
    <n v="8.2328726052430437"/>
    <n v="8.6095118079557178"/>
    <n v="9.0147206090013796"/>
    <n v="9.4517206585612019"/>
    <n v="9.910978831795628"/>
    <n v="10.38442318250169"/>
  </r>
  <r>
    <x v="28"/>
    <x v="0"/>
    <x v="0"/>
    <x v="0"/>
    <x v="0"/>
    <n v="7.1597377988502933"/>
    <n v="7.8104066872572755"/>
    <n v="8.5332249741700217"/>
    <n v="9.3371589097637315"/>
    <n v="10.235507551454036"/>
    <n v="11.247582983099308"/>
    <n v="12.385975651170003"/>
    <n v="13.664359501969418"/>
    <n v="15.079242954600234"/>
    <n v="16.630578446549858"/>
    <n v="18.30825242568854"/>
    <n v="20.112449006227457"/>
    <n v="22.062903432419215"/>
  </r>
  <r>
    <x v="28"/>
    <x v="0"/>
    <x v="1"/>
    <x v="1"/>
    <x v="1"/>
    <n v="22.947476249363991"/>
    <n v="24.615501150647546"/>
    <n v="26.448286868334041"/>
    <n v="28.428568196168968"/>
    <n v="30.509685970680309"/>
    <n v="32.726904671469804"/>
    <n v="35.108460069443787"/>
    <n v="37.713897633726823"/>
    <n v="40.57005213524554"/>
    <n v="43.690606935497094"/>
    <n v="47.03396731913967"/>
    <n v="50.558786066575692"/>
    <n v="54.307339349048647"/>
  </r>
  <r>
    <x v="28"/>
    <x v="0"/>
    <x v="2"/>
    <x v="2"/>
    <x v="2"/>
    <n v="45.659657964940465"/>
    <n v="48.319871079893929"/>
    <n v="51.18569377319767"/>
    <n v="54.293999764924216"/>
    <n v="57.673148318769861"/>
    <n v="61.35461063622769"/>
    <n v="65.364565259184147"/>
    <n v="69.682198139488449"/>
    <n v="74.283869338908602"/>
    <n v="79.155290375416044"/>
    <n v="84.280585842426163"/>
    <n v="89.692593256466509"/>
    <n v="95.365127486706882"/>
  </r>
  <r>
    <x v="28"/>
    <x v="1"/>
    <x v="3"/>
    <x v="3"/>
    <x v="3"/>
    <n v="2.7465122179502419"/>
    <n v="3.0189239910252335"/>
    <n v="3.324392670517502"/>
    <n v="3.6596619516442157"/>
    <n v="4.023864022177972"/>
    <n v="4.4135804336317452"/>
    <n v="4.8425125747900939"/>
    <n v="5.3228153486190113"/>
    <n v="5.8684994888056714"/>
    <n v="6.4857753826601465"/>
    <n v="7.1701411325145665"/>
    <n v="7.9171595680494438"/>
    <n v="8.7316711356010508"/>
  </r>
  <r>
    <x v="28"/>
    <x v="1"/>
    <x v="3"/>
    <x v="3"/>
    <x v="4"/>
    <n v="6.1087376502423059"/>
    <n v="6.5670799803476081"/>
    <n v="7.0714209740399774"/>
    <n v="7.6174443134381686"/>
    <n v="8.1929190142283463"/>
    <n v="8.8075060183300433"/>
    <n v="9.4690586040237044"/>
    <n v="10.193942495267214"/>
    <n v="10.989823796777829"/>
    <n v="11.860871610472733"/>
    <n v="12.79628336390404"/>
    <n v="13.785228490058605"/>
    <n v="14.839581572900613"/>
  </r>
  <r>
    <x v="28"/>
    <x v="1"/>
    <x v="3"/>
    <x v="3"/>
    <x v="5"/>
    <n v="6.4756843500099244"/>
    <n v="6.858434733170105"/>
    <n v="7.3101871634456241"/>
    <n v="7.8719564593195521"/>
    <n v="8.524784088222404"/>
    <n v="9.2818951997010473"/>
    <n v="10.074209358430744"/>
    <n v="10.84005074008671"/>
    <n v="11.544302211085444"/>
    <n v="12.203645307551938"/>
    <n v="12.780992099645122"/>
    <n v="13.325327607318194"/>
    <n v="13.861342987254783"/>
  </r>
  <r>
    <x v="28"/>
    <x v="1"/>
    <x v="3"/>
    <x v="4"/>
    <x v="6"/>
    <n v="13.652654973623507"/>
    <n v="14.556250767034905"/>
    <n v="15.548763206994526"/>
    <n v="16.603766810320785"/>
    <n v="17.70821541075021"/>
    <n v="18.838907764850088"/>
    <n v="20.0480759174981"/>
    <n v="21.374950221436926"/>
    <n v="22.860893032206548"/>
    <n v="24.511097928675561"/>
    <n v="26.288592605943922"/>
    <n v="28.159936104021913"/>
    <n v="30.127731778063744"/>
  </r>
  <r>
    <x v="28"/>
    <x v="1"/>
    <x v="3"/>
    <x v="5"/>
    <x v="7"/>
    <n v="9.0689317629533779"/>
    <n v="9.5979228574484114"/>
    <n v="10.121517015031131"/>
    <n v="10.655946070008541"/>
    <n v="11.23159958922583"/>
    <n v="11.876684545941607"/>
    <n v="12.610411920860765"/>
    <n v="13.417023324545207"/>
    <n v="14.265704236537731"/>
    <n v="15.153739311830536"/>
    <n v="16.095636211750275"/>
    <n v="17.107709884305322"/>
    <n v="18.177384371585713"/>
  </r>
  <r>
    <x v="28"/>
    <x v="1"/>
    <x v="3"/>
    <x v="6"/>
    <x v="8"/>
    <n v="5.5955931142470394"/>
    <n v="5.8655659625193053"/>
    <n v="6.1547091788203847"/>
    <n v="6.4668248883143891"/>
    <n v="6.8045457365382758"/>
    <n v="7.1707584523682186"/>
    <n v="7.5676071794960986"/>
    <n v="7.9916978710817004"/>
    <n v="8.4394215213129833"/>
    <n v="8.9083501451682281"/>
    <n v="9.3959531483699248"/>
    <n v="9.905211799633566"/>
    <n v="10.432464226547308"/>
  </r>
  <r>
    <x v="28"/>
    <x v="1"/>
    <x v="3"/>
    <x v="7"/>
    <x v="9"/>
    <n v="9.4135088711768606"/>
    <n v="10.162489488234725"/>
    <n v="10.983765444918877"/>
    <n v="11.863174538867771"/>
    <n v="12.78926668554182"/>
    <n v="13.781259069130753"/>
    <n v="14.857085421797786"/>
    <n v="16.061466818806977"/>
    <n v="17.41568049354586"/>
    <n v="18.897135704234454"/>
    <n v="20.518782933284449"/>
    <n v="22.259072137763933"/>
    <n v="24.113574398573849"/>
  </r>
  <r>
    <x v="28"/>
    <x v="1"/>
    <x v="3"/>
    <x v="8"/>
    <x v="10"/>
    <n v="10.817894586060989"/>
    <n v="11.234196525748859"/>
    <n v="11.68524255465133"/>
    <n v="12.173873206367807"/>
    <n v="12.707284206788346"/>
    <n v="13.297953259884647"/>
    <n v="13.947106771046336"/>
    <n v="14.655843604052578"/>
    <n v="15.405480922467433"/>
    <n v="16.183191404569016"/>
    <n v="16.967796439434625"/>
    <n v="17.750849730511277"/>
    <n v="18.542205916095877"/>
  </r>
  <r>
    <x v="28"/>
    <x v="1"/>
    <x v="4"/>
    <x v="9"/>
    <x v="11"/>
    <n v="1.5228870172593836"/>
    <n v="1.680509725851324"/>
    <n v="1.8565474258384727"/>
    <n v="2.0496331154158232"/>
    <n v="2.2587009452487523"/>
    <n v="2.4879648789756463"/>
    <n v="2.7417436718902297"/>
    <n v="3.0296337829905324"/>
    <n v="3.3575994032520309"/>
    <n v="3.7235863418512811"/>
    <n v="4.1322594843335656"/>
    <n v="4.581653291919082"/>
    <n v="5.0730473476860141"/>
  </r>
  <r>
    <x v="28"/>
    <x v="1"/>
    <x v="4"/>
    <x v="10"/>
    <x v="12"/>
    <n v="1.160602736768537"/>
    <n v="1.2870338763049503"/>
    <n v="1.4293829443950241"/>
    <n v="1.5898584695543598"/>
    <n v="1.7715301531362755"/>
    <n v="1.97868537543528"/>
    <n v="2.2146813833396863"/>
    <n v="2.4832537835679926"/>
    <n v="2.785223466145351"/>
    <n v="3.1220565788300769"/>
    <n v="3.4933807463535196"/>
    <n v="3.9007174136778415"/>
    <n v="4.3494339363034786"/>
  </r>
  <r>
    <x v="28"/>
    <x v="1"/>
    <x v="4"/>
    <x v="11"/>
    <x v="13"/>
    <n v="1.1036296989297842"/>
    <n v="1.1854150908495371"/>
    <n v="1.2745031203306028"/>
    <n v="1.3720919683464752"/>
    <n v="1.4792276778687901"/>
    <n v="1.5970884801143896"/>
    <n v="1.7267737662991838"/>
    <n v="1.8681942661641753"/>
    <n v="2.0211657823563716"/>
    <n v="2.185734141163294"/>
    <n v="2.3618910293195707"/>
    <n v="2.5509797933163751"/>
    <n v="2.7527322457573864"/>
  </r>
  <r>
    <x v="28"/>
    <x v="1"/>
    <x v="4"/>
    <x v="12"/>
    <x v="14"/>
    <n v="1.2944679237749999"/>
    <n v="1.4044972012928834"/>
    <n v="1.5185738977726746"/>
    <n v="1.6392562764538561"/>
    <n v="1.7715301531362755"/>
    <n v="1.9205236482906261"/>
    <n v="2.0903908689304052"/>
    <n v="2.2798503205348446"/>
    <n v="2.4848627186962049"/>
    <n v="2.705814802749134"/>
    <n v="2.9461605734073184"/>
    <n v="3.2099843764130407"/>
    <n v="3.4963003957868053"/>
  </r>
  <r>
    <x v="28"/>
    <x v="1"/>
    <x v="4"/>
    <x v="13"/>
    <x v="15"/>
    <n v="1.0974975312653783"/>
    <n v="1.2014693394848133"/>
    <n v="1.3167927895913369"/>
    <n v="1.4421980063514352"/>
    <n v="1.5766618362912852"/>
    <n v="1.7228741170048698"/>
    <n v="1.8835068811998439"/>
    <n v="2.0647668173667082"/>
    <n v="2.2701808583399909"/>
    <n v="2.4977332218704724"/>
    <n v="2.7499676751801037"/>
    <n v="3.0249241443231716"/>
    <n v="3.3228348449171046"/>
  </r>
  <r>
    <x v="28"/>
    <x v="1"/>
    <x v="5"/>
    <x v="14"/>
    <x v="16"/>
    <n v="1.6945500813305661"/>
    <n v="1.8279886667889642"/>
    <n v="1.9650303436872067"/>
    <n v="2.1089039268253811"/>
    <n v="2.2658854842031371"/>
    <n v="2.4422858535890284"/>
    <n v="2.6430283241193009"/>
    <n v="2.8660460489058885"/>
    <n v="3.1058473663163442"/>
    <n v="3.3625933144370772"/>
    <n v="3.6402485927105133"/>
    <n v="3.943461131199979"/>
    <n v="4.270537989675784"/>
  </r>
  <r>
    <x v="28"/>
    <x v="1"/>
    <x v="5"/>
    <x v="15"/>
    <x v="17"/>
    <n v="1.5384858501681464"/>
    <n v="1.6335719798817001"/>
    <n v="1.7348343886629032"/>
    <n v="1.8471183707491285"/>
    <n v="1.9703352036549022"/>
    <n v="2.1042375684432311"/>
    <n v="2.2476637218604898"/>
    <n v="2.3989927385419398"/>
    <n v="2.5581721794892127"/>
    <n v="2.7312827947909164"/>
    <n v="2.9199616530978938"/>
    <n v="3.122006366804488"/>
    <n v="3.3354707078952246"/>
  </r>
  <r>
    <x v="28"/>
    <x v="1"/>
    <x v="5"/>
    <x v="16"/>
    <x v="18"/>
    <n v="0.87424852985942658"/>
    <n v="0.96006283853112806"/>
    <n v="1.0544764973491947"/>
    <n v="1.1610587203062757"/>
    <n v="1.2807178823756866"/>
    <n v="1.414312085366241"/>
    <n v="1.5621266724558731"/>
    <n v="1.7240880250337478"/>
    <n v="1.9011611802918544"/>
    <n v="2.098924601073854"/>
    <n v="2.320221490094859"/>
    <n v="2.5651141210891422"/>
    <n v="2.8337505124893148"/>
  </r>
  <r>
    <x v="28"/>
    <x v="1"/>
    <x v="5"/>
    <x v="17"/>
    <x v="19"/>
    <n v="0.7797792340591515"/>
    <n v="0.82425052172495716"/>
    <n v="0.87271510329400537"/>
    <n v="0.92439336858765631"/>
    <n v="0.97758938950570151"/>
    <n v="1.0333260739269523"/>
    <n v="1.0923417673501679"/>
    <n v="1.1563015450238785"/>
    <n v="1.2257651399668732"/>
    <n v="1.3008548855579798"/>
    <n v="1.3800318693610929"/>
    <n v="1.4618453727075127"/>
    <n v="1.5473403263503982"/>
  </r>
  <r>
    <x v="28"/>
    <x v="1"/>
    <x v="5"/>
    <x v="18"/>
    <x v="20"/>
    <n v="0.82120588347513446"/>
    <n v="0.88011537155934971"/>
    <n v="0.94435089636094982"/>
    <n v="1.012566409985272"/>
    <n v="1.0836843620101961"/>
    <n v="1.1592554658123813"/>
    <n v="1.240676174409139"/>
    <n v="1.3315375231586608"/>
    <n v="1.433380631160627"/>
    <n v="1.5440882799762978"/>
    <n v="1.6645045385490407"/>
    <n v="1.7926469961567895"/>
    <n v="1.9279655746902806"/>
  </r>
  <r>
    <x v="28"/>
    <x v="2"/>
    <x v="6"/>
    <x v="19"/>
    <x v="21"/>
    <n v="30.107214048214285"/>
    <n v="32.425907837904823"/>
    <n v="34.981511842504062"/>
    <n v="37.765727105932697"/>
    <n v="40.745193522134343"/>
    <n v="43.97448765456911"/>
    <n v="47.494435720613794"/>
    <n v="51.378257135696245"/>
    <n v="55.649295089845772"/>
    <n v="60.321185382046949"/>
    <n v="65.342219744828213"/>
    <n v="70.671235072803142"/>
    <n v="76.370242781467866"/>
  </r>
  <r>
    <x v="28"/>
    <x v="2"/>
    <x v="7"/>
    <x v="20"/>
    <x v="22"/>
    <n v="45.659657964940465"/>
    <n v="48.319871079893929"/>
    <n v="51.18569377319767"/>
    <n v="54.293999764924216"/>
    <n v="57.673148318769861"/>
    <n v="61.35461063622769"/>
    <n v="65.364565259184147"/>
    <n v="69.682198139488449"/>
    <n v="74.283869338908602"/>
    <n v="79.155290375416044"/>
    <n v="84.280585842426163"/>
    <n v="89.692593256466509"/>
    <n v="95.365127486706882"/>
  </r>
  <r>
    <x v="28"/>
    <x v="3"/>
    <x v="8"/>
    <x v="21"/>
    <x v="23"/>
    <n v="4.2820296509468703"/>
    <n v="4.4937952900079887"/>
    <n v="4.7239776010367223"/>
    <n v="4.9679209351355409"/>
    <n v="5.2161721175679228"/>
    <n v="5.4740508003009793"/>
    <n v="5.7452147522116785"/>
    <n v="6.0380873431415285"/>
    <n v="6.3550738412408432"/>
    <n v="6.696235663026723"/>
    <n v="7.0530729374074097"/>
    <n v="7.4177708785610559"/>
    <n v="7.7953959003738653"/>
  </r>
  <r>
    <x v="28"/>
    <x v="3"/>
    <x v="9"/>
    <x v="22"/>
    <x v="24"/>
    <n v="13.895141427771913"/>
    <n v="14.645891377366203"/>
    <n v="15.463094380276841"/>
    <n v="16.332345502971229"/>
    <n v="17.223209822158235"/>
    <n v="18.153495190879141"/>
    <n v="19.135806644806458"/>
    <n v="20.198838203778255"/>
    <n v="21.351646593595198"/>
    <n v="22.595562538472631"/>
    <n v="23.903041366917705"/>
    <n v="25.248372383424972"/>
    <n v="26.649236065016826"/>
  </r>
  <r>
    <x v="28"/>
    <x v="3"/>
    <x v="10"/>
    <x v="23"/>
    <x v="25"/>
    <n v="25.497464422110134"/>
    <n v="27.415724992726524"/>
    <n v="29.523171254825513"/>
    <n v="31.823243575349942"/>
    <n v="34.348001302475566"/>
    <n v="37.139656127157153"/>
    <n v="40.237181188509922"/>
    <n v="43.658853912189571"/>
    <n v="47.393957380455902"/>
    <n v="51.401607861685008"/>
    <n v="55.652304655370145"/>
    <n v="60.177383955959755"/>
    <n v="65.001562441581569"/>
  </r>
  <r>
    <x v="28"/>
    <x v="3"/>
    <x v="11"/>
    <x v="24"/>
    <x v="26"/>
    <n v="17.08512564816979"/>
    <n v="18.278167744006758"/>
    <n v="19.57366767219553"/>
    <n v="20.988717986090432"/>
    <n v="22.537800281567065"/>
    <n v="24.237166488889006"/>
    <n v="26.101598944763719"/>
    <n v="28.127660949403733"/>
    <n v="30.310521431149212"/>
    <n v="32.648855430629283"/>
    <n v="35.140530521343614"/>
    <n v="37.803538441382656"/>
    <n v="40.631684566041102"/>
  </r>
  <r>
    <x v="28"/>
    <x v="3"/>
    <x v="12"/>
    <x v="25"/>
    <x v="27"/>
    <n v="4.8387440897275846"/>
    <n v="5.1630835244762956"/>
    <n v="5.5182903679909803"/>
    <n v="5.900236434838841"/>
    <n v="6.2987738778178688"/>
    <n v="6.720876587361718"/>
    <n v="7.1719241777345317"/>
    <n v="7.6635736347178609"/>
    <n v="8.2005832668307121"/>
    <n v="8.7849449296787601"/>
    <n v="9.4074848431632248"/>
    <n v="10.059262096083598"/>
    <n v="10.748153823789286"/>
  </r>
  <r>
    <x v="28"/>
    <x v="3"/>
    <x v="13"/>
    <x v="26"/>
    <x v="28"/>
    <n v="10.168366774428462"/>
    <n v="10.749115989214987"/>
    <n v="11.365004339376149"/>
    <n v="12.047262436470923"/>
    <n v="12.794384439317557"/>
    <n v="13.603853096208793"/>
    <n v="14.467275271771628"/>
    <n v="15.373441231953738"/>
    <n v="16.321381915482512"/>
    <n v="17.349269333970586"/>
    <n v="18.466371263052299"/>
    <n v="19.657500573857629"/>
    <n v="20.909337471372091"/>
  </r>
  <r>
    <x v="28"/>
    <x v="4"/>
    <x v="14"/>
    <x v="27"/>
    <x v="29"/>
    <n v="33.71812024069046"/>
    <n v="36.049876487049012"/>
    <n v="38.602967056196412"/>
    <n v="41.40120849148137"/>
    <n v="44.485090512088703"/>
    <n v="47.917310810602459"/>
    <n v="51.726149052443162"/>
    <n v="55.941195496405349"/>
    <n v="60.518363570143357"/>
    <n v="65.429694824896117"/>
    <n v="70.608742812533421"/>
    <n v="76.032981483311346"/>
    <n v="81.754691090817829"/>
  </r>
  <r>
    <x v="28"/>
    <x v="4"/>
    <x v="15"/>
    <x v="28"/>
    <x v="30"/>
    <n v="42.048751772464293"/>
    <n v="44.695902430749747"/>
    <n v="47.56423855950532"/>
    <n v="50.658518379375536"/>
    <n v="53.933251328815501"/>
    <n v="57.411787480194334"/>
    <n v="61.132851927354778"/>
    <n v="65.119259778779337"/>
    <n v="69.414800858611017"/>
    <n v="74.046780932566875"/>
    <n v="79.014062774720969"/>
    <n v="84.33084684595832"/>
    <n v="89.980679177356905"/>
  </r>
  <r>
    <x v="28"/>
    <x v="5"/>
    <x v="16"/>
    <x v="29"/>
    <x v="31"/>
    <n v="9.5992215260589315"/>
    <n v="10.411925412233904"/>
    <n v="11.295344471699348"/>
    <n v="12.284609753091331"/>
    <n v="13.384894490362973"/>
    <n v="14.600479724215301"/>
    <n v="15.929402836564877"/>
    <n v="17.366008175096365"/>
    <n v="18.915249342315839"/>
    <n v="20.627612105591304"/>
    <n v="22.524097999467038"/>
    <n v="24.597504657823734"/>
    <n v="26.841599000615812"/>
  </r>
  <r>
    <x v="28"/>
    <x v="5"/>
    <x v="17"/>
    <x v="30"/>
    <x v="32"/>
    <n v="7.6926410695964904"/>
    <n v="8.3453846260893982"/>
    <n v="9.0665003215722493"/>
    <n v="9.823840816687067"/>
    <n v="10.629180918817653"/>
    <n v="11.498593511288448"/>
    <n v="12.469398674347843"/>
    <n v="13.548976509401271"/>
    <n v="14.746840490749463"/>
    <n v="15.995571796023214"/>
    <n v="17.286159519470374"/>
    <n v="18.681846558358785"/>
    <n v="20.177899001586809"/>
  </r>
  <r>
    <x v="28"/>
    <x v="5"/>
    <x v="18"/>
    <x v="31"/>
    <x v="33"/>
    <n v="10.159806426507956"/>
    <n v="10.79245361129886"/>
    <n v="11.483573852760667"/>
    <n v="12.223741884982593"/>
    <n v="12.991221122999356"/>
    <n v="13.799968929803644"/>
    <n v="14.660415757368014"/>
    <n v="15.595631483771596"/>
    <n v="16.614228054485125"/>
    <n v="17.719049061907683"/>
    <n v="18.890355176618403"/>
    <n v="20.10921332154696"/>
    <n v="21.390638014290424"/>
  </r>
  <r>
    <x v="28"/>
    <x v="5"/>
    <x v="19"/>
    <x v="32"/>
    <x v="34"/>
    <n v="20.840059033820602"/>
    <n v="22.11211029214553"/>
    <n v="23.498659492775616"/>
    <n v="25.011317278232248"/>
    <n v="26.67137063888504"/>
    <n v="28.512728862927812"/>
    <n v="30.547741867016061"/>
    <n v="32.789093482801192"/>
    <n v="35.205827445236615"/>
    <n v="37.777217251889098"/>
    <n v="40.460863734230898"/>
    <n v="43.240744439591523"/>
    <n v="46.143813617326806"/>
  </r>
  <r>
    <x v="28"/>
    <x v="5"/>
    <x v="20"/>
    <x v="33"/>
    <x v="35"/>
    <n v="11.073177454437346"/>
    <n v="11.906018509569352"/>
    <n v="12.822546467518906"/>
    <n v="13.814977767680622"/>
    <n v="14.861169617976534"/>
    <n v="15.978674167999563"/>
    <n v="17.181776011428759"/>
    <n v="18.500215453886238"/>
    <n v="19.947964691982143"/>
    <n v="21.532657900625285"/>
    <n v="23.23475435509598"/>
    <n v="25.034649422049558"/>
    <n v="26.953958999374031"/>
  </r>
  <r>
    <x v="28"/>
    <x v="5"/>
    <x v="21"/>
    <x v="34"/>
    <x v="36"/>
    <n v="8.9412342176862527"/>
    <n v="9.3399256597018763"/>
    <n v="9.758107107131563"/>
    <n v="10.221698823194998"/>
    <n v="10.727599260658558"/>
    <n v="11.271964576263397"/>
    <n v="11.846224080162198"/>
    <n v="12.439867324788736"/>
    <n v="13.05113515366868"/>
    <n v="13.709628146054207"/>
    <n v="14.420689927911541"/>
    <n v="15.170270156987975"/>
    <n v="15.946370309847572"/>
  </r>
  <r>
    <x v="28"/>
    <x v="5"/>
    <x v="22"/>
    <x v="35"/>
    <x v="37"/>
    <n v="7.4607322850471798"/>
    <n v="7.8379608067598356"/>
    <n v="8.2424739022433897"/>
    <n v="8.6795405469880436"/>
    <n v="9.1529057912040876"/>
    <n v="9.6666885182986277"/>
    <n v="10.224041752910191"/>
    <n v="10.820662845439305"/>
    <n v="11.451919250316498"/>
    <n v="12.114739495372204"/>
    <n v="12.805884874460135"/>
    <n v="13.529599772911123"/>
    <n v="14.2810913251332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28A5D3-74A5-4DA6-A98C-1CCE53AF5B50}" name="PivotTable1" cacheId="8"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1475" firstHeaderRow="0" firstDataRow="1" firstDataCol="1"/>
  <pivotFields count="18">
    <pivotField axis="axisRow" showAll="0" defaultSubtotal="0">
      <items count="29">
        <item x="0"/>
        <item x="1"/>
        <item x="4"/>
        <item x="12"/>
        <item x="20"/>
        <item x="25"/>
        <item x="2"/>
        <item x="3"/>
        <item x="5"/>
        <item x="6"/>
        <item x="8"/>
        <item x="7"/>
        <item x="9"/>
        <item x="10"/>
        <item x="11"/>
        <item x="13"/>
        <item x="14"/>
        <item x="15"/>
        <item x="16"/>
        <item x="17"/>
        <item x="18"/>
        <item x="19"/>
        <item x="21"/>
        <item x="23"/>
        <item x="22"/>
        <item x="24"/>
        <item x="26"/>
        <item x="27"/>
        <item x="28"/>
      </items>
    </pivotField>
    <pivotField axis="axisRow" showAll="0" defaultSubtotal="0">
      <items count="8">
        <item x="0"/>
        <item x="7"/>
        <item x="2"/>
        <item x="1"/>
        <item x="3"/>
        <item x="4"/>
        <item x="5"/>
        <item x="6"/>
      </items>
    </pivotField>
    <pivotField axis="axisRow" showAll="0" defaultSubtotal="0">
      <items count="51">
        <item sd="0" x="31"/>
        <item sd="0" x="32"/>
        <item sd="0" x="33"/>
        <item sd="0" x="34"/>
        <item sd="0" x="38"/>
        <item sd="0" x="44"/>
        <item sd="0" x="45"/>
        <item sd="0" x="46"/>
        <item sd="0" x="47"/>
        <item sd="0" x="23"/>
        <item sd="0" x="24"/>
        <item sd="0" x="25"/>
        <item sd="0" x="26"/>
        <item sd="0" x="28"/>
        <item sd="0" x="29"/>
        <item sd="0" x="35"/>
        <item sd="0" x="37"/>
        <item sd="0" x="39"/>
        <item sd="0" x="42"/>
        <item sd="0" x="41"/>
        <item sd="0" x="40"/>
        <item sd="0" x="49"/>
        <item sd="0" x="43"/>
        <item sd="0" x="20"/>
        <item sd="0" x="27"/>
        <item sd="0" x="36"/>
        <item sd="0" x="48"/>
        <item sd="0" x="50"/>
        <item sd="0" x="0"/>
        <item sd="0" x="1"/>
        <item sd="0" x="2"/>
        <item x="3"/>
        <item x="4"/>
        <item x="5"/>
        <item sd="0" x="6"/>
        <item sd="0" x="7"/>
        <item sd="0" x="8"/>
        <item sd="0" x="9"/>
        <item sd="0" x="10"/>
        <item sd="0" x="11"/>
        <item sd="0" x="12"/>
        <item sd="0" x="13"/>
        <item sd="0" x="14"/>
        <item sd="0" x="15"/>
        <item sd="0" x="16"/>
        <item sd="0" x="17"/>
        <item sd="0" x="18"/>
        <item sd="0" x="19"/>
        <item sd="0" x="21"/>
        <item sd="0" x="22"/>
        <item x="30"/>
      </items>
    </pivotField>
    <pivotField axis="axisRow" showAll="0">
      <items count="65">
        <item x="58"/>
        <item x="54"/>
        <item x="38"/>
        <item x="55"/>
        <item x="57"/>
        <item x="42"/>
        <item x="50"/>
        <item x="33"/>
        <item x="37"/>
        <item x="46"/>
        <item x="61"/>
        <item x="44"/>
        <item x="51"/>
        <item x="45"/>
        <item x="52"/>
        <item x="39"/>
        <item x="59"/>
        <item x="40"/>
        <item x="36"/>
        <item x="56"/>
        <item x="49"/>
        <item x="60"/>
        <item x="63"/>
        <item x="48"/>
        <item x="62"/>
        <item x="53"/>
        <item x="47"/>
        <item x="41"/>
        <item x="0"/>
        <item x="1"/>
        <item x="2"/>
        <item x="3"/>
        <item sd="0" x="4"/>
        <item sd="0" x="5"/>
        <item sd="0" x="6"/>
        <item sd="0" x="7"/>
        <item sd="0" x="8"/>
        <item sd="0" x="9"/>
        <item sd="0" x="10"/>
        <item sd="0" x="11"/>
        <item sd="0" x="12"/>
        <item sd="0" x="13"/>
        <item sd="0" x="14"/>
        <item sd="0" x="15"/>
        <item sd="0" x="16"/>
        <item sd="0" x="17"/>
        <item sd="0" x="18"/>
        <item x="19"/>
        <item x="20"/>
        <item x="21"/>
        <item x="22"/>
        <item x="23"/>
        <item x="24"/>
        <item x="25"/>
        <item x="26"/>
        <item x="27"/>
        <item x="28"/>
        <item x="29"/>
        <item x="30"/>
        <item x="31"/>
        <item x="32"/>
        <item x="34"/>
        <item x="35"/>
        <item x="43"/>
        <item t="default"/>
      </items>
    </pivotField>
    <pivotField axis="axisRow" showAll="0">
      <items count="67">
        <item x="31"/>
        <item x="12"/>
        <item x="60"/>
        <item x="56"/>
        <item x="40"/>
        <item x="57"/>
        <item x="59"/>
        <item x="14"/>
        <item x="17"/>
        <item x="44"/>
        <item x="52"/>
        <item x="20"/>
        <item x="15"/>
        <item x="36"/>
        <item x="35"/>
        <item x="39"/>
        <item x="30"/>
        <item x="33"/>
        <item x="48"/>
        <item x="63"/>
        <item x="46"/>
        <item x="32"/>
        <item x="0"/>
        <item x="3"/>
        <item x="21"/>
        <item x="13"/>
        <item x="53"/>
        <item x="34"/>
        <item x="47"/>
        <item x="54"/>
        <item x="41"/>
        <item x="8"/>
        <item x="28"/>
        <item x="18"/>
        <item x="61"/>
        <item x="42"/>
        <item x="27"/>
        <item x="1"/>
        <item x="4"/>
        <item x="25"/>
        <item x="22"/>
        <item x="5"/>
        <item x="2"/>
        <item x="38"/>
        <item x="7"/>
        <item x="37"/>
        <item x="29"/>
        <item x="9"/>
        <item x="58"/>
        <item x="51"/>
        <item x="62"/>
        <item x="65"/>
        <item x="50"/>
        <item x="26"/>
        <item x="64"/>
        <item x="55"/>
        <item x="49"/>
        <item x="11"/>
        <item x="6"/>
        <item x="10"/>
        <item x="16"/>
        <item x="19"/>
        <item x="45"/>
        <item x="43"/>
        <item x="23"/>
        <item x="24"/>
        <item t="default"/>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5">
    <field x="0"/>
    <field x="1"/>
    <field x="2"/>
    <field x="3"/>
    <field x="4"/>
  </rowFields>
  <rowItems count="1457">
    <i>
      <x/>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r="1">
      <x v="7"/>
    </i>
    <i r="2">
      <x v="9"/>
    </i>
    <i r="2">
      <x v="10"/>
    </i>
    <i r="2">
      <x v="11"/>
    </i>
    <i r="2">
      <x v="12"/>
    </i>
    <i r="2">
      <x v="24"/>
    </i>
    <i>
      <x v="1"/>
    </i>
    <i r="1">
      <x/>
    </i>
    <i r="2">
      <x v="28"/>
    </i>
    <i r="2">
      <x v="29"/>
    </i>
    <i r="2">
      <x v="30"/>
    </i>
    <i r="1">
      <x v="1"/>
    </i>
    <i r="2">
      <x v="13"/>
    </i>
    <i r="2">
      <x v="14"/>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2"/>
    </i>
    <i r="1">
      <x/>
    </i>
    <i r="2">
      <x v="28"/>
    </i>
    <i r="2">
      <x v="29"/>
    </i>
    <i r="2">
      <x v="30"/>
    </i>
    <i r="1">
      <x v="1"/>
    </i>
    <i r="2">
      <x/>
    </i>
    <i r="2">
      <x v="1"/>
    </i>
    <i r="2">
      <x v="2"/>
    </i>
    <i r="2">
      <x v="3"/>
    </i>
    <i r="2">
      <x v="15"/>
    </i>
    <i r="2">
      <x v="25"/>
    </i>
    <i r="2">
      <x v="50"/>
    </i>
    <i r="3">
      <x v="63"/>
    </i>
    <i r="4">
      <x v="62"/>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3"/>
    </i>
    <i r="1">
      <x/>
    </i>
    <i r="2">
      <x v="28"/>
    </i>
    <i r="2">
      <x v="29"/>
    </i>
    <i r="2">
      <x v="30"/>
    </i>
    <i r="1">
      <x v="1"/>
    </i>
    <i r="2">
      <x v="4"/>
    </i>
    <i r="2">
      <x v="16"/>
    </i>
    <i r="2">
      <x v="17"/>
    </i>
    <i r="2">
      <x v="18"/>
    </i>
    <i r="2">
      <x v="19"/>
    </i>
    <i r="2">
      <x v="20"/>
    </i>
    <i r="2">
      <x v="22"/>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4"/>
    </i>
    <i r="1">
      <x/>
    </i>
    <i r="2">
      <x v="28"/>
    </i>
    <i r="2">
      <x v="29"/>
    </i>
    <i r="2">
      <x v="30"/>
    </i>
    <i r="1">
      <x v="1"/>
    </i>
    <i r="2">
      <x v="5"/>
    </i>
    <i r="2">
      <x v="6"/>
    </i>
    <i r="2">
      <x v="7"/>
    </i>
    <i r="2">
      <x v="8"/>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5"/>
    </i>
    <i r="1">
      <x/>
    </i>
    <i r="2">
      <x v="28"/>
    </i>
    <i r="2">
      <x v="29"/>
    </i>
    <i r="2">
      <x v="30"/>
    </i>
    <i r="1">
      <x v="1"/>
    </i>
    <i r="2">
      <x v="21"/>
    </i>
    <i r="2">
      <x v="26"/>
    </i>
    <i r="2">
      <x v="27"/>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6"/>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7"/>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8"/>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9"/>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10"/>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11"/>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12"/>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13"/>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14"/>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15"/>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16"/>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17"/>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18"/>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19"/>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20"/>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21"/>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22"/>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23"/>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24"/>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25"/>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26"/>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27"/>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i>
      <x v="28"/>
    </i>
    <i r="1">
      <x/>
    </i>
    <i r="2">
      <x v="28"/>
    </i>
    <i r="2">
      <x v="29"/>
    </i>
    <i r="2">
      <x v="30"/>
    </i>
    <i r="1">
      <x v="2"/>
    </i>
    <i r="2">
      <x v="34"/>
    </i>
    <i r="2">
      <x v="35"/>
    </i>
    <i r="1">
      <x v="3"/>
    </i>
    <i r="2">
      <x v="31"/>
    </i>
    <i r="3">
      <x v="31"/>
    </i>
    <i r="4">
      <x v="23"/>
    </i>
    <i r="4">
      <x v="38"/>
    </i>
    <i r="4">
      <x v="41"/>
    </i>
    <i r="3">
      <x v="32"/>
    </i>
    <i r="3">
      <x v="33"/>
    </i>
    <i r="3">
      <x v="34"/>
    </i>
    <i r="3">
      <x v="35"/>
    </i>
    <i r="3">
      <x v="36"/>
    </i>
    <i r="2">
      <x v="32"/>
    </i>
    <i r="3">
      <x v="37"/>
    </i>
    <i r="3">
      <x v="38"/>
    </i>
    <i r="3">
      <x v="39"/>
    </i>
    <i r="3">
      <x v="40"/>
    </i>
    <i r="3">
      <x v="41"/>
    </i>
    <i r="2">
      <x v="33"/>
    </i>
    <i r="3">
      <x v="42"/>
    </i>
    <i r="3">
      <x v="43"/>
    </i>
    <i r="3">
      <x v="44"/>
    </i>
    <i r="3">
      <x v="45"/>
    </i>
    <i r="3">
      <x v="46"/>
    </i>
    <i r="1">
      <x v="4"/>
    </i>
    <i r="2">
      <x v="36"/>
    </i>
    <i r="2">
      <x v="37"/>
    </i>
    <i r="2">
      <x v="38"/>
    </i>
    <i r="2">
      <x v="39"/>
    </i>
    <i r="2">
      <x v="40"/>
    </i>
    <i r="2">
      <x v="41"/>
    </i>
    <i r="1">
      <x v="5"/>
    </i>
    <i r="2">
      <x v="42"/>
    </i>
    <i r="2">
      <x v="43"/>
    </i>
    <i r="1">
      <x v="6"/>
    </i>
    <i r="2">
      <x v="23"/>
    </i>
    <i r="2">
      <x v="44"/>
    </i>
    <i r="2">
      <x v="45"/>
    </i>
    <i r="2">
      <x v="46"/>
    </i>
    <i r="2">
      <x v="47"/>
    </i>
    <i r="2">
      <x v="48"/>
    </i>
    <i r="2">
      <x v="49"/>
    </i>
  </rowItems>
  <colFields count="1">
    <field x="-2"/>
  </colFields>
  <colItems count="13">
    <i>
      <x/>
    </i>
    <i i="1">
      <x v="1"/>
    </i>
    <i i="2">
      <x v="2"/>
    </i>
    <i i="3">
      <x v="3"/>
    </i>
    <i i="4">
      <x v="4"/>
    </i>
    <i i="5">
      <x v="5"/>
    </i>
    <i i="6">
      <x v="6"/>
    </i>
    <i i="7">
      <x v="7"/>
    </i>
    <i i="8">
      <x v="8"/>
    </i>
    <i i="9">
      <x v="9"/>
    </i>
    <i i="10">
      <x v="10"/>
    </i>
    <i i="11">
      <x v="11"/>
    </i>
    <i i="12">
      <x v="12"/>
    </i>
  </colItems>
  <dataFields count="13">
    <dataField name=" 2021" fld="5" baseField="0" baseItem="0"/>
    <dataField name=" 2022" fld="6" baseField="0" baseItem="0"/>
    <dataField name=" 2023" fld="7" baseField="0" baseItem="0"/>
    <dataField name=" 2024" fld="8" baseField="0" baseItem="0"/>
    <dataField name=" 2025" fld="9" baseField="0" baseItem="0"/>
    <dataField name=" 2026" fld="10" baseField="0" baseItem="0"/>
    <dataField name=" 2027" fld="11" baseField="0" baseItem="0"/>
    <dataField name=" 2028" fld="12" baseField="0" baseItem="0"/>
    <dataField name=" 2029" fld="13" baseField="0" baseItem="0"/>
    <dataField name=" 2030" fld="14" baseField="0" baseItem="0"/>
    <dataField name=" 2031" fld="15" baseField="0" baseItem="0"/>
    <dataField name=" 2032" fld="16" baseField="0" baseItem="0"/>
    <dataField name=" 2033" fld="17" baseField="0" baseItem="0" numFmtId="4"/>
  </dataFields>
  <formats count="6">
    <format dxfId="374">
      <pivotArea dataOnly="0" labelOnly="1" outline="0" fieldPosition="0">
        <references count="1">
          <reference field="4294967294" count="12">
            <x v="0"/>
            <x v="1"/>
            <x v="2"/>
            <x v="3"/>
            <x v="4"/>
            <x v="5"/>
            <x v="6"/>
            <x v="7"/>
            <x v="8"/>
            <x v="9"/>
            <x v="10"/>
            <x v="11"/>
          </reference>
        </references>
      </pivotArea>
    </format>
    <format dxfId="373">
      <pivotArea dataOnly="0" labelOnly="1" outline="0" fieldPosition="0">
        <references count="1">
          <reference field="4294967294" count="12">
            <x v="0"/>
            <x v="1"/>
            <x v="2"/>
            <x v="3"/>
            <x v="4"/>
            <x v="5"/>
            <x v="6"/>
            <x v="7"/>
            <x v="8"/>
            <x v="9"/>
            <x v="10"/>
            <x v="11"/>
          </reference>
        </references>
      </pivotArea>
    </format>
    <format dxfId="372">
      <pivotArea outline="0" collapsedLevelsAreSubtotals="1" fieldPosition="0"/>
    </format>
    <format dxfId="371">
      <pivotArea outline="0" collapsedLevelsAreSubtotals="1" fieldPosition="0"/>
    </format>
    <format dxfId="370">
      <pivotArea dataOnly="0" labelOnly="1" outline="0" fieldPosition="0">
        <references count="1">
          <reference field="4294967294" count="1">
            <x v="12"/>
          </reference>
        </references>
      </pivotArea>
    </format>
    <format dxfId="369">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374083-434C-446D-B0B3-6FC50ACE4A96}" sourceName="Region">
  <pivotTables>
    <pivotTable tabId="1" name="PivotTable1"/>
  </pivotTables>
  <data>
    <tabular pivotCacheId="1284221595">
      <items count="29">
        <i x="22" s="1"/>
        <i x="17" s="1"/>
        <i x="12" s="1"/>
        <i x="18" s="1"/>
        <i x="21" s="1"/>
        <i x="3" s="1"/>
        <i x="13" s="1"/>
        <i x="4" s="1"/>
        <i x="8" s="1"/>
        <i x="26" s="1"/>
        <i x="6" s="1"/>
        <i x="0" s="1"/>
        <i x="14" s="1"/>
        <i x="7" s="1"/>
        <i x="15" s="1"/>
        <i x="20" s="1"/>
        <i x="23" s="1"/>
        <i x="25" s="1"/>
        <i x="1" s="1"/>
        <i x="19" s="1"/>
        <i x="11" s="1"/>
        <i x="24" s="1"/>
        <i x="28" s="1"/>
        <i x="10" s="1"/>
        <i x="27" s="1"/>
        <i x="16" s="1"/>
        <i x="9" s="1"/>
        <i x="5"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EF01A7-2421-4517-9038-C6F586516A19}" sourceName="Segment">
  <pivotTables>
    <pivotTable tabId="1" name="PivotTable1"/>
  </pivotTables>
  <data>
    <tabular pivotCacheId="1284221595">
      <items count="8">
        <i x="7" s="1"/>
        <i x="5" s="1"/>
        <i x="4" s="1"/>
        <i x="1" s="1"/>
        <i x="0" s="1"/>
        <i x="6" s="1"/>
        <i x="3"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 xr10:uid="{FE7B7DA3-81F7-4686-B8A8-A5E3688A5A0F}" sourceName="Sub-segment">
  <pivotTables>
    <pivotTable tabId="1" name="PivotTable1"/>
  </pivotTables>
  <data>
    <tabular pivotCacheId="1284221595">
      <items count="51">
        <i x="16" s="1"/>
        <i x="45" s="1"/>
        <i x="41" s="1"/>
        <i x="25" s="1"/>
        <i x="42" s="1"/>
        <i x="44" s="1"/>
        <i x="29" s="1"/>
        <i x="37" s="1"/>
        <i x="21" s="1"/>
        <i x="20" s="1"/>
        <i x="24" s="1"/>
        <i x="15" s="1"/>
        <i x="18" s="1"/>
        <i x="33" s="1"/>
        <i x="48" s="1"/>
        <i x="31" s="1"/>
        <i x="3" s="1"/>
        <i x="17" s="1"/>
        <i x="0" s="1"/>
        <i x="6" s="1"/>
        <i x="38" s="1"/>
        <i x="19" s="1"/>
        <i x="32" s="1"/>
        <i x="39" s="1"/>
        <i x="26" s="1"/>
        <i x="13" s="1"/>
        <i x="46" s="1"/>
        <i x="27" s="1"/>
        <i x="12" s="1"/>
        <i x="1" s="1"/>
        <i x="10" s="1"/>
        <i x="7" s="1"/>
        <i x="2" s="1"/>
        <i x="23" s="1"/>
        <i x="22" s="1"/>
        <i x="14" s="1"/>
        <i x="43" s="1"/>
        <i x="36" s="1"/>
        <i x="47" s="1"/>
        <i x="50" s="1"/>
        <i x="35" s="1"/>
        <i x="5" s="1"/>
        <i x="11" s="1"/>
        <i x="4" s="1"/>
        <i x="49" s="1"/>
        <i x="40" s="1"/>
        <i x="34" s="1"/>
        <i x="30" s="1"/>
        <i x="28" s="1"/>
        <i x="8" s="1"/>
        <i x="9"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_1" xr10:uid="{7AA9173B-EAE5-4B37-BC24-526BA0DEE99C}" sourceName="Sub-segment 1">
  <pivotTables>
    <pivotTable tabId="1" name="PivotTable1"/>
  </pivotTables>
  <data>
    <tabular pivotCacheId="1284221595">
      <items count="64">
        <i x="29" s="1"/>
        <i x="10" s="1"/>
        <i x="58" s="1"/>
        <i x="54" s="1"/>
        <i x="38" s="1"/>
        <i x="55" s="1"/>
        <i x="57" s="1"/>
        <i x="12" s="1"/>
        <i x="15" s="1"/>
        <i x="42" s="1"/>
        <i x="50" s="1"/>
        <i x="18" s="1"/>
        <i x="13" s="1"/>
        <i x="34" s="1"/>
        <i x="33" s="1"/>
        <i x="37" s="1"/>
        <i x="28" s="1"/>
        <i x="31" s="1"/>
        <i x="46" s="1"/>
        <i x="61" s="1"/>
        <i x="44" s="1"/>
        <i x="30" s="1"/>
        <i x="0" s="1"/>
        <i x="19" s="1"/>
        <i x="11" s="1"/>
        <i x="51" s="1"/>
        <i x="32" s="1"/>
        <i x="45" s="1"/>
        <i x="52" s="1"/>
        <i x="39" s="1"/>
        <i x="6" s="1"/>
        <i x="26" s="1"/>
        <i x="16" s="1"/>
        <i x="59" s="1"/>
        <i x="40" s="1"/>
        <i x="25" s="1"/>
        <i x="1" s="1"/>
        <i x="23" s="1"/>
        <i x="20" s="1"/>
        <i x="2" s="1"/>
        <i x="36" s="1"/>
        <i x="5" s="1"/>
        <i x="35" s="1"/>
        <i x="27" s="1"/>
        <i x="7" s="1"/>
        <i x="56" s="1"/>
        <i x="49" s="1"/>
        <i x="60" s="1"/>
        <i x="63" s="1"/>
        <i x="48" s="1"/>
        <i x="3" s="1"/>
        <i x="24" s="1"/>
        <i x="62" s="1"/>
        <i x="53" s="1"/>
        <i x="47" s="1"/>
        <i x="9" s="1"/>
        <i x="4" s="1"/>
        <i x="8" s="1"/>
        <i x="14" s="1"/>
        <i x="17" s="1"/>
        <i x="43" s="1"/>
        <i x="41" s="1"/>
        <i x="21"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16E8E5-B3EF-4DCF-8E4F-9CB2BD01D256}" cache="Slicer_Region" caption="Region" rowHeight="241300"/>
  <slicer name="Segment" xr10:uid="{CF140DF5-6735-4A1B-ACBC-4BB8972E6F5A}" cache="Slicer_Segment" caption="Segment" rowHeight="241300"/>
  <slicer name="Sub-segment" xr10:uid="{3B88FE7C-1877-4F6B-83F1-7A54F23707C6}" cache="Slicer_Sub_segment" caption="Sub-segment" rowHeight="241300"/>
  <slicer name="Sub-segment 1 1" xr10:uid="{415FCBA1-7B10-440C-AD32-401D3C69A3B0}" cache="Slicer_Sub_segment_1" caption="Sub-segment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C09B-5AB3-4E6D-97A2-5201B677EFE7}">
  <sheetPr codeName="Sheet1"/>
  <dimension ref="A1"/>
  <sheetViews>
    <sheetView showGridLines="0" tabSelected="1" workbookViewId="0"/>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647A-8648-4BC3-99DC-0E70401DAE71}">
  <sheetPr codeName="Sheet16"/>
  <dimension ref="A1:Q3012"/>
  <sheetViews>
    <sheetView showGridLines="0" zoomScale="85" zoomScaleNormal="85" workbookViewId="0">
      <selection sqref="A1:Q3"/>
    </sheetView>
  </sheetViews>
  <sheetFormatPr defaultRowHeight="14.5" x14ac:dyDescent="0.35"/>
  <cols>
    <col min="1" max="1" width="39.26953125" bestFit="1" customWidth="1"/>
    <col min="2" max="14" width="10.54296875" style="4" bestFit="1" customWidth="1"/>
    <col min="15" max="16" width="10.54296875" style="4" customWidth="1"/>
  </cols>
  <sheetData>
    <row r="1" spans="1:17" ht="14.5" customHeight="1" x14ac:dyDescent="0.35">
      <c r="A1" s="35" t="s">
        <v>52</v>
      </c>
      <c r="B1" s="35"/>
      <c r="C1" s="35"/>
      <c r="D1" s="35"/>
      <c r="E1" s="35"/>
      <c r="F1" s="35"/>
      <c r="G1" s="35"/>
      <c r="H1" s="35"/>
      <c r="I1" s="35"/>
      <c r="J1" s="35"/>
      <c r="K1" s="35"/>
      <c r="L1" s="35"/>
      <c r="M1" s="35"/>
      <c r="N1" s="35"/>
      <c r="O1" s="35"/>
      <c r="P1" s="35"/>
      <c r="Q1" s="35"/>
    </row>
    <row r="2" spans="1:17" ht="14.5" customHeight="1" x14ac:dyDescent="0.35">
      <c r="A2" s="35"/>
      <c r="B2" s="35"/>
      <c r="C2" s="35"/>
      <c r="D2" s="35"/>
      <c r="E2" s="35"/>
      <c r="F2" s="35"/>
      <c r="G2" s="35"/>
      <c r="H2" s="35"/>
      <c r="I2" s="35"/>
      <c r="J2" s="35"/>
      <c r="K2" s="35"/>
      <c r="L2" s="35"/>
      <c r="M2" s="35"/>
      <c r="N2" s="35"/>
      <c r="O2" s="35"/>
      <c r="P2" s="35"/>
      <c r="Q2" s="35"/>
    </row>
    <row r="3" spans="1:17" ht="14.5" customHeight="1" x14ac:dyDescent="0.35">
      <c r="A3" s="35"/>
      <c r="B3" s="35"/>
      <c r="C3" s="35"/>
      <c r="D3" s="35"/>
      <c r="E3" s="35"/>
      <c r="F3" s="35"/>
      <c r="G3" s="35"/>
      <c r="H3" s="35"/>
      <c r="I3" s="35"/>
      <c r="J3" s="35"/>
      <c r="K3" s="35"/>
      <c r="L3" s="35"/>
      <c r="M3" s="35"/>
      <c r="N3" s="35"/>
      <c r="O3" s="35"/>
      <c r="P3" s="35"/>
      <c r="Q3" s="35"/>
    </row>
    <row r="4" spans="1:17" x14ac:dyDescent="0.35">
      <c r="B4"/>
      <c r="C4"/>
      <c r="D4"/>
      <c r="E4"/>
      <c r="F4"/>
      <c r="G4"/>
      <c r="H4"/>
      <c r="I4"/>
      <c r="J4"/>
      <c r="K4"/>
      <c r="L4"/>
      <c r="M4"/>
      <c r="N4"/>
      <c r="O4"/>
      <c r="P4"/>
    </row>
    <row r="5" spans="1:17" x14ac:dyDescent="0.35">
      <c r="B5"/>
      <c r="C5"/>
      <c r="D5"/>
      <c r="E5"/>
      <c r="F5"/>
      <c r="G5"/>
      <c r="H5"/>
      <c r="I5"/>
      <c r="J5"/>
      <c r="K5"/>
      <c r="L5"/>
      <c r="M5"/>
      <c r="N5"/>
      <c r="O5"/>
      <c r="P5"/>
    </row>
    <row r="6" spans="1:17" x14ac:dyDescent="0.35">
      <c r="B6"/>
      <c r="C6"/>
      <c r="D6"/>
      <c r="E6"/>
      <c r="F6"/>
      <c r="G6"/>
      <c r="H6"/>
      <c r="I6"/>
      <c r="J6"/>
      <c r="K6"/>
      <c r="L6"/>
      <c r="M6"/>
      <c r="N6"/>
      <c r="O6"/>
      <c r="P6"/>
    </row>
    <row r="7" spans="1:17" x14ac:dyDescent="0.35">
      <c r="B7"/>
      <c r="C7"/>
      <c r="D7"/>
      <c r="E7"/>
      <c r="F7"/>
      <c r="G7"/>
      <c r="H7"/>
      <c r="I7"/>
      <c r="J7"/>
      <c r="K7"/>
      <c r="L7"/>
      <c r="M7"/>
      <c r="N7"/>
      <c r="O7"/>
      <c r="P7"/>
    </row>
    <row r="8" spans="1:17" x14ac:dyDescent="0.35">
      <c r="B8"/>
      <c r="C8"/>
      <c r="D8"/>
      <c r="E8"/>
      <c r="F8"/>
      <c r="G8"/>
      <c r="H8"/>
      <c r="I8"/>
      <c r="J8"/>
      <c r="K8"/>
      <c r="L8"/>
      <c r="M8"/>
      <c r="N8"/>
      <c r="O8"/>
      <c r="P8"/>
    </row>
    <row r="9" spans="1:17" x14ac:dyDescent="0.35">
      <c r="B9"/>
      <c r="C9"/>
      <c r="D9"/>
      <c r="E9"/>
      <c r="F9"/>
      <c r="G9"/>
      <c r="H9"/>
      <c r="I9"/>
      <c r="J9"/>
      <c r="K9"/>
      <c r="L9"/>
      <c r="M9"/>
      <c r="N9"/>
      <c r="O9"/>
      <c r="P9"/>
    </row>
    <row r="10" spans="1:17" x14ac:dyDescent="0.35">
      <c r="B10"/>
      <c r="C10"/>
      <c r="D10"/>
      <c r="E10"/>
      <c r="F10"/>
      <c r="G10"/>
      <c r="H10"/>
      <c r="I10"/>
      <c r="J10"/>
      <c r="K10"/>
      <c r="L10"/>
      <c r="M10"/>
      <c r="N10"/>
      <c r="O10"/>
      <c r="P10"/>
    </row>
    <row r="11" spans="1:17" x14ac:dyDescent="0.35">
      <c r="B11"/>
      <c r="C11"/>
      <c r="D11"/>
      <c r="E11"/>
      <c r="F11"/>
      <c r="G11"/>
      <c r="H11"/>
      <c r="I11"/>
      <c r="J11"/>
      <c r="K11"/>
      <c r="L11"/>
      <c r="M11"/>
      <c r="N11"/>
      <c r="O11"/>
      <c r="P11"/>
    </row>
    <row r="12" spans="1:17" x14ac:dyDescent="0.35">
      <c r="B12"/>
      <c r="C12"/>
      <c r="D12"/>
      <c r="E12"/>
      <c r="F12"/>
      <c r="G12"/>
      <c r="H12"/>
      <c r="I12"/>
      <c r="J12"/>
      <c r="K12"/>
      <c r="L12"/>
      <c r="M12"/>
      <c r="N12"/>
      <c r="O12"/>
      <c r="P12"/>
    </row>
    <row r="13" spans="1:17" x14ac:dyDescent="0.35">
      <c r="B13"/>
      <c r="C13"/>
      <c r="D13"/>
      <c r="E13"/>
      <c r="F13"/>
      <c r="G13"/>
      <c r="H13"/>
      <c r="I13"/>
      <c r="J13"/>
      <c r="K13"/>
      <c r="L13"/>
      <c r="M13"/>
      <c r="N13"/>
      <c r="O13"/>
      <c r="P13"/>
    </row>
    <row r="14" spans="1:17" x14ac:dyDescent="0.35">
      <c r="B14"/>
      <c r="C14"/>
      <c r="D14"/>
      <c r="E14"/>
      <c r="F14"/>
      <c r="G14"/>
      <c r="H14"/>
      <c r="I14"/>
      <c r="J14"/>
      <c r="K14"/>
      <c r="L14"/>
      <c r="M14"/>
      <c r="N14"/>
      <c r="O14"/>
      <c r="P14"/>
    </row>
    <row r="15" spans="1:17" x14ac:dyDescent="0.35">
      <c r="B15"/>
      <c r="C15"/>
      <c r="D15"/>
      <c r="E15"/>
      <c r="F15"/>
      <c r="G15"/>
      <c r="H15"/>
      <c r="I15"/>
      <c r="J15"/>
      <c r="K15"/>
      <c r="L15"/>
      <c r="M15"/>
      <c r="N15"/>
      <c r="O15"/>
      <c r="P15"/>
    </row>
    <row r="16" spans="1:17" x14ac:dyDescent="0.35">
      <c r="B16"/>
      <c r="C16"/>
      <c r="D16"/>
      <c r="E16"/>
      <c r="F16"/>
      <c r="G16"/>
      <c r="H16"/>
      <c r="I16"/>
      <c r="J16"/>
      <c r="K16"/>
      <c r="L16"/>
      <c r="M16"/>
      <c r="N16"/>
      <c r="O16"/>
      <c r="P16"/>
    </row>
    <row r="17" spans="1:17" x14ac:dyDescent="0.35">
      <c r="B17"/>
      <c r="C17"/>
      <c r="D17"/>
      <c r="E17"/>
      <c r="F17"/>
      <c r="G17"/>
      <c r="H17"/>
      <c r="I17"/>
      <c r="J17"/>
      <c r="K17"/>
      <c r="L17"/>
      <c r="M17"/>
      <c r="N17"/>
      <c r="O17"/>
      <c r="P17"/>
    </row>
    <row r="18" spans="1:17"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31</v>
      </c>
      <c r="O18" s="10" t="s">
        <v>26</v>
      </c>
      <c r="P18"/>
    </row>
    <row r="19" spans="1:17" x14ac:dyDescent="0.35">
      <c r="A19" s="1" t="s">
        <v>13</v>
      </c>
      <c r="O19" s="11" t="str">
        <f>IFERROR(RATE(2035-2026,,-G19,N19),"")</f>
        <v/>
      </c>
      <c r="P19"/>
    </row>
    <row r="20" spans="1:17" x14ac:dyDescent="0.35">
      <c r="A20" s="2" t="s">
        <v>54</v>
      </c>
      <c r="O20" s="11" t="str">
        <f>IFERROR(RATE(2035-2026,,-G20,N20),"")</f>
        <v/>
      </c>
      <c r="P20"/>
      <c r="Q20" s="11"/>
    </row>
    <row r="21" spans="1:17" x14ac:dyDescent="0.35">
      <c r="A21" s="3" t="s">
        <v>55</v>
      </c>
      <c r="B21" s="4">
        <v>471.39703848446436</v>
      </c>
      <c r="C21" s="4">
        <v>523.61073370756071</v>
      </c>
      <c r="D21" s="4">
        <v>582.20915467182863</v>
      </c>
      <c r="E21" s="4">
        <v>647.5798183738018</v>
      </c>
      <c r="F21" s="4">
        <v>720.31049383180402</v>
      </c>
      <c r="G21" s="4">
        <v>801.12594751693837</v>
      </c>
      <c r="H21" s="4">
        <v>892.06902040047339</v>
      </c>
      <c r="I21" s="4">
        <v>995.0856508711164</v>
      </c>
      <c r="J21" s="4">
        <v>1111.9687064566376</v>
      </c>
      <c r="K21" s="4">
        <v>1244.2167954603378</v>
      </c>
      <c r="L21" s="4">
        <v>1392.4475075764517</v>
      </c>
      <c r="M21" s="4">
        <v>1557.110619733603</v>
      </c>
      <c r="N21" s="4">
        <v>1739.7353428027982</v>
      </c>
      <c r="O21" s="11">
        <f>IFERROR(RATE(2035-2026,,-G21,N21),"")</f>
        <v>8.9984357411658722E-2</v>
      </c>
      <c r="P21"/>
      <c r="Q21" s="11"/>
    </row>
    <row r="22" spans="1:17" x14ac:dyDescent="0.35">
      <c r="A22" s="3" t="s">
        <v>56</v>
      </c>
      <c r="B22" s="4">
        <v>1251.8093373154652</v>
      </c>
      <c r="C22" s="4">
        <v>1358.5981325951527</v>
      </c>
      <c r="D22" s="4">
        <v>1476.2703858315929</v>
      </c>
      <c r="E22" s="4">
        <v>1605.1257135396577</v>
      </c>
      <c r="F22" s="4">
        <v>1745.056196738816</v>
      </c>
      <c r="G22" s="4">
        <v>1897.5763706095661</v>
      </c>
      <c r="H22" s="4">
        <v>2065.5034911787484</v>
      </c>
      <c r="I22" s="4">
        <v>2251.6182618322446</v>
      </c>
      <c r="J22" s="4">
        <v>2457.8300712646078</v>
      </c>
      <c r="K22" s="4">
        <v>2685.7667114183328</v>
      </c>
      <c r="L22" s="4">
        <v>2934.9138058594972</v>
      </c>
      <c r="M22" s="4">
        <v>3204.7077568891937</v>
      </c>
      <c r="N22" s="4">
        <v>3496.856851290886</v>
      </c>
      <c r="O22" s="11">
        <f t="shared" ref="O22:O85" si="0">IFERROR(RATE(2035-2026,,-G22,N22),"")</f>
        <v>7.0280520474533439E-2</v>
      </c>
      <c r="P22"/>
      <c r="Q22" s="11"/>
    </row>
    <row r="23" spans="1:17" x14ac:dyDescent="0.35">
      <c r="A23" s="3" t="s">
        <v>57</v>
      </c>
      <c r="B23" s="4">
        <v>3054.1142073964102</v>
      </c>
      <c r="C23" s="4">
        <v>3279.5191056503663</v>
      </c>
      <c r="D23" s="4">
        <v>3521.0501121898474</v>
      </c>
      <c r="E23" s="4">
        <v>3781.7919294435264</v>
      </c>
      <c r="F23" s="4">
        <v>4066.2879094293794</v>
      </c>
      <c r="G23" s="4">
        <v>4380.2868938341453</v>
      </c>
      <c r="H23" s="4">
        <v>4729.5625828774755</v>
      </c>
      <c r="I23" s="4">
        <v>5115.6666328822485</v>
      </c>
      <c r="J23" s="4">
        <v>5536.1340432503057</v>
      </c>
      <c r="K23" s="4">
        <v>5991.9913981971431</v>
      </c>
      <c r="L23" s="4">
        <v>6483.6432633334607</v>
      </c>
      <c r="M23" s="4">
        <v>7012.105421695288</v>
      </c>
      <c r="N23" s="4">
        <v>7578.0420189213073</v>
      </c>
      <c r="O23" s="11">
        <f t="shared" si="0"/>
        <v>6.2797428050385296E-2</v>
      </c>
      <c r="P23"/>
      <c r="Q23" s="11"/>
    </row>
    <row r="24" spans="1:17" x14ac:dyDescent="0.35">
      <c r="A24" s="2" t="s">
        <v>47</v>
      </c>
      <c r="O24" s="11" t="str">
        <f t="shared" si="0"/>
        <v/>
      </c>
      <c r="P24"/>
      <c r="Q24" s="11"/>
    </row>
    <row r="25" spans="1:17" x14ac:dyDescent="0.35">
      <c r="A25" s="3" t="s">
        <v>82</v>
      </c>
      <c r="B25" s="4">
        <v>1723.2063757999294</v>
      </c>
      <c r="C25" s="4">
        <v>1882.2088663027134</v>
      </c>
      <c r="D25" s="4">
        <v>2058.4795405034215</v>
      </c>
      <c r="E25" s="4">
        <v>2252.7055319134597</v>
      </c>
      <c r="F25" s="4">
        <v>2465.36669057062</v>
      </c>
      <c r="G25" s="4">
        <v>2698.7023181265045</v>
      </c>
      <c r="H25" s="4">
        <v>2957.572511579222</v>
      </c>
      <c r="I25" s="4">
        <v>3246.7039127033609</v>
      </c>
      <c r="J25" s="4">
        <v>3569.7987777212456</v>
      </c>
      <c r="K25" s="4">
        <v>3929.9835068786706</v>
      </c>
      <c r="L25" s="4">
        <v>4327.3613134359493</v>
      </c>
      <c r="M25" s="4">
        <v>4761.8183766227967</v>
      </c>
      <c r="N25" s="4">
        <v>5236.5921940936842</v>
      </c>
      <c r="O25" s="11">
        <f t="shared" si="0"/>
        <v>7.6435958189312161E-2</v>
      </c>
      <c r="P25"/>
      <c r="Q25" s="11"/>
    </row>
    <row r="26" spans="1:17" x14ac:dyDescent="0.35">
      <c r="A26" s="3" t="s">
        <v>83</v>
      </c>
      <c r="B26" s="4">
        <v>3054.1142073964102</v>
      </c>
      <c r="C26" s="4">
        <v>3279.5191056503663</v>
      </c>
      <c r="D26" s="4">
        <v>3521.0501121898474</v>
      </c>
      <c r="E26" s="4">
        <v>3781.7919294435264</v>
      </c>
      <c r="F26" s="4">
        <v>4066.2879094293794</v>
      </c>
      <c r="G26" s="4">
        <v>4380.2868938341453</v>
      </c>
      <c r="H26" s="4">
        <v>4729.5625828774755</v>
      </c>
      <c r="I26" s="4">
        <v>5115.6666328822485</v>
      </c>
      <c r="J26" s="4">
        <v>5536.1340432503057</v>
      </c>
      <c r="K26" s="4">
        <v>5991.9913981971431</v>
      </c>
      <c r="L26" s="4">
        <v>6483.6432633334607</v>
      </c>
      <c r="M26" s="4">
        <v>7012.105421695288</v>
      </c>
      <c r="N26" s="4">
        <v>7578.0420189213073</v>
      </c>
      <c r="O26" s="11">
        <f t="shared" si="0"/>
        <v>6.2797428050385296E-2</v>
      </c>
      <c r="P26"/>
      <c r="Q26" s="11"/>
    </row>
    <row r="27" spans="1:17" x14ac:dyDescent="0.35">
      <c r="A27" s="2" t="s">
        <v>59</v>
      </c>
      <c r="O27" s="11" t="str">
        <f t="shared" si="0"/>
        <v/>
      </c>
      <c r="P27"/>
      <c r="Q27" s="11"/>
    </row>
    <row r="28" spans="1:17" x14ac:dyDescent="0.35">
      <c r="A28" s="3" t="s">
        <v>60</v>
      </c>
      <c r="O28" s="11" t="str">
        <f t="shared" si="0"/>
        <v/>
      </c>
      <c r="P28"/>
      <c r="Q28" s="11"/>
    </row>
    <row r="29" spans="1:17" x14ac:dyDescent="0.35">
      <c r="A29" s="34" t="s">
        <v>61</v>
      </c>
      <c r="B29" s="4">
        <v>973.47282292183445</v>
      </c>
      <c r="C29" s="4">
        <v>1056.2985969423673</v>
      </c>
      <c r="D29" s="4">
        <v>1143.3440470706037</v>
      </c>
      <c r="E29" s="4">
        <v>1237.0896213861388</v>
      </c>
      <c r="F29" s="4">
        <v>1341.7758712611208</v>
      </c>
      <c r="G29" s="4">
        <v>1459.2037300093839</v>
      </c>
      <c r="H29" s="4">
        <v>1592.4427870046986</v>
      </c>
      <c r="I29" s="4">
        <v>1740.1167706001775</v>
      </c>
      <c r="J29" s="4">
        <v>1899.8793775932027</v>
      </c>
      <c r="K29" s="4">
        <v>2073.4290284775716</v>
      </c>
      <c r="L29" s="4">
        <v>2260.7799531048386</v>
      </c>
      <c r="M29" s="4">
        <v>2463.3278661016357</v>
      </c>
      <c r="N29" s="4">
        <v>2681.0518716303632</v>
      </c>
      <c r="O29" s="11">
        <f t="shared" si="0"/>
        <v>6.9927536600789902E-2</v>
      </c>
      <c r="P29"/>
      <c r="Q29" s="11"/>
    </row>
    <row r="30" spans="1:17" x14ac:dyDescent="0.35">
      <c r="A30" s="43" t="s">
        <v>62</v>
      </c>
      <c r="B30" s="4">
        <v>183.38780786658307</v>
      </c>
      <c r="C30" s="4">
        <v>203.8951479587528</v>
      </c>
      <c r="D30" s="4">
        <v>226.98748215048286</v>
      </c>
      <c r="E30" s="4">
        <v>252.84259708651373</v>
      </c>
      <c r="F30" s="4">
        <v>281.56136827060453</v>
      </c>
      <c r="G30" s="4">
        <v>313.63203795111201</v>
      </c>
      <c r="H30" s="4">
        <v>349.66071947657878</v>
      </c>
      <c r="I30" s="4">
        <v>390.4583075302636</v>
      </c>
      <c r="J30" s="4">
        <v>436.64891786055625</v>
      </c>
      <c r="K30" s="4">
        <v>488.7508207434999</v>
      </c>
      <c r="L30" s="4">
        <v>547.10092324469588</v>
      </c>
      <c r="M30" s="4">
        <v>611.87752481217467</v>
      </c>
      <c r="N30" s="4">
        <v>683.78389411420142</v>
      </c>
      <c r="O30" s="11">
        <f t="shared" si="0"/>
        <v>9.0463010673912755E-2</v>
      </c>
      <c r="P30"/>
      <c r="Q30" s="11"/>
    </row>
    <row r="31" spans="1:17" x14ac:dyDescent="0.35">
      <c r="A31" s="43" t="s">
        <v>63</v>
      </c>
      <c r="B31" s="4">
        <v>330.22596582626579</v>
      </c>
      <c r="C31" s="4">
        <v>358.6701992782908</v>
      </c>
      <c r="D31" s="4">
        <v>389.30875170390192</v>
      </c>
      <c r="E31" s="4">
        <v>422.53177296734401</v>
      </c>
      <c r="F31" s="4">
        <v>458.98527263050482</v>
      </c>
      <c r="G31" s="4">
        <v>499.46768197160935</v>
      </c>
      <c r="H31" s="4">
        <v>544.87817037609568</v>
      </c>
      <c r="I31" s="4">
        <v>595.51054287289185</v>
      </c>
      <c r="J31" s="4">
        <v>651.1975766844929</v>
      </c>
      <c r="K31" s="4">
        <v>712.23778389429617</v>
      </c>
      <c r="L31" s="4">
        <v>778.95374324352565</v>
      </c>
      <c r="M31" s="4">
        <v>851.71907848909984</v>
      </c>
      <c r="N31" s="4">
        <v>930.71842284914294</v>
      </c>
      <c r="O31" s="11">
        <f t="shared" si="0"/>
        <v>7.1604543853127561E-2</v>
      </c>
      <c r="P31"/>
      <c r="Q31" s="11"/>
    </row>
    <row r="32" spans="1:17" x14ac:dyDescent="0.35">
      <c r="A32" s="43" t="s">
        <v>64</v>
      </c>
      <c r="B32" s="4">
        <v>459.85904922898555</v>
      </c>
      <c r="C32" s="4">
        <v>493.73324970532366</v>
      </c>
      <c r="D32" s="4">
        <v>527.04781321621886</v>
      </c>
      <c r="E32" s="4">
        <v>561.71525133228101</v>
      </c>
      <c r="F32" s="4">
        <v>601.22923036001123</v>
      </c>
      <c r="G32" s="4">
        <v>646.1040100866627</v>
      </c>
      <c r="H32" s="4">
        <v>697.90389715202423</v>
      </c>
      <c r="I32" s="4">
        <v>754.1479201970219</v>
      </c>
      <c r="J32" s="4">
        <v>812.03288304815362</v>
      </c>
      <c r="K32" s="4">
        <v>872.44042383977569</v>
      </c>
      <c r="L32" s="4">
        <v>934.72528661661715</v>
      </c>
      <c r="M32" s="4">
        <v>999.73126280036126</v>
      </c>
      <c r="N32" s="4">
        <v>1066.5495546670188</v>
      </c>
      <c r="O32" s="11">
        <f t="shared" si="0"/>
        <v>5.7271465701593617E-2</v>
      </c>
      <c r="P32"/>
      <c r="Q32" s="11"/>
    </row>
    <row r="33" spans="1:17" x14ac:dyDescent="0.35">
      <c r="A33" s="34" t="s">
        <v>65</v>
      </c>
      <c r="B33" s="4">
        <v>866.70342430768812</v>
      </c>
      <c r="C33" s="4">
        <v>934.88301040303179</v>
      </c>
      <c r="D33" s="4">
        <v>1009.9930544789097</v>
      </c>
      <c r="E33" s="4">
        <v>1091.8861014851343</v>
      </c>
      <c r="F33" s="4">
        <v>1180.0998393542404</v>
      </c>
      <c r="G33" s="4">
        <v>1275.9015968609035</v>
      </c>
      <c r="H33" s="4">
        <v>1380.7239284460422</v>
      </c>
      <c r="I33" s="4">
        <v>1496.7978149600565</v>
      </c>
      <c r="J33" s="4">
        <v>1625.2379943361991</v>
      </c>
      <c r="K33" s="4">
        <v>1766.0696501144805</v>
      </c>
      <c r="L33" s="4">
        <v>1918.9311421625473</v>
      </c>
      <c r="M33" s="4">
        <v>2082.9642082706082</v>
      </c>
      <c r="N33" s="4">
        <v>2259.0615112918517</v>
      </c>
      <c r="O33" s="11">
        <f t="shared" si="0"/>
        <v>6.5535381111976723E-2</v>
      </c>
      <c r="P33"/>
      <c r="Q33" s="11"/>
    </row>
    <row r="34" spans="1:17" x14ac:dyDescent="0.35">
      <c r="A34" s="34" t="s">
        <v>66</v>
      </c>
      <c r="B34" s="4">
        <v>545.29035125287714</v>
      </c>
      <c r="C34" s="4">
        <v>585.13893461158443</v>
      </c>
      <c r="D34" s="4">
        <v>628.16137103299104</v>
      </c>
      <c r="E34" s="4">
        <v>674.33055780684901</v>
      </c>
      <c r="F34" s="4">
        <v>723.61025934984093</v>
      </c>
      <c r="G34" s="4">
        <v>777.08779157824688</v>
      </c>
      <c r="H34" s="4">
        <v>835.80296666089134</v>
      </c>
      <c r="I34" s="4">
        <v>900.66945433499654</v>
      </c>
      <c r="J34" s="4">
        <v>971.73228519818451</v>
      </c>
      <c r="K34" s="4">
        <v>1049.0559437019253</v>
      </c>
      <c r="L34" s="4">
        <v>1132.4705546145985</v>
      </c>
      <c r="M34" s="4">
        <v>1221.7491827220801</v>
      </c>
      <c r="N34" s="4">
        <v>1317.3253322835039</v>
      </c>
      <c r="O34" s="11">
        <f t="shared" si="0"/>
        <v>6.0398775330349992E-2</v>
      </c>
      <c r="P34"/>
      <c r="Q34" s="11"/>
    </row>
    <row r="35" spans="1:17" x14ac:dyDescent="0.35">
      <c r="A35" s="34" t="s">
        <v>67</v>
      </c>
      <c r="B35" s="4">
        <v>354.76241550537321</v>
      </c>
      <c r="C35" s="4">
        <v>377.65823363886011</v>
      </c>
      <c r="D35" s="4">
        <v>402.35394451942534</v>
      </c>
      <c r="E35" s="4">
        <v>428.88638053115511</v>
      </c>
      <c r="F35" s="4">
        <v>457.17141977143353</v>
      </c>
      <c r="G35" s="4">
        <v>487.71844389664955</v>
      </c>
      <c r="H35" s="4">
        <v>520.99322093894261</v>
      </c>
      <c r="I35" s="4">
        <v>557.4800391043425</v>
      </c>
      <c r="J35" s="4">
        <v>597.20899356655434</v>
      </c>
      <c r="K35" s="4">
        <v>640.21251814327866</v>
      </c>
      <c r="L35" s="4">
        <v>686.27209891541736</v>
      </c>
      <c r="M35" s="4">
        <v>735.04856315224811</v>
      </c>
      <c r="N35" s="4">
        <v>786.69322446750823</v>
      </c>
      <c r="O35" s="11">
        <f t="shared" si="0"/>
        <v>5.4558538108731819E-2</v>
      </c>
      <c r="P35"/>
      <c r="Q35" s="11"/>
    </row>
    <row r="36" spans="1:17" x14ac:dyDescent="0.35">
      <c r="A36" s="34" t="s">
        <v>68</v>
      </c>
      <c r="B36" s="4">
        <v>584.94460289798997</v>
      </c>
      <c r="C36" s="4">
        <v>637.81812457825754</v>
      </c>
      <c r="D36" s="4">
        <v>696.15991603290763</v>
      </c>
      <c r="E36" s="4">
        <v>760.94219784719292</v>
      </c>
      <c r="F36" s="4">
        <v>832.9292891364463</v>
      </c>
      <c r="G36" s="4">
        <v>913.25425070380879</v>
      </c>
      <c r="H36" s="4">
        <v>1002.8689201326689</v>
      </c>
      <c r="I36" s="4">
        <v>1102.4034761134055</v>
      </c>
      <c r="J36" s="4">
        <v>1212.1262213204527</v>
      </c>
      <c r="K36" s="4">
        <v>1332.8488262720284</v>
      </c>
      <c r="L36" s="4">
        <v>1465.0097350112487</v>
      </c>
      <c r="M36" s="4">
        <v>1609.3456825720773</v>
      </c>
      <c r="N36" s="4">
        <v>1766.5149808939691</v>
      </c>
      <c r="O36" s="11">
        <f t="shared" si="0"/>
        <v>7.6059238002676138E-2</v>
      </c>
      <c r="P36"/>
      <c r="Q36" s="11"/>
    </row>
    <row r="37" spans="1:17" x14ac:dyDescent="0.35">
      <c r="A37" s="34" t="s">
        <v>69</v>
      </c>
      <c r="B37" s="4">
        <v>659.69865303226186</v>
      </c>
      <c r="C37" s="4">
        <v>698.29560435978306</v>
      </c>
      <c r="D37" s="4">
        <v>739.83538593355308</v>
      </c>
      <c r="E37" s="4">
        <v>783.99524694102513</v>
      </c>
      <c r="F37" s="4">
        <v>830.66085056286852</v>
      </c>
      <c r="G37" s="4">
        <v>880.26222637058777</v>
      </c>
      <c r="H37" s="4">
        <v>934.12373168020054</v>
      </c>
      <c r="I37" s="4">
        <v>993.08069930473607</v>
      </c>
      <c r="J37" s="4">
        <v>1057.3989769069246</v>
      </c>
      <c r="K37" s="4">
        <v>1127.0051963030305</v>
      </c>
      <c r="L37" s="4">
        <v>1201.1644900581684</v>
      </c>
      <c r="M37" s="4">
        <v>1279.3396302838819</v>
      </c>
      <c r="N37" s="4">
        <v>1361.6351395684635</v>
      </c>
      <c r="O37" s="11">
        <f t="shared" si="0"/>
        <v>4.966291544339406E-2</v>
      </c>
      <c r="P37"/>
      <c r="Q37" s="11"/>
    </row>
    <row r="38" spans="1:17" x14ac:dyDescent="0.35">
      <c r="A38" s="3" t="s">
        <v>70</v>
      </c>
      <c r="O38" s="11" t="str">
        <f t="shared" si="0"/>
        <v/>
      </c>
      <c r="P38"/>
      <c r="Q38" s="11"/>
    </row>
    <row r="39" spans="1:17" x14ac:dyDescent="0.35">
      <c r="A39" s="34" t="s">
        <v>71</v>
      </c>
      <c r="B39" s="4">
        <v>117.06480180072194</v>
      </c>
      <c r="C39" s="4">
        <v>130.64047457587327</v>
      </c>
      <c r="D39" s="4">
        <v>145.93821112305761</v>
      </c>
      <c r="E39" s="4">
        <v>163.17948154588319</v>
      </c>
      <c r="F39" s="4">
        <v>182.48942937586759</v>
      </c>
      <c r="G39" s="4">
        <v>204.22475020093364</v>
      </c>
      <c r="H39" s="4">
        <v>228.72340634240041</v>
      </c>
      <c r="I39" s="4">
        <v>256.52260699015312</v>
      </c>
      <c r="J39" s="4">
        <v>288.056770460103</v>
      </c>
      <c r="K39" s="4">
        <v>323.72536435564683</v>
      </c>
      <c r="L39" s="4">
        <v>364.03002631591789</v>
      </c>
      <c r="M39" s="4">
        <v>409.1337481323493</v>
      </c>
      <c r="N39" s="4">
        <v>459.40308252802674</v>
      </c>
      <c r="O39" s="11">
        <f t="shared" si="0"/>
        <v>9.4260227912791178E-2</v>
      </c>
      <c r="P39"/>
      <c r="Q39" s="11"/>
    </row>
    <row r="40" spans="1:17" x14ac:dyDescent="0.35">
      <c r="A40" s="34" t="s">
        <v>72</v>
      </c>
      <c r="B40" s="4">
        <v>90.632621948018866</v>
      </c>
      <c r="C40" s="4">
        <v>102.31625232666948</v>
      </c>
      <c r="D40" s="4">
        <v>115.641860863174</v>
      </c>
      <c r="E40" s="4">
        <v>130.8041369688745</v>
      </c>
      <c r="F40" s="4">
        <v>147.94542963081375</v>
      </c>
      <c r="G40" s="4">
        <v>167.35984299321336</v>
      </c>
      <c r="H40" s="4">
        <v>189.46595313165088</v>
      </c>
      <c r="I40" s="4">
        <v>214.76685652489954</v>
      </c>
      <c r="J40" s="4">
        <v>243.74988464270146</v>
      </c>
      <c r="K40" s="4">
        <v>276.95300477503611</v>
      </c>
      <c r="L40" s="4">
        <v>314.7398092160542</v>
      </c>
      <c r="M40" s="4">
        <v>357.41103007735774</v>
      </c>
      <c r="N40" s="4">
        <v>405.56646259946177</v>
      </c>
      <c r="O40" s="11">
        <f t="shared" si="0"/>
        <v>0.10334748229289428</v>
      </c>
      <c r="P40"/>
      <c r="Q40" s="11"/>
    </row>
    <row r="41" spans="1:17" x14ac:dyDescent="0.35">
      <c r="A41" s="34" t="s">
        <v>73</v>
      </c>
      <c r="B41" s="4">
        <v>82.850997668912768</v>
      </c>
      <c r="C41" s="4">
        <v>90.398649334630477</v>
      </c>
      <c r="D41" s="4">
        <v>98.739349124004377</v>
      </c>
      <c r="E41" s="4">
        <v>107.83695428433815</v>
      </c>
      <c r="F41" s="4">
        <v>117.70914448785236</v>
      </c>
      <c r="G41" s="4">
        <v>128.41580320209573</v>
      </c>
      <c r="H41" s="4">
        <v>140.25023070494254</v>
      </c>
      <c r="I41" s="4">
        <v>153.4990668722381</v>
      </c>
      <c r="J41" s="4">
        <v>168.39244123938235</v>
      </c>
      <c r="K41" s="4">
        <v>184.99836464354334</v>
      </c>
      <c r="L41" s="4">
        <v>203.32216382532363</v>
      </c>
      <c r="M41" s="4">
        <v>223.30175240407448</v>
      </c>
      <c r="N41" s="4">
        <v>245.01970676868041</v>
      </c>
      <c r="O41" s="11">
        <f t="shared" si="0"/>
        <v>7.4424339671003939E-2</v>
      </c>
      <c r="P41"/>
      <c r="Q41" s="11"/>
    </row>
    <row r="42" spans="1:17" x14ac:dyDescent="0.35">
      <c r="A42" s="34" t="s">
        <v>74</v>
      </c>
      <c r="B42" s="4">
        <v>98.507872564257653</v>
      </c>
      <c r="C42" s="4">
        <v>108.27302387715604</v>
      </c>
      <c r="D42" s="4">
        <v>119.12076827930397</v>
      </c>
      <c r="E42" s="4">
        <v>131.09058996619251</v>
      </c>
      <c r="F42" s="4">
        <v>144.20975582781645</v>
      </c>
      <c r="G42" s="4">
        <v>158.69696760551216</v>
      </c>
      <c r="H42" s="4">
        <v>174.82475744265304</v>
      </c>
      <c r="I42" s="4">
        <v>192.9566334712427</v>
      </c>
      <c r="J42" s="4">
        <v>213.3275392309454</v>
      </c>
      <c r="K42" s="4">
        <v>236.05073307743797</v>
      </c>
      <c r="L42" s="4">
        <v>261.25066713972564</v>
      </c>
      <c r="M42" s="4">
        <v>288.92331219807392</v>
      </c>
      <c r="N42" s="4">
        <v>319.25969694062928</v>
      </c>
      <c r="O42" s="11">
        <f t="shared" si="0"/>
        <v>8.0763347087420737E-2</v>
      </c>
      <c r="P42"/>
      <c r="Q42" s="11"/>
    </row>
    <row r="43" spans="1:17" x14ac:dyDescent="0.35">
      <c r="A43" s="34" t="s">
        <v>75</v>
      </c>
      <c r="B43" s="4">
        <v>73.80907496399341</v>
      </c>
      <c r="C43" s="4">
        <v>81.734642994826402</v>
      </c>
      <c r="D43" s="4">
        <v>90.596066831359011</v>
      </c>
      <c r="E43" s="4">
        <v>100.49837997867375</v>
      </c>
      <c r="F43" s="4">
        <v>111.53646634312285</v>
      </c>
      <c r="G43" s="4">
        <v>123.89138074375862</v>
      </c>
      <c r="H43" s="4">
        <v>137.78775889783577</v>
      </c>
      <c r="I43" s="4">
        <v>153.43372455493218</v>
      </c>
      <c r="J43" s="4">
        <v>171.0015053851935</v>
      </c>
      <c r="K43" s="4">
        <v>190.66317329293543</v>
      </c>
      <c r="L43" s="4">
        <v>212.5610713988589</v>
      </c>
      <c r="M43" s="4">
        <v>236.86407885964124</v>
      </c>
      <c r="N43" s="4">
        <v>263.76153447552088</v>
      </c>
      <c r="O43" s="11">
        <f t="shared" si="0"/>
        <v>8.758541327040574E-2</v>
      </c>
      <c r="P43"/>
      <c r="Q43" s="11"/>
    </row>
    <row r="44" spans="1:17" x14ac:dyDescent="0.35">
      <c r="A44" s="3" t="s">
        <v>76</v>
      </c>
      <c r="O44" s="11" t="str">
        <f t="shared" si="0"/>
        <v/>
      </c>
      <c r="P44"/>
      <c r="Q44" s="11"/>
    </row>
    <row r="45" spans="1:17" x14ac:dyDescent="0.35">
      <c r="A45" s="34" t="s">
        <v>77</v>
      </c>
      <c r="B45" s="4">
        <v>94.582334955776375</v>
      </c>
      <c r="C45" s="4">
        <v>103.32373597435797</v>
      </c>
      <c r="D45" s="4">
        <v>112.95660199254382</v>
      </c>
      <c r="E45" s="4">
        <v>123.49362408987207</v>
      </c>
      <c r="F45" s="4">
        <v>134.97700529779743</v>
      </c>
      <c r="G45" s="4">
        <v>147.60332361991425</v>
      </c>
      <c r="H45" s="4">
        <v>161.63042659148027</v>
      </c>
      <c r="I45" s="4">
        <v>177.35505754398849</v>
      </c>
      <c r="J45" s="4">
        <v>194.9385589195216</v>
      </c>
      <c r="K45" s="4">
        <v>214.40506400762862</v>
      </c>
      <c r="L45" s="4">
        <v>235.86268521279064</v>
      </c>
      <c r="M45" s="4">
        <v>259.31726769090045</v>
      </c>
      <c r="N45" s="4">
        <v>284.86262202749316</v>
      </c>
      <c r="O45" s="11">
        <f t="shared" si="0"/>
        <v>7.578774416248861E-2</v>
      </c>
      <c r="P45"/>
      <c r="Q45" s="11"/>
    </row>
    <row r="46" spans="1:17" x14ac:dyDescent="0.35">
      <c r="A46" s="34" t="s">
        <v>78</v>
      </c>
      <c r="B46" s="4">
        <v>90.540479961770728</v>
      </c>
      <c r="C46" s="4">
        <v>97.532824432180078</v>
      </c>
      <c r="D46" s="4">
        <v>104.9791745504764</v>
      </c>
      <c r="E46" s="4">
        <v>113.00152050872239</v>
      </c>
      <c r="F46" s="4">
        <v>121.73077591184297</v>
      </c>
      <c r="G46" s="4">
        <v>131.36015167720257</v>
      </c>
      <c r="H46" s="4">
        <v>142.0692791052829</v>
      </c>
      <c r="I46" s="4">
        <v>153.88287179053378</v>
      </c>
      <c r="J46" s="4">
        <v>166.72511380786187</v>
      </c>
      <c r="K46" s="4">
        <v>180.6940917384409</v>
      </c>
      <c r="L46" s="4">
        <v>195.88862348063387</v>
      </c>
      <c r="M46" s="4">
        <v>212.37770380918764</v>
      </c>
      <c r="N46" s="4">
        <v>230.15149025858304</v>
      </c>
      <c r="O46" s="11">
        <f t="shared" si="0"/>
        <v>6.4292808957792352E-2</v>
      </c>
      <c r="P46"/>
      <c r="Q46" s="11"/>
    </row>
    <row r="47" spans="1:17" x14ac:dyDescent="0.35">
      <c r="A47" s="34" t="s">
        <v>79</v>
      </c>
      <c r="B47" s="4">
        <v>52.709348518261699</v>
      </c>
      <c r="C47" s="4">
        <v>58.669700439562845</v>
      </c>
      <c r="D47" s="4">
        <v>65.319926263630819</v>
      </c>
      <c r="E47" s="4">
        <v>72.757285755561739</v>
      </c>
      <c r="F47" s="4">
        <v>81.076721019841528</v>
      </c>
      <c r="G47" s="4">
        <v>90.451508575758353</v>
      </c>
      <c r="H47" s="4">
        <v>101.05920603565811</v>
      </c>
      <c r="I47" s="4">
        <v>113.08736207373805</v>
      </c>
      <c r="J47" s="4">
        <v>126.66436769535657</v>
      </c>
      <c r="K47" s="4">
        <v>141.94391075143454</v>
      </c>
      <c r="L47" s="4">
        <v>159.13164194878988</v>
      </c>
      <c r="M47" s="4">
        <v>178.34899987221823</v>
      </c>
      <c r="N47" s="4">
        <v>199.73920142280326</v>
      </c>
      <c r="O47" s="11">
        <f t="shared" si="0"/>
        <v>9.2012222770866722E-2</v>
      </c>
      <c r="P47"/>
      <c r="Q47" s="11"/>
    </row>
    <row r="48" spans="1:17" x14ac:dyDescent="0.35">
      <c r="A48" s="34" t="s">
        <v>80</v>
      </c>
      <c r="B48" s="4">
        <v>43.082567170087231</v>
      </c>
      <c r="C48" s="4">
        <v>46.021958196643133</v>
      </c>
      <c r="D48" s="4">
        <v>49.230104228092664</v>
      </c>
      <c r="E48" s="4">
        <v>52.701672755379974</v>
      </c>
      <c r="F48" s="4">
        <v>56.435698260778878</v>
      </c>
      <c r="G48" s="4">
        <v>60.432296232574828</v>
      </c>
      <c r="H48" s="4">
        <v>64.782677640479008</v>
      </c>
      <c r="I48" s="4">
        <v>69.550160463392885</v>
      </c>
      <c r="J48" s="4">
        <v>74.785923840895506</v>
      </c>
      <c r="K48" s="4">
        <v>80.519447588010749</v>
      </c>
      <c r="L48" s="4">
        <v>86.705167520543583</v>
      </c>
      <c r="M48" s="4">
        <v>93.297549156601647</v>
      </c>
      <c r="N48" s="4">
        <v>100.30501848752199</v>
      </c>
      <c r="O48" s="11">
        <f t="shared" si="0"/>
        <v>5.7914077400205474E-2</v>
      </c>
      <c r="P48"/>
      <c r="Q48" s="11"/>
    </row>
    <row r="49" spans="1:17" x14ac:dyDescent="0.35">
      <c r="A49" s="34" t="s">
        <v>81</v>
      </c>
      <c r="B49" s="4">
        <v>48.668213726514111</v>
      </c>
      <c r="C49" s="4">
        <v>52.724205267296007</v>
      </c>
      <c r="D49" s="4">
        <v>57.159870369234554</v>
      </c>
      <c r="E49" s="4">
        <v>62.003709505992276</v>
      </c>
      <c r="F49" s="4">
        <v>67.296644408315174</v>
      </c>
      <c r="G49" s="4">
        <v>73.125147690105905</v>
      </c>
      <c r="H49" s="4">
        <v>79.585843700868978</v>
      </c>
      <c r="I49" s="4">
        <v>86.767950882775807</v>
      </c>
      <c r="J49" s="4">
        <v>94.706866828070233</v>
      </c>
      <c r="K49" s="4">
        <v>103.40058783338274</v>
      </c>
      <c r="L49" s="4">
        <v>112.88474684395136</v>
      </c>
      <c r="M49" s="4">
        <v>123.17322301514936</v>
      </c>
      <c r="N49" s="4">
        <v>134.28333737061209</v>
      </c>
      <c r="O49" s="11">
        <f t="shared" si="0"/>
        <v>6.9863508106481592E-2</v>
      </c>
      <c r="P49"/>
      <c r="Q49" s="11"/>
    </row>
    <row r="50" spans="1:17" x14ac:dyDescent="0.35">
      <c r="A50" s="2" t="s">
        <v>84</v>
      </c>
      <c r="O50" s="11" t="str">
        <f t="shared" si="0"/>
        <v/>
      </c>
      <c r="P50"/>
      <c r="Q50" s="11"/>
    </row>
    <row r="51" spans="1:17" x14ac:dyDescent="0.35">
      <c r="A51" s="3" t="s">
        <v>85</v>
      </c>
      <c r="B51" s="4">
        <v>321.0310652015466</v>
      </c>
      <c r="C51" s="4">
        <v>341.04973047026203</v>
      </c>
      <c r="D51" s="4">
        <v>362.36310436965221</v>
      </c>
      <c r="E51" s="4">
        <v>384.9542285977858</v>
      </c>
      <c r="F51" s="4">
        <v>408.96304299836089</v>
      </c>
      <c r="G51" s="4">
        <v>434.86604890480095</v>
      </c>
      <c r="H51" s="4">
        <v>463.28577536860905</v>
      </c>
      <c r="I51" s="4">
        <v>494.57078806171387</v>
      </c>
      <c r="J51" s="4">
        <v>528.62874700665441</v>
      </c>
      <c r="K51" s="4">
        <v>565.36310584517912</v>
      </c>
      <c r="L51" s="4">
        <v>604.63711948468347</v>
      </c>
      <c r="M51" s="4">
        <v>646.28347499853555</v>
      </c>
      <c r="N51" s="4">
        <v>690.32137799655527</v>
      </c>
      <c r="O51" s="11">
        <f t="shared" si="0"/>
        <v>5.2687668718370023E-2</v>
      </c>
      <c r="P51"/>
      <c r="Q51" s="11"/>
    </row>
    <row r="52" spans="1:17" x14ac:dyDescent="0.35">
      <c r="A52" s="3" t="s">
        <v>86</v>
      </c>
      <c r="B52" s="4">
        <v>878.19273474902889</v>
      </c>
      <c r="C52" s="4">
        <v>936.99978782389951</v>
      </c>
      <c r="D52" s="4">
        <v>999.71798187444722</v>
      </c>
      <c r="E52" s="4">
        <v>1066.5307256542758</v>
      </c>
      <c r="F52" s="4">
        <v>1138.030748434976</v>
      </c>
      <c r="G52" s="4">
        <v>1215.4093382451611</v>
      </c>
      <c r="H52" s="4">
        <v>1300.5669489742995</v>
      </c>
      <c r="I52" s="4">
        <v>1394.3502952666618</v>
      </c>
      <c r="J52" s="4">
        <v>1496.5914509333122</v>
      </c>
      <c r="K52" s="4">
        <v>1607.4391154070215</v>
      </c>
      <c r="L52" s="4">
        <v>1726.6194680725864</v>
      </c>
      <c r="M52" s="4">
        <v>1853.7978788911551</v>
      </c>
      <c r="N52" s="4">
        <v>1988.9813111043052</v>
      </c>
      <c r="O52" s="11">
        <f t="shared" si="0"/>
        <v>5.62520635083655E-2</v>
      </c>
      <c r="P52"/>
      <c r="Q52" s="11"/>
    </row>
    <row r="53" spans="1:17" x14ac:dyDescent="0.35">
      <c r="A53" s="3" t="s">
        <v>87</v>
      </c>
      <c r="B53" s="4">
        <v>1512.5580682100328</v>
      </c>
      <c r="C53" s="4">
        <v>1653.371584043678</v>
      </c>
      <c r="D53" s="4">
        <v>1808.4316532024993</v>
      </c>
      <c r="E53" s="4">
        <v>1979.5092152496293</v>
      </c>
      <c r="F53" s="4">
        <v>2168.0665167231709</v>
      </c>
      <c r="G53" s="4">
        <v>2376.0718396304983</v>
      </c>
      <c r="H53" s="4">
        <v>2607.5842972651017</v>
      </c>
      <c r="I53" s="4">
        <v>2865.3977568197242</v>
      </c>
      <c r="J53" s="4">
        <v>3151.7748850644684</v>
      </c>
      <c r="K53" s="4">
        <v>3470.5143788869264</v>
      </c>
      <c r="L53" s="4">
        <v>3822.0095910712284</v>
      </c>
      <c r="M53" s="4">
        <v>4206.6449951161785</v>
      </c>
      <c r="N53" s="4">
        <v>4626.9941917300912</v>
      </c>
      <c r="O53" s="11">
        <f t="shared" si="0"/>
        <v>7.6861702272768784E-2</v>
      </c>
      <c r="P53"/>
      <c r="Q53" s="11"/>
    </row>
    <row r="54" spans="1:17" x14ac:dyDescent="0.35">
      <c r="A54" s="3" t="s">
        <v>88</v>
      </c>
      <c r="B54" s="4">
        <v>1066.2934711456035</v>
      </c>
      <c r="C54" s="4">
        <v>1156.6646367712358</v>
      </c>
      <c r="D54" s="4">
        <v>1254.7689867159468</v>
      </c>
      <c r="E54" s="4">
        <v>1361.9668634111624</v>
      </c>
      <c r="F54" s="4">
        <v>1480.3197511282749</v>
      </c>
      <c r="G54" s="4">
        <v>1612.4443966740889</v>
      </c>
      <c r="H54" s="4">
        <v>1760.661570102654</v>
      </c>
      <c r="I54" s="4">
        <v>1925.9120488440192</v>
      </c>
      <c r="J54" s="4">
        <v>2107.4635201895344</v>
      </c>
      <c r="K54" s="4">
        <v>2305.7883649174541</v>
      </c>
      <c r="L54" s="4">
        <v>2521.3635730133537</v>
      </c>
      <c r="M54" s="4">
        <v>2755.3488851548218</v>
      </c>
      <c r="N54" s="4">
        <v>3008.7231432331027</v>
      </c>
      <c r="O54" s="11">
        <f t="shared" si="0"/>
        <v>7.1765368883817959E-2</v>
      </c>
      <c r="P54"/>
      <c r="Q54" s="11"/>
    </row>
    <row r="55" spans="1:17" x14ac:dyDescent="0.35">
      <c r="A55" s="3" t="s">
        <v>89</v>
      </c>
      <c r="B55" s="4">
        <v>333.29475364050683</v>
      </c>
      <c r="C55" s="4">
        <v>360.04282863042255</v>
      </c>
      <c r="D55" s="4">
        <v>389.27861057971859</v>
      </c>
      <c r="E55" s="4">
        <v>420.84696808983188</v>
      </c>
      <c r="F55" s="4">
        <v>454.67476147128275</v>
      </c>
      <c r="G55" s="4">
        <v>491.35376987971483</v>
      </c>
      <c r="H55" s="4">
        <v>531.60194674417721</v>
      </c>
      <c r="I55" s="4">
        <v>576.42315776513408</v>
      </c>
      <c r="J55" s="4">
        <v>626.2889501948714</v>
      </c>
      <c r="K55" s="4">
        <v>680.94857632823937</v>
      </c>
      <c r="L55" s="4">
        <v>740.62780613279415</v>
      </c>
      <c r="M55" s="4">
        <v>805.04949583773248</v>
      </c>
      <c r="N55" s="4">
        <v>874.26964961791373</v>
      </c>
      <c r="O55" s="11">
        <f t="shared" si="0"/>
        <v>6.6118989142424547E-2</v>
      </c>
      <c r="P55"/>
      <c r="Q55" s="11"/>
    </row>
    <row r="56" spans="1:17" x14ac:dyDescent="0.35">
      <c r="A56" s="3" t="s">
        <v>90</v>
      </c>
      <c r="B56" s="4">
        <v>665.95049024962123</v>
      </c>
      <c r="C56" s="4">
        <v>713.59940421358181</v>
      </c>
      <c r="D56" s="4">
        <v>764.96931595100409</v>
      </c>
      <c r="E56" s="4">
        <v>820.6894603543011</v>
      </c>
      <c r="F56" s="4">
        <v>881.59977924393411</v>
      </c>
      <c r="G56" s="4">
        <v>948.84381862638543</v>
      </c>
      <c r="H56" s="4">
        <v>1023.4345560018559</v>
      </c>
      <c r="I56" s="4">
        <v>1105.7164988283564</v>
      </c>
      <c r="J56" s="4">
        <v>1195.1852675827085</v>
      </c>
      <c r="K56" s="4">
        <v>1291.9213636909922</v>
      </c>
      <c r="L56" s="4">
        <v>1395.7470189947626</v>
      </c>
      <c r="M56" s="4">
        <v>1506.799068319661</v>
      </c>
      <c r="N56" s="4">
        <v>1625.3445393330246</v>
      </c>
      <c r="O56" s="11">
        <f t="shared" si="0"/>
        <v>6.1627843750815342E-2</v>
      </c>
      <c r="P56"/>
      <c r="Q56" s="11"/>
    </row>
    <row r="57" spans="1:17" x14ac:dyDescent="0.35">
      <c r="A57" s="2" t="s">
        <v>91</v>
      </c>
      <c r="O57" s="11" t="str">
        <f t="shared" si="0"/>
        <v/>
      </c>
      <c r="P57"/>
      <c r="Q57" s="11"/>
    </row>
    <row r="58" spans="1:17" x14ac:dyDescent="0.35">
      <c r="A58" s="3" t="s">
        <v>92</v>
      </c>
      <c r="B58" s="4">
        <v>1932.6817584993189</v>
      </c>
      <c r="C58" s="4">
        <v>2104.398943602268</v>
      </c>
      <c r="D58" s="4">
        <v>2291.8995166826953</v>
      </c>
      <c r="E58" s="4">
        <v>2497.2747300475799</v>
      </c>
      <c r="F58" s="4">
        <v>2723.1253003117827</v>
      </c>
      <c r="G58" s="4">
        <v>2973.4104510655893</v>
      </c>
      <c r="H58" s="4">
        <v>3252.7645722780908</v>
      </c>
      <c r="I58" s="4">
        <v>3563.6442314190681</v>
      </c>
      <c r="J58" s="4">
        <v>3906.6962527996516</v>
      </c>
      <c r="K58" s="4">
        <v>4283.8419967406826</v>
      </c>
      <c r="L58" s="4">
        <v>4697.0119452930139</v>
      </c>
      <c r="M58" s="4">
        <v>5148.643915186185</v>
      </c>
      <c r="N58" s="4">
        <v>5640.1729238953121</v>
      </c>
      <c r="O58" s="11">
        <f t="shared" si="0"/>
        <v>7.3724991748651714E-2</v>
      </c>
      <c r="P58"/>
      <c r="Q58" s="11"/>
    </row>
    <row r="59" spans="1:17" x14ac:dyDescent="0.35">
      <c r="A59" s="3" t="s">
        <v>93</v>
      </c>
      <c r="B59" s="4">
        <v>2844.6388246970209</v>
      </c>
      <c r="C59" s="4">
        <v>3057.3290283508122</v>
      </c>
      <c r="D59" s="4">
        <v>3287.6301360105736</v>
      </c>
      <c r="E59" s="4">
        <v>3537.2227313094068</v>
      </c>
      <c r="F59" s="4">
        <v>3808.5292996882172</v>
      </c>
      <c r="G59" s="4">
        <v>4105.5787608950614</v>
      </c>
      <c r="H59" s="4">
        <v>4434.3705221786049</v>
      </c>
      <c r="I59" s="4">
        <v>4798.7263141665408</v>
      </c>
      <c r="J59" s="4">
        <v>5199.2365681718993</v>
      </c>
      <c r="K59" s="4">
        <v>5638.1329083351302</v>
      </c>
      <c r="L59" s="4">
        <v>6113.9926314763952</v>
      </c>
      <c r="M59" s="4">
        <v>6625.2798831318987</v>
      </c>
      <c r="N59" s="4">
        <v>7174.4612891196793</v>
      </c>
      <c r="O59" s="11">
        <f t="shared" si="0"/>
        <v>6.3983737082974848E-2</v>
      </c>
      <c r="P59"/>
      <c r="Q59" s="11"/>
    </row>
    <row r="60" spans="1:17" x14ac:dyDescent="0.35">
      <c r="A60" s="2" t="s">
        <v>94</v>
      </c>
      <c r="O60" s="11" t="str">
        <f t="shared" si="0"/>
        <v/>
      </c>
      <c r="P60"/>
      <c r="Q60" s="11"/>
    </row>
    <row r="61" spans="1:17" x14ac:dyDescent="0.35">
      <c r="A61" s="3" t="s">
        <v>48</v>
      </c>
      <c r="B61" s="4">
        <v>432.50876716594109</v>
      </c>
      <c r="C61" s="4">
        <v>469.95575439601208</v>
      </c>
      <c r="D61" s="4">
        <v>511.29861385698393</v>
      </c>
      <c r="E61" s="4">
        <v>556.59494341416041</v>
      </c>
      <c r="F61" s="4">
        <v>605.96142612966491</v>
      </c>
      <c r="G61" s="4">
        <v>659.73448543266568</v>
      </c>
      <c r="H61" s="4">
        <v>719.08680187412369</v>
      </c>
      <c r="I61" s="4">
        <v>785.0217624367076</v>
      </c>
      <c r="J61" s="4">
        <v>858.36111685865728</v>
      </c>
      <c r="K61" s="4">
        <v>939.56781842338455</v>
      </c>
      <c r="L61" s="4">
        <v>1028.5142511461536</v>
      </c>
      <c r="M61" s="4">
        <v>1125.1137011952283</v>
      </c>
      <c r="N61" s="4">
        <v>1229.7985738952748</v>
      </c>
      <c r="O61" s="11">
        <f t="shared" si="0"/>
        <v>7.1646733068939011E-2</v>
      </c>
      <c r="P61"/>
      <c r="Q61" s="11"/>
    </row>
    <row r="62" spans="1:17" x14ac:dyDescent="0.35">
      <c r="A62" s="3" t="s">
        <v>95</v>
      </c>
      <c r="B62" s="4">
        <v>348.77626527177432</v>
      </c>
      <c r="C62" s="4">
        <v>384.14473584956647</v>
      </c>
      <c r="D62" s="4">
        <v>423.61279316962089</v>
      </c>
      <c r="E62" s="4">
        <v>467.54221775362316</v>
      </c>
      <c r="F62" s="4">
        <v>516.02063156004419</v>
      </c>
      <c r="G62" s="4">
        <v>569.82114281965198</v>
      </c>
      <c r="H62" s="4">
        <v>629.78975826181431</v>
      </c>
      <c r="I62" s="4">
        <v>697.09364050654358</v>
      </c>
      <c r="J62" s="4">
        <v>772.56251006494961</v>
      </c>
      <c r="K62" s="4">
        <v>857.0301763399832</v>
      </c>
      <c r="L62" s="4">
        <v>950.91802781891704</v>
      </c>
      <c r="M62" s="4">
        <v>1054.2706451849701</v>
      </c>
      <c r="N62" s="4">
        <v>1167.9985752101113</v>
      </c>
      <c r="O62" s="11">
        <f t="shared" si="0"/>
        <v>8.3013201164843953E-2</v>
      </c>
      <c r="P62"/>
      <c r="Q62" s="11"/>
    </row>
    <row r="63" spans="1:17" x14ac:dyDescent="0.35">
      <c r="A63" s="3" t="s">
        <v>96</v>
      </c>
      <c r="B63" s="4">
        <v>902.03428474186182</v>
      </c>
      <c r="C63" s="4">
        <v>987.16621441558641</v>
      </c>
      <c r="D63" s="4">
        <v>1077.3519266573196</v>
      </c>
      <c r="E63" s="4">
        <v>1174.7210018081184</v>
      </c>
      <c r="F63" s="4">
        <v>1282.9115727850515</v>
      </c>
      <c r="G63" s="4">
        <v>1405.2894026653423</v>
      </c>
      <c r="H63" s="4">
        <v>1545.0348869295171</v>
      </c>
      <c r="I63" s="4">
        <v>1702.3488945401787</v>
      </c>
      <c r="J63" s="4">
        <v>1875.4154367050323</v>
      </c>
      <c r="K63" s="4">
        <v>2065.6213119697009</v>
      </c>
      <c r="L63" s="4">
        <v>2274.8144200964907</v>
      </c>
      <c r="M63" s="4">
        <v>2504.7389342729966</v>
      </c>
      <c r="N63" s="4">
        <v>2756.0555745719716</v>
      </c>
      <c r="O63" s="11">
        <f t="shared" si="0"/>
        <v>7.7711374606592026E-2</v>
      </c>
      <c r="P63"/>
      <c r="Q63" s="11"/>
    </row>
    <row r="64" spans="1:17" x14ac:dyDescent="0.35">
      <c r="A64" s="3" t="s">
        <v>97</v>
      </c>
      <c r="B64" s="4">
        <v>507.02743814133669</v>
      </c>
      <c r="C64" s="4">
        <v>545.0927215876419</v>
      </c>
      <c r="D64" s="4">
        <v>586.5684467495721</v>
      </c>
      <c r="E64" s="4">
        <v>631.44311511443334</v>
      </c>
      <c r="F64" s="4">
        <v>679.70907135531922</v>
      </c>
      <c r="G64" s="4">
        <v>731.91346985167127</v>
      </c>
      <c r="H64" s="4">
        <v>789.17550583975765</v>
      </c>
      <c r="I64" s="4">
        <v>852.36738341861997</v>
      </c>
      <c r="J64" s="4">
        <v>921.88946058572083</v>
      </c>
      <c r="K64" s="4">
        <v>998.0835622559174</v>
      </c>
      <c r="L64" s="4">
        <v>1080.580217967607</v>
      </c>
      <c r="M64" s="4">
        <v>1169.0774986871741</v>
      </c>
      <c r="N64" s="4">
        <v>1263.973418632341</v>
      </c>
      <c r="O64" s="11">
        <f t="shared" si="0"/>
        <v>6.2586379117598179E-2</v>
      </c>
      <c r="P64"/>
      <c r="Q64" s="11"/>
    </row>
    <row r="65" spans="1:17" x14ac:dyDescent="0.35">
      <c r="A65" s="3" t="s">
        <v>98</v>
      </c>
      <c r="B65" s="4">
        <v>1373.9197392733638</v>
      </c>
      <c r="C65" s="4">
        <v>1486.7715526625234</v>
      </c>
      <c r="D65" s="4">
        <v>1610.5697257686988</v>
      </c>
      <c r="E65" s="4">
        <v>1745.9338445955755</v>
      </c>
      <c r="F65" s="4">
        <v>1893.7314213415432</v>
      </c>
      <c r="G65" s="4">
        <v>2055.5933215010232</v>
      </c>
      <c r="H65" s="4">
        <v>2234.4766559308086</v>
      </c>
      <c r="I65" s="4">
        <v>2432.5259893507618</v>
      </c>
      <c r="J65" s="4">
        <v>2651.1306329452195</v>
      </c>
      <c r="K65" s="4">
        <v>2891.0012161838304</v>
      </c>
      <c r="L65" s="4">
        <v>3152.0305598763998</v>
      </c>
      <c r="M65" s="4">
        <v>3434.6749707155113</v>
      </c>
      <c r="N65" s="4">
        <v>3739.851008794898</v>
      </c>
      <c r="O65" s="11">
        <f t="shared" si="0"/>
        <v>6.8758737042327031E-2</v>
      </c>
      <c r="P65"/>
      <c r="Q65" s="11"/>
    </row>
    <row r="66" spans="1:17" x14ac:dyDescent="0.35">
      <c r="A66" s="3" t="s">
        <v>99</v>
      </c>
      <c r="B66" s="4">
        <v>674.1751066104523</v>
      </c>
      <c r="C66" s="4">
        <v>714.05592918185982</v>
      </c>
      <c r="D66" s="4">
        <v>756.74831888881113</v>
      </c>
      <c r="E66" s="4">
        <v>802.83984877228545</v>
      </c>
      <c r="F66" s="4">
        <v>852.96496085125227</v>
      </c>
      <c r="G66" s="4">
        <v>908.10087508207619</v>
      </c>
      <c r="H66" s="4">
        <v>968.85281220743639</v>
      </c>
      <c r="I66" s="4">
        <v>1035.3418294418136</v>
      </c>
      <c r="J66" s="4">
        <v>1106.7789381295449</v>
      </c>
      <c r="K66" s="4">
        <v>1183.1785079726751</v>
      </c>
      <c r="L66" s="4">
        <v>1263.9600694263213</v>
      </c>
      <c r="M66" s="4">
        <v>1348.8213185519251</v>
      </c>
      <c r="N66" s="4">
        <v>1438.0405767092009</v>
      </c>
      <c r="O66" s="11">
        <f t="shared" si="0"/>
        <v>5.2402555622276102E-2</v>
      </c>
      <c r="P66"/>
      <c r="Q66" s="11"/>
    </row>
    <row r="67" spans="1:17" x14ac:dyDescent="0.35">
      <c r="A67" s="3" t="s">
        <v>100</v>
      </c>
      <c r="B67" s="4">
        <v>538.87898199160998</v>
      </c>
      <c r="C67" s="4">
        <v>574.54106385988916</v>
      </c>
      <c r="D67" s="4">
        <v>613.37982760226157</v>
      </c>
      <c r="E67" s="4">
        <v>655.42248989878954</v>
      </c>
      <c r="F67" s="4">
        <v>700.35551597712481</v>
      </c>
      <c r="G67" s="4">
        <v>748.53651460821936</v>
      </c>
      <c r="H67" s="4">
        <v>800.718673413239</v>
      </c>
      <c r="I67" s="4">
        <v>857.67104589098426</v>
      </c>
      <c r="J67" s="4">
        <v>919.79472568242488</v>
      </c>
      <c r="K67" s="4">
        <v>987.49231193032062</v>
      </c>
      <c r="L67" s="4">
        <v>1060.1870304375193</v>
      </c>
      <c r="M67" s="4">
        <v>1137.2267297102794</v>
      </c>
      <c r="N67" s="4">
        <v>1218.9164852011932</v>
      </c>
      <c r="O67" s="11">
        <f t="shared" si="0"/>
        <v>5.5671982530327416E-2</v>
      </c>
      <c r="P67"/>
      <c r="Q67" s="11"/>
    </row>
    <row r="68" spans="1:17" x14ac:dyDescent="0.35">
      <c r="A68" s="2" t="s">
        <v>29</v>
      </c>
      <c r="O68" s="11" t="str">
        <f t="shared" si="0"/>
        <v/>
      </c>
      <c r="P68"/>
      <c r="Q68" s="11"/>
    </row>
    <row r="69" spans="1:17" x14ac:dyDescent="0.35">
      <c r="A69" s="3" t="s">
        <v>32</v>
      </c>
      <c r="B69" s="4">
        <v>1500.89672780666</v>
      </c>
      <c r="C69" s="4">
        <v>1625.8701170164104</v>
      </c>
      <c r="D69" s="4">
        <v>1759.2436619629489</v>
      </c>
      <c r="E69" s="4">
        <v>1902.3409859455871</v>
      </c>
      <c r="F69" s="4">
        <v>2057.4711990000001</v>
      </c>
      <c r="G69" s="4">
        <v>2228.6303560542892</v>
      </c>
      <c r="H69" s="4">
        <v>2419.8504997406453</v>
      </c>
      <c r="I69" s="4">
        <v>2632.3670485742887</v>
      </c>
      <c r="J69" s="4">
        <v>2865.1059533303837</v>
      </c>
      <c r="K69" s="4">
        <v>3119.187203157976</v>
      </c>
      <c r="L69" s="4">
        <v>3395.7431499872846</v>
      </c>
      <c r="M69" s="4">
        <v>3696.2308024793538</v>
      </c>
      <c r="N69" s="4">
        <v>4021.5050860066581</v>
      </c>
      <c r="O69" s="11">
        <f t="shared" si="0"/>
        <v>6.7783972637023987E-2</v>
      </c>
      <c r="P69"/>
      <c r="Q69" s="11"/>
    </row>
    <row r="70" spans="1:17" x14ac:dyDescent="0.35">
      <c r="A70" s="3" t="s">
        <v>33</v>
      </c>
      <c r="B70" s="4">
        <v>1343.6871235202091</v>
      </c>
      <c r="C70" s="4">
        <v>1441.9747021396799</v>
      </c>
      <c r="D70" s="4">
        <v>1548.5509272570637</v>
      </c>
      <c r="E70" s="4">
        <v>1664.0383460415178</v>
      </c>
      <c r="F70" s="4">
        <v>1789.6733603999999</v>
      </c>
      <c r="G70" s="4">
        <v>1927.113200344585</v>
      </c>
      <c r="H70" s="4">
        <v>2079.0490355061993</v>
      </c>
      <c r="I70" s="4">
        <v>2247.0367428710215</v>
      </c>
      <c r="J70" s="4">
        <v>2431.2080151521072</v>
      </c>
      <c r="K70" s="4">
        <v>2631.8485883896519</v>
      </c>
      <c r="L70" s="4">
        <v>2848.4662883024644</v>
      </c>
      <c r="M70" s="4">
        <v>3080.8116541111895</v>
      </c>
      <c r="N70" s="4">
        <v>3329.4075450029177</v>
      </c>
      <c r="O70" s="11">
        <f t="shared" si="0"/>
        <v>6.2635730691114069E-2</v>
      </c>
      <c r="P70"/>
      <c r="Q70" s="11"/>
    </row>
    <row r="71" spans="1:17" x14ac:dyDescent="0.35">
      <c r="A71" s="3" t="s">
        <v>34</v>
      </c>
      <c r="B71" s="4">
        <v>1376.9349357497588</v>
      </c>
      <c r="C71" s="4">
        <v>1503.3927710678813</v>
      </c>
      <c r="D71" s="4">
        <v>1643.7338319442376</v>
      </c>
      <c r="E71" s="4">
        <v>1799.7297553455439</v>
      </c>
      <c r="F71" s="4">
        <v>1972.5596891999999</v>
      </c>
      <c r="G71" s="4">
        <v>2164.1359352089776</v>
      </c>
      <c r="H71" s="4">
        <v>2377.4305128896431</v>
      </c>
      <c r="I71" s="4">
        <v>2615.4679757509307</v>
      </c>
      <c r="J71" s="4">
        <v>2880.47217225449</v>
      </c>
      <c r="K71" s="4">
        <v>3175.2886654048566</v>
      </c>
      <c r="L71" s="4">
        <v>3500.4807021650727</v>
      </c>
      <c r="M71" s="4">
        <v>3856.0326111000236</v>
      </c>
      <c r="N71" s="4">
        <v>4244.2658402888992</v>
      </c>
      <c r="O71" s="11">
        <f t="shared" si="0"/>
        <v>7.7710228216720106E-2</v>
      </c>
      <c r="P71"/>
      <c r="Q71" s="11"/>
    </row>
    <row r="72" spans="1:17" x14ac:dyDescent="0.35">
      <c r="A72" s="3" t="s">
        <v>15</v>
      </c>
      <c r="B72" s="4">
        <v>323.63195079035421</v>
      </c>
      <c r="C72" s="4">
        <v>343.2220072820063</v>
      </c>
      <c r="D72" s="4">
        <v>364.42834495819091</v>
      </c>
      <c r="E72" s="4">
        <v>387.15758664942643</v>
      </c>
      <c r="F72" s="4">
        <v>411.49423979999966</v>
      </c>
      <c r="G72" s="4">
        <v>437.50986993992422</v>
      </c>
      <c r="H72" s="4">
        <v>465.86770151175375</v>
      </c>
      <c r="I72" s="4">
        <v>496.90523158178587</v>
      </c>
      <c r="J72" s="4">
        <v>530.77292661426907</v>
      </c>
      <c r="K72" s="4">
        <v>567.43550141546029</v>
      </c>
      <c r="L72" s="4">
        <v>606.44615989756062</v>
      </c>
      <c r="M72" s="4">
        <v>647.5750540894137</v>
      </c>
      <c r="N72" s="4">
        <v>690.87032005807987</v>
      </c>
      <c r="O72" s="11">
        <f t="shared" si="0"/>
        <v>5.2071870647363488E-2</v>
      </c>
      <c r="P72"/>
      <c r="Q72" s="11"/>
    </row>
    <row r="73" spans="1:17" x14ac:dyDescent="0.35">
      <c r="A73" s="3" t="s">
        <v>49</v>
      </c>
      <c r="B73" s="4">
        <v>232.16984532935777</v>
      </c>
      <c r="C73" s="4">
        <v>247.26837444710173</v>
      </c>
      <c r="D73" s="4">
        <v>263.57288657082711</v>
      </c>
      <c r="E73" s="4">
        <v>281.23078737491051</v>
      </c>
      <c r="F73" s="4">
        <v>300.45611159999999</v>
      </c>
      <c r="G73" s="4">
        <v>321.59985041287393</v>
      </c>
      <c r="H73" s="4">
        <v>344.93734480845472</v>
      </c>
      <c r="I73" s="4">
        <v>370.59354680758304</v>
      </c>
      <c r="J73" s="4">
        <v>398.37375362029957</v>
      </c>
      <c r="K73" s="4">
        <v>428.21494670786802</v>
      </c>
      <c r="L73" s="4">
        <v>459.86827641702695</v>
      </c>
      <c r="M73" s="4">
        <v>493.27367653810512</v>
      </c>
      <c r="N73" s="4">
        <v>528.58542165843755</v>
      </c>
      <c r="O73" s="11">
        <f t="shared" si="0"/>
        <v>5.6763257169926334E-2</v>
      </c>
      <c r="P73"/>
      <c r="Q73" s="11"/>
    </row>
    <row r="74" spans="1:17" x14ac:dyDescent="0.35">
      <c r="A74" s="1" t="s">
        <v>32</v>
      </c>
      <c r="O74" s="11" t="str">
        <f t="shared" si="0"/>
        <v/>
      </c>
      <c r="P74"/>
      <c r="Q74" s="11"/>
    </row>
    <row r="75" spans="1:17" x14ac:dyDescent="0.35">
      <c r="A75" s="2" t="s">
        <v>54</v>
      </c>
      <c r="O75" s="11" t="str">
        <f t="shared" si="0"/>
        <v/>
      </c>
      <c r="P75"/>
      <c r="Q75" s="11"/>
    </row>
    <row r="76" spans="1:17" x14ac:dyDescent="0.35">
      <c r="A76" s="3" t="s">
        <v>55</v>
      </c>
      <c r="B76" s="4">
        <v>152.49019512066252</v>
      </c>
      <c r="C76" s="4">
        <v>169.68044383851571</v>
      </c>
      <c r="D76" s="4">
        <v>189.1447946063322</v>
      </c>
      <c r="E76" s="4">
        <v>210.82893573363307</v>
      </c>
      <c r="F76" s="4">
        <v>234.80552223874099</v>
      </c>
      <c r="G76" s="4">
        <v>261.03340721815448</v>
      </c>
      <c r="H76" s="4">
        <v>290.34017609363138</v>
      </c>
      <c r="I76" s="4">
        <v>323.51817374838544</v>
      </c>
      <c r="J76" s="4">
        <v>361.45207458728646</v>
      </c>
      <c r="K76" s="4">
        <v>404.65793648335062</v>
      </c>
      <c r="L76" s="4">
        <v>453.05671758575102</v>
      </c>
      <c r="M76" s="4">
        <v>506.59345376460055</v>
      </c>
      <c r="N76" s="4">
        <v>565.78725281433742</v>
      </c>
      <c r="O76" s="11">
        <f t="shared" si="0"/>
        <v>8.9754228694972515E-2</v>
      </c>
      <c r="P76"/>
      <c r="Q76" s="11"/>
    </row>
    <row r="77" spans="1:17" x14ac:dyDescent="0.35">
      <c r="A77" s="3" t="s">
        <v>56</v>
      </c>
      <c r="B77" s="4">
        <v>377.66715709756346</v>
      </c>
      <c r="C77" s="4">
        <v>410.9932764015881</v>
      </c>
      <c r="D77" s="4">
        <v>447.9898800854512</v>
      </c>
      <c r="E77" s="4">
        <v>488.50715115595312</v>
      </c>
      <c r="F77" s="4">
        <v>531.87754026634263</v>
      </c>
      <c r="G77" s="4">
        <v>578.81922675694341</v>
      </c>
      <c r="H77" s="4">
        <v>629.96491340945568</v>
      </c>
      <c r="I77" s="4">
        <v>686.54218282463205</v>
      </c>
      <c r="J77" s="4">
        <v>749.2500759913321</v>
      </c>
      <c r="K77" s="4">
        <v>818.57947632831326</v>
      </c>
      <c r="L77" s="4">
        <v>894.00746464233453</v>
      </c>
      <c r="M77" s="4">
        <v>974.97840926786387</v>
      </c>
      <c r="N77" s="4">
        <v>1062.5105949812314</v>
      </c>
      <c r="O77" s="11">
        <f t="shared" si="0"/>
        <v>6.9818332243622688E-2</v>
      </c>
      <c r="P77"/>
      <c r="Q77" s="11"/>
    </row>
    <row r="78" spans="1:17" x14ac:dyDescent="0.35">
      <c r="A78" s="3" t="s">
        <v>57</v>
      </c>
      <c r="B78" s="4">
        <v>970.73937558843397</v>
      </c>
      <c r="C78" s="4">
        <v>1045.1963967763068</v>
      </c>
      <c r="D78" s="4">
        <v>1122.1089872711657</v>
      </c>
      <c r="E78" s="4">
        <v>1203.004899056001</v>
      </c>
      <c r="F78" s="4">
        <v>1290.7881364949164</v>
      </c>
      <c r="G78" s="4">
        <v>1388.7777220791913</v>
      </c>
      <c r="H78" s="4">
        <v>1499.5454102375586</v>
      </c>
      <c r="I78" s="4">
        <v>1622.3066920012711</v>
      </c>
      <c r="J78" s="4">
        <v>1754.4038027517654</v>
      </c>
      <c r="K78" s="4">
        <v>1895.9497903463123</v>
      </c>
      <c r="L78" s="4">
        <v>2048.6789677591987</v>
      </c>
      <c r="M78" s="4">
        <v>2214.6589394468892</v>
      </c>
      <c r="N78" s="4">
        <v>2393.2072382110896</v>
      </c>
      <c r="O78" s="11">
        <f t="shared" si="0"/>
        <v>6.2333411528397206E-2</v>
      </c>
      <c r="P78"/>
      <c r="Q78" s="11"/>
    </row>
    <row r="79" spans="1:17" x14ac:dyDescent="0.35">
      <c r="A79" s="2" t="s">
        <v>30</v>
      </c>
      <c r="O79" s="11" t="str">
        <f t="shared" si="0"/>
        <v/>
      </c>
      <c r="P79"/>
      <c r="Q79" s="11"/>
    </row>
    <row r="80" spans="1:17" x14ac:dyDescent="0.35">
      <c r="A80" s="3" t="s">
        <v>35</v>
      </c>
      <c r="B80" s="4">
        <v>1310.3473454435498</v>
      </c>
      <c r="C80" s="4">
        <v>1420.6522148421882</v>
      </c>
      <c r="D80" s="4">
        <v>1537.8530376871549</v>
      </c>
      <c r="E80" s="4">
        <v>1663.3666691382618</v>
      </c>
      <c r="F80" s="4">
        <v>1799.8046781058506</v>
      </c>
      <c r="G80" s="4">
        <v>1950.833138412803</v>
      </c>
      <c r="H80" s="4">
        <v>2120.2218000977755</v>
      </c>
      <c r="I80" s="4">
        <v>2308.7011754096852</v>
      </c>
      <c r="J80" s="4">
        <v>2514.9830255458851</v>
      </c>
      <c r="K80" s="4">
        <v>2740.0616491289657</v>
      </c>
      <c r="L80" s="4">
        <v>2985.3911181108015</v>
      </c>
      <c r="M80" s="4">
        <v>3252.7216839120638</v>
      </c>
      <c r="N80" s="4">
        <v>3542.5092217565707</v>
      </c>
      <c r="O80" s="11">
        <f t="shared" si="0"/>
        <v>6.8532839304740051E-2</v>
      </c>
      <c r="P80"/>
      <c r="Q80" s="11"/>
    </row>
    <row r="81" spans="1:17" x14ac:dyDescent="0.35">
      <c r="A81" s="3" t="s">
        <v>36</v>
      </c>
      <c r="B81" s="4">
        <v>190.54938236311025</v>
      </c>
      <c r="C81" s="4">
        <v>205.21790217422227</v>
      </c>
      <c r="D81" s="4">
        <v>221.39062427579398</v>
      </c>
      <c r="E81" s="4">
        <v>238.97431680732538</v>
      </c>
      <c r="F81" s="4">
        <v>257.66652089414953</v>
      </c>
      <c r="G81" s="4">
        <v>277.79721764148638</v>
      </c>
      <c r="H81" s="4">
        <v>299.62869964286989</v>
      </c>
      <c r="I81" s="4">
        <v>323.66587316460334</v>
      </c>
      <c r="J81" s="4">
        <v>350.12292778449881</v>
      </c>
      <c r="K81" s="4">
        <v>379.12555402901035</v>
      </c>
      <c r="L81" s="4">
        <v>410.35203187648307</v>
      </c>
      <c r="M81" s="4">
        <v>443.50911856728987</v>
      </c>
      <c r="N81" s="4">
        <v>478.99586425008727</v>
      </c>
      <c r="O81" s="11">
        <f t="shared" si="0"/>
        <v>6.2403075181533332E-2</v>
      </c>
      <c r="P81"/>
      <c r="Q81" s="11"/>
    </row>
    <row r="82" spans="1:17" x14ac:dyDescent="0.35">
      <c r="A82" s="2" t="s">
        <v>47</v>
      </c>
      <c r="O82" s="11" t="str">
        <f t="shared" si="0"/>
        <v/>
      </c>
      <c r="P82"/>
      <c r="Q82" s="11"/>
    </row>
    <row r="83" spans="1:17" x14ac:dyDescent="0.35">
      <c r="A83" s="3" t="s">
        <v>82</v>
      </c>
      <c r="B83" s="4">
        <v>530.15735221822592</v>
      </c>
      <c r="C83" s="4">
        <v>580.67372024010388</v>
      </c>
      <c r="D83" s="4">
        <v>637.1346746917834</v>
      </c>
      <c r="E83" s="4">
        <v>699.33608688958623</v>
      </c>
      <c r="F83" s="4">
        <v>766.68306250508363</v>
      </c>
      <c r="G83" s="4">
        <v>839.85263397509789</v>
      </c>
      <c r="H83" s="4">
        <v>920.30508950308706</v>
      </c>
      <c r="I83" s="4">
        <v>1010.0603565730175</v>
      </c>
      <c r="J83" s="4">
        <v>1110.7021505786186</v>
      </c>
      <c r="K83" s="4">
        <v>1223.2374128116639</v>
      </c>
      <c r="L83" s="4">
        <v>1347.0641822280854</v>
      </c>
      <c r="M83" s="4">
        <v>1481.5718630324645</v>
      </c>
      <c r="N83" s="4">
        <v>1628.2978477955689</v>
      </c>
      <c r="O83" s="11">
        <f t="shared" si="0"/>
        <v>7.6335990007720275E-2</v>
      </c>
      <c r="P83"/>
      <c r="Q83" s="11"/>
    </row>
    <row r="84" spans="1:17" x14ac:dyDescent="0.35">
      <c r="A84" s="3" t="s">
        <v>83</v>
      </c>
      <c r="B84" s="4">
        <v>970.73937558843397</v>
      </c>
      <c r="C84" s="4">
        <v>1045.1963967763068</v>
      </c>
      <c r="D84" s="4">
        <v>1122.1089872711657</v>
      </c>
      <c r="E84" s="4">
        <v>1203.004899056001</v>
      </c>
      <c r="F84" s="4">
        <v>1290.7881364949164</v>
      </c>
      <c r="G84" s="4">
        <v>1388.7777220791913</v>
      </c>
      <c r="H84" s="4">
        <v>1499.5454102375586</v>
      </c>
      <c r="I84" s="4">
        <v>1622.3066920012711</v>
      </c>
      <c r="J84" s="4">
        <v>1754.4038027517654</v>
      </c>
      <c r="K84" s="4">
        <v>1895.9497903463123</v>
      </c>
      <c r="L84" s="4">
        <v>2048.6789677591987</v>
      </c>
      <c r="M84" s="4">
        <v>2214.6589394468892</v>
      </c>
      <c r="N84" s="4">
        <v>2393.2072382110896</v>
      </c>
      <c r="O84" s="11">
        <f t="shared" si="0"/>
        <v>6.2333411528397206E-2</v>
      </c>
      <c r="P84"/>
      <c r="Q84" s="11"/>
    </row>
    <row r="85" spans="1:17" x14ac:dyDescent="0.35">
      <c r="A85" s="2" t="s">
        <v>59</v>
      </c>
      <c r="O85" s="11" t="str">
        <f t="shared" si="0"/>
        <v/>
      </c>
      <c r="P85"/>
      <c r="Q85" s="11"/>
    </row>
    <row r="86" spans="1:17" x14ac:dyDescent="0.35">
      <c r="A86" s="3" t="s">
        <v>60</v>
      </c>
      <c r="O86" s="11" t="str">
        <f t="shared" ref="O86:O149" si="1">IFERROR(RATE(2035-2026,,-G86,N86),"")</f>
        <v/>
      </c>
      <c r="P86"/>
      <c r="Q86" s="11"/>
    </row>
    <row r="87" spans="1:17" x14ac:dyDescent="0.35">
      <c r="A87" s="34" t="s">
        <v>61</v>
      </c>
      <c r="B87" s="4">
        <v>308.91449151561324</v>
      </c>
      <c r="C87" s="4">
        <v>336.80448744184321</v>
      </c>
      <c r="D87" s="4">
        <v>363.09816489779297</v>
      </c>
      <c r="E87" s="4">
        <v>389.4915824570914</v>
      </c>
      <c r="F87" s="4">
        <v>419.00065555709148</v>
      </c>
      <c r="G87" s="4">
        <v>454.17604703198447</v>
      </c>
      <c r="H87" s="4">
        <v>496.38262387279485</v>
      </c>
      <c r="I87" s="4">
        <v>543.70177285302645</v>
      </c>
      <c r="J87" s="4">
        <v>592.99297655478449</v>
      </c>
      <c r="K87" s="4">
        <v>644.65338359852967</v>
      </c>
      <c r="L87" s="4">
        <v>700.52255993432686</v>
      </c>
      <c r="M87" s="4">
        <v>762.90231189853876</v>
      </c>
      <c r="N87" s="4">
        <v>831.09203069114574</v>
      </c>
      <c r="O87" s="11">
        <f t="shared" si="1"/>
        <v>6.9444672406657929E-2</v>
      </c>
      <c r="P87"/>
      <c r="Q87" s="11"/>
    </row>
    <row r="88" spans="1:17" x14ac:dyDescent="0.35">
      <c r="A88" s="43" t="s">
        <v>62</v>
      </c>
      <c r="B88" s="4">
        <v>59.396058894297298</v>
      </c>
      <c r="C88" s="4">
        <v>66.190122121167477</v>
      </c>
      <c r="D88" s="4">
        <v>73.873531489713102</v>
      </c>
      <c r="E88" s="4">
        <v>82.48966286496335</v>
      </c>
      <c r="F88" s="4">
        <v>92.005271838698505</v>
      </c>
      <c r="G88" s="4">
        <v>102.59324888086579</v>
      </c>
      <c r="H88" s="4">
        <v>114.42727827337525</v>
      </c>
      <c r="I88" s="4">
        <v>127.78157191999011</v>
      </c>
      <c r="J88" s="4">
        <v>142.8663793492118</v>
      </c>
      <c r="K88" s="4">
        <v>159.87498949052275</v>
      </c>
      <c r="L88" s="4">
        <v>178.83877601669121</v>
      </c>
      <c r="M88" s="4">
        <v>199.79186355455641</v>
      </c>
      <c r="N88" s="4">
        <v>223.03758853878438</v>
      </c>
      <c r="O88" s="11">
        <f t="shared" si="1"/>
        <v>9.0117353219009821E-2</v>
      </c>
      <c r="P88"/>
      <c r="Q88" s="11"/>
    </row>
    <row r="89" spans="1:17" x14ac:dyDescent="0.35">
      <c r="A89" s="43" t="s">
        <v>63</v>
      </c>
      <c r="B89" s="4">
        <v>99.237258456594603</v>
      </c>
      <c r="C89" s="4">
        <v>107.93943109966429</v>
      </c>
      <c r="D89" s="4">
        <v>116.99777068364217</v>
      </c>
      <c r="E89" s="4">
        <v>126.61219807382666</v>
      </c>
      <c r="F89" s="4">
        <v>137.17214000503759</v>
      </c>
      <c r="G89" s="4">
        <v>149.08196459784438</v>
      </c>
      <c r="H89" s="4">
        <v>162.67450464434845</v>
      </c>
      <c r="I89" s="4">
        <v>177.86294053486859</v>
      </c>
      <c r="J89" s="4">
        <v>194.34444467603109</v>
      </c>
      <c r="K89" s="4">
        <v>212.15933353223093</v>
      </c>
      <c r="L89" s="4">
        <v>231.58885456988429</v>
      </c>
      <c r="M89" s="4">
        <v>252.966676406386</v>
      </c>
      <c r="N89" s="4">
        <v>276.23031936001973</v>
      </c>
      <c r="O89" s="11">
        <f t="shared" si="1"/>
        <v>7.0929034594831256E-2</v>
      </c>
      <c r="P89"/>
      <c r="Q89" s="11"/>
    </row>
    <row r="90" spans="1:17" x14ac:dyDescent="0.35">
      <c r="A90" s="43" t="s">
        <v>64</v>
      </c>
      <c r="B90" s="4">
        <v>150.28117416472134</v>
      </c>
      <c r="C90" s="4">
        <v>162.6749342210114</v>
      </c>
      <c r="D90" s="4">
        <v>172.22686272443769</v>
      </c>
      <c r="E90" s="4">
        <v>180.38972151830137</v>
      </c>
      <c r="F90" s="4">
        <v>189.82324371335542</v>
      </c>
      <c r="G90" s="4">
        <v>202.5008335532743</v>
      </c>
      <c r="H90" s="4">
        <v>219.28084095507111</v>
      </c>
      <c r="I90" s="4">
        <v>238.0572603981677</v>
      </c>
      <c r="J90" s="4">
        <v>255.78215252954161</v>
      </c>
      <c r="K90" s="4">
        <v>272.61906057577602</v>
      </c>
      <c r="L90" s="4">
        <v>290.09492934775136</v>
      </c>
      <c r="M90" s="4">
        <v>310.14377193759628</v>
      </c>
      <c r="N90" s="4">
        <v>331.82412279234165</v>
      </c>
      <c r="O90" s="11">
        <f t="shared" si="1"/>
        <v>5.6406920872001567E-2</v>
      </c>
      <c r="P90"/>
      <c r="Q90" s="11"/>
    </row>
    <row r="91" spans="1:17" x14ac:dyDescent="0.35">
      <c r="A91" s="34" t="s">
        <v>65</v>
      </c>
      <c r="B91" s="4">
        <v>269.41591100921505</v>
      </c>
      <c r="C91" s="4">
        <v>291.44738286222923</v>
      </c>
      <c r="D91" s="4">
        <v>315.80649754179143</v>
      </c>
      <c r="E91" s="4">
        <v>342.3057659865749</v>
      </c>
      <c r="F91" s="4">
        <v>370.47467079383563</v>
      </c>
      <c r="G91" s="4">
        <v>400.66930253075896</v>
      </c>
      <c r="H91" s="4">
        <v>433.38054434016294</v>
      </c>
      <c r="I91" s="4">
        <v>469.42117498683047</v>
      </c>
      <c r="J91" s="4">
        <v>509.28052535002126</v>
      </c>
      <c r="K91" s="4">
        <v>553.22211578704741</v>
      </c>
      <c r="L91" s="4">
        <v>600.78755242694444</v>
      </c>
      <c r="M91" s="4">
        <v>651.51232506613258</v>
      </c>
      <c r="N91" s="4">
        <v>705.96220082848981</v>
      </c>
      <c r="O91" s="11">
        <f t="shared" si="1"/>
        <v>6.4958832464307753E-2</v>
      </c>
      <c r="P91"/>
      <c r="Q91" s="11"/>
    </row>
    <row r="92" spans="1:17" x14ac:dyDescent="0.35">
      <c r="A92" s="34" t="s">
        <v>66</v>
      </c>
      <c r="B92" s="4">
        <v>169.37879955111538</v>
      </c>
      <c r="C92" s="4">
        <v>182.08174531992452</v>
      </c>
      <c r="D92" s="4">
        <v>196.04859425207866</v>
      </c>
      <c r="E92" s="4">
        <v>211.14096106162833</v>
      </c>
      <c r="F92" s="4">
        <v>227.03649639709766</v>
      </c>
      <c r="G92" s="4">
        <v>244.01165395507411</v>
      </c>
      <c r="H92" s="4">
        <v>262.29532746085061</v>
      </c>
      <c r="I92" s="4">
        <v>282.38081395827692</v>
      </c>
      <c r="J92" s="4">
        <v>304.49658530431742</v>
      </c>
      <c r="K92" s="4">
        <v>328.69082050050548</v>
      </c>
      <c r="L92" s="4">
        <v>354.72580222083491</v>
      </c>
      <c r="M92" s="4">
        <v>382.28855792153911</v>
      </c>
      <c r="N92" s="4">
        <v>411.65641010844251</v>
      </c>
      <c r="O92" s="11">
        <f t="shared" si="1"/>
        <v>5.9829575832186017E-2</v>
      </c>
      <c r="P92"/>
      <c r="Q92" s="11"/>
    </row>
    <row r="93" spans="1:17" x14ac:dyDescent="0.35">
      <c r="A93" s="34" t="s">
        <v>67</v>
      </c>
      <c r="B93" s="4">
        <v>110.65976518834739</v>
      </c>
      <c r="C93" s="4">
        <v>118.06897747757331</v>
      </c>
      <c r="D93" s="4">
        <v>126.17405849232416</v>
      </c>
      <c r="E93" s="4">
        <v>134.90617855238386</v>
      </c>
      <c r="F93" s="4">
        <v>144.07280703770027</v>
      </c>
      <c r="G93" s="4">
        <v>153.82450748262161</v>
      </c>
      <c r="H93" s="4">
        <v>164.2789211058622</v>
      </c>
      <c r="I93" s="4">
        <v>175.66604573886673</v>
      </c>
      <c r="J93" s="4">
        <v>188.07747014882199</v>
      </c>
      <c r="K93" s="4">
        <v>201.55246266672185</v>
      </c>
      <c r="L93" s="4">
        <v>215.90461872174993</v>
      </c>
      <c r="M93" s="4">
        <v>230.96610657376459</v>
      </c>
      <c r="N93" s="4">
        <v>246.89062139534602</v>
      </c>
      <c r="O93" s="11">
        <f t="shared" si="1"/>
        <v>5.3976691434299062E-2</v>
      </c>
      <c r="P93"/>
      <c r="Q93" s="11"/>
    </row>
    <row r="94" spans="1:17" x14ac:dyDescent="0.35">
      <c r="A94" s="34" t="s">
        <v>68</v>
      </c>
      <c r="B94" s="4">
        <v>182.52697948597924</v>
      </c>
      <c r="C94" s="4">
        <v>199.18559846544335</v>
      </c>
      <c r="D94" s="4">
        <v>217.57452154181445</v>
      </c>
      <c r="E94" s="4">
        <v>237.97071586617815</v>
      </c>
      <c r="F94" s="4">
        <v>260.64019301686704</v>
      </c>
      <c r="G94" s="4">
        <v>285.88659839418443</v>
      </c>
      <c r="H94" s="4">
        <v>314.0158426061198</v>
      </c>
      <c r="I94" s="4">
        <v>345.13378957735637</v>
      </c>
      <c r="J94" s="4">
        <v>379.33176719189106</v>
      </c>
      <c r="K94" s="4">
        <v>416.74626978299261</v>
      </c>
      <c r="L94" s="4">
        <v>457.50826502372905</v>
      </c>
      <c r="M94" s="4">
        <v>502.01483842030461</v>
      </c>
      <c r="N94" s="4">
        <v>550.36706800250238</v>
      </c>
      <c r="O94" s="11">
        <f t="shared" si="1"/>
        <v>7.5490344607764645E-2</v>
      </c>
      <c r="P94"/>
      <c r="Q94" s="11"/>
    </row>
    <row r="95" spans="1:17" x14ac:dyDescent="0.35">
      <c r="A95" s="34" t="s">
        <v>69</v>
      </c>
      <c r="B95" s="4">
        <v>204.69367603307433</v>
      </c>
      <c r="C95" s="4">
        <v>216.99712686159972</v>
      </c>
      <c r="D95" s="4">
        <v>230.31130599294119</v>
      </c>
      <c r="E95" s="4">
        <v>244.32862556270376</v>
      </c>
      <c r="F95" s="4">
        <v>258.96000818587856</v>
      </c>
      <c r="G95" s="4">
        <v>273.98142472383608</v>
      </c>
      <c r="H95" s="4">
        <v>290.10540749796502</v>
      </c>
      <c r="I95" s="4">
        <v>307.7656207308525</v>
      </c>
      <c r="J95" s="4">
        <v>327.37144939450769</v>
      </c>
      <c r="K95" s="4">
        <v>348.95161640804747</v>
      </c>
      <c r="L95" s="4">
        <v>372.05665507461902</v>
      </c>
      <c r="M95" s="4">
        <v>396.29381301040667</v>
      </c>
      <c r="N95" s="4">
        <v>421.64182612167446</v>
      </c>
      <c r="O95" s="11">
        <f t="shared" si="1"/>
        <v>4.9065264345523919E-2</v>
      </c>
      <c r="P95"/>
      <c r="Q95" s="11"/>
    </row>
    <row r="96" spans="1:17" x14ac:dyDescent="0.35">
      <c r="A96" s="3" t="s">
        <v>70</v>
      </c>
      <c r="O96" s="11" t="str">
        <f t="shared" si="1"/>
        <v/>
      </c>
      <c r="P96"/>
      <c r="Q96" s="11"/>
    </row>
    <row r="97" spans="1:17" x14ac:dyDescent="0.35">
      <c r="A97" s="34" t="s">
        <v>71</v>
      </c>
      <c r="B97" s="4">
        <v>39.145381789570948</v>
      </c>
      <c r="C97" s="4">
        <v>43.768141599043183</v>
      </c>
      <c r="D97" s="4">
        <v>48.986363513452694</v>
      </c>
      <c r="E97" s="4">
        <v>54.810916242901612</v>
      </c>
      <c r="F97" s="4">
        <v>61.244560660093697</v>
      </c>
      <c r="G97" s="4">
        <v>68.415500039222593</v>
      </c>
      <c r="H97" s="4">
        <v>76.457897614845763</v>
      </c>
      <c r="I97" s="4">
        <v>85.640678097301446</v>
      </c>
      <c r="J97" s="4">
        <v>96.162687866157142</v>
      </c>
      <c r="K97" s="4">
        <v>108.0568912765558</v>
      </c>
      <c r="L97" s="4">
        <v>121.51251776413176</v>
      </c>
      <c r="M97" s="4">
        <v>136.53858830466248</v>
      </c>
      <c r="N97" s="4">
        <v>153.22931883997444</v>
      </c>
      <c r="O97" s="11">
        <f t="shared" si="1"/>
        <v>9.3728949077352616E-2</v>
      </c>
      <c r="P97"/>
      <c r="Q97" s="11"/>
    </row>
    <row r="98" spans="1:17" x14ac:dyDescent="0.35">
      <c r="A98" s="34" t="s">
        <v>72</v>
      </c>
      <c r="B98" s="4">
        <v>30.751282506510115</v>
      </c>
      <c r="C98" s="4">
        <v>34.785096927364421</v>
      </c>
      <c r="D98" s="4">
        <v>39.407137057761616</v>
      </c>
      <c r="E98" s="4">
        <v>44.664833454563592</v>
      </c>
      <c r="F98" s="4">
        <v>50.566040877944673</v>
      </c>
      <c r="G98" s="4">
        <v>57.232368952413474</v>
      </c>
      <c r="H98" s="4">
        <v>64.79244791282494</v>
      </c>
      <c r="I98" s="4">
        <v>73.43933146722064</v>
      </c>
      <c r="J98" s="4">
        <v>83.339671088544364</v>
      </c>
      <c r="K98" s="4">
        <v>94.658860145159153</v>
      </c>
      <c r="L98" s="4">
        <v>107.47431905765242</v>
      </c>
      <c r="M98" s="4">
        <v>121.86780839604225</v>
      </c>
      <c r="N98" s="4">
        <v>138.09003642610872</v>
      </c>
      <c r="O98" s="11">
        <f t="shared" si="1"/>
        <v>0.10281405217158114</v>
      </c>
      <c r="P98"/>
      <c r="Q98" s="11"/>
    </row>
    <row r="99" spans="1:17" x14ac:dyDescent="0.35">
      <c r="A99" s="34" t="s">
        <v>73</v>
      </c>
      <c r="B99" s="4">
        <v>27.133255150011976</v>
      </c>
      <c r="C99" s="4">
        <v>29.643585589356753</v>
      </c>
      <c r="D99" s="4">
        <v>32.442938106751257</v>
      </c>
      <c r="E99" s="4">
        <v>35.494447495426051</v>
      </c>
      <c r="F99" s="4">
        <v>38.783107146651751</v>
      </c>
      <c r="G99" s="4">
        <v>42.283467202090989</v>
      </c>
      <c r="H99" s="4">
        <v>46.114938397264964</v>
      </c>
      <c r="I99" s="4">
        <v>50.391528265469567</v>
      </c>
      <c r="J99" s="4">
        <v>55.232417365653312</v>
      </c>
      <c r="K99" s="4">
        <v>60.673533048798603</v>
      </c>
      <c r="L99" s="4">
        <v>66.674258661572651</v>
      </c>
      <c r="M99" s="4">
        <v>73.18255719154395</v>
      </c>
      <c r="N99" s="4">
        <v>80.229430858745317</v>
      </c>
      <c r="O99" s="11">
        <f t="shared" si="1"/>
        <v>7.3759485269877204E-2</v>
      </c>
      <c r="P99"/>
      <c r="Q99" s="11"/>
    </row>
    <row r="100" spans="1:17" x14ac:dyDescent="0.35">
      <c r="A100" s="34" t="s">
        <v>74</v>
      </c>
      <c r="B100" s="4">
        <v>33.398067456907164</v>
      </c>
      <c r="C100" s="4">
        <v>36.7324400233489</v>
      </c>
      <c r="D100" s="4">
        <v>40.448173347868376</v>
      </c>
      <c r="E100" s="4">
        <v>44.521706964287773</v>
      </c>
      <c r="F100" s="4">
        <v>48.937790891822964</v>
      </c>
      <c r="G100" s="4">
        <v>53.78567760848663</v>
      </c>
      <c r="H100" s="4">
        <v>59.152197597504085</v>
      </c>
      <c r="I100" s="4">
        <v>65.224830913707692</v>
      </c>
      <c r="J100" s="4">
        <v>72.1110462887941</v>
      </c>
      <c r="K100" s="4">
        <v>79.766943259666249</v>
      </c>
      <c r="L100" s="4">
        <v>88.270964970193376</v>
      </c>
      <c r="M100" s="4">
        <v>97.580957303717597</v>
      </c>
      <c r="N100" s="4">
        <v>107.72701945169281</v>
      </c>
      <c r="O100" s="11">
        <f t="shared" si="1"/>
        <v>8.0233286374925813E-2</v>
      </c>
      <c r="P100"/>
      <c r="Q100" s="11"/>
    </row>
    <row r="101" spans="1:17" x14ac:dyDescent="0.35">
      <c r="A101" s="34" t="s">
        <v>75</v>
      </c>
      <c r="B101" s="4">
        <v>23.205742560920669</v>
      </c>
      <c r="C101" s="4">
        <v>25.675975922197679</v>
      </c>
      <c r="D101" s="4">
        <v>28.43622068824309</v>
      </c>
      <c r="E101" s="4">
        <v>31.533658993562486</v>
      </c>
      <c r="F101" s="4">
        <v>35.016356141333745</v>
      </c>
      <c r="G101" s="4">
        <v>38.939766799584952</v>
      </c>
      <c r="H101" s="4">
        <v>43.362347058921912</v>
      </c>
      <c r="I101" s="4">
        <v>48.317730609721856</v>
      </c>
      <c r="J101" s="4">
        <v>53.838889250617228</v>
      </c>
      <c r="K101" s="4">
        <v>59.966515752077896</v>
      </c>
      <c r="L101" s="4">
        <v>66.742218344481472</v>
      </c>
      <c r="M101" s="4">
        <v>74.248152660146488</v>
      </c>
      <c r="N101" s="4">
        <v>82.526628198735906</v>
      </c>
      <c r="O101" s="11">
        <f t="shared" si="1"/>
        <v>8.7037504914686939E-2</v>
      </c>
      <c r="P101"/>
      <c r="Q101" s="11"/>
    </row>
    <row r="102" spans="1:17" x14ac:dyDescent="0.35">
      <c r="A102" s="3" t="s">
        <v>76</v>
      </c>
      <c r="O102" s="11" t="str">
        <f t="shared" si="1"/>
        <v/>
      </c>
      <c r="P102"/>
      <c r="Q102" s="11"/>
    </row>
    <row r="103" spans="1:17" x14ac:dyDescent="0.35">
      <c r="A103" s="34" t="s">
        <v>77</v>
      </c>
      <c r="B103" s="4">
        <v>28.907526186004123</v>
      </c>
      <c r="C103" s="4">
        <v>31.620134110789174</v>
      </c>
      <c r="D103" s="4">
        <v>34.626360595096173</v>
      </c>
      <c r="E103" s="4">
        <v>37.902805756262339</v>
      </c>
      <c r="F103" s="4">
        <v>41.431272544176679</v>
      </c>
      <c r="G103" s="4">
        <v>45.278976932778562</v>
      </c>
      <c r="H103" s="4">
        <v>49.512753932271195</v>
      </c>
      <c r="I103" s="4">
        <v>54.276136082631432</v>
      </c>
      <c r="J103" s="4">
        <v>59.651306763017104</v>
      </c>
      <c r="K103" s="4">
        <v>65.594625700319071</v>
      </c>
      <c r="L103" s="4">
        <v>72.166610041827909</v>
      </c>
      <c r="M103" s="4">
        <v>79.329969363973845</v>
      </c>
      <c r="N103" s="4">
        <v>87.091506935817634</v>
      </c>
      <c r="O103" s="11">
        <f t="shared" si="1"/>
        <v>7.5385943636041161E-2</v>
      </c>
      <c r="P103"/>
      <c r="Q103" s="11"/>
    </row>
    <row r="104" spans="1:17" x14ac:dyDescent="0.35">
      <c r="A104" s="34" t="s">
        <v>78</v>
      </c>
      <c r="B104" s="4">
        <v>27.840521165424697</v>
      </c>
      <c r="C104" s="4">
        <v>30.032945834280806</v>
      </c>
      <c r="D104" s="4">
        <v>32.306538394974929</v>
      </c>
      <c r="E104" s="4">
        <v>34.704852331736411</v>
      </c>
      <c r="F104" s="4">
        <v>37.310407677164264</v>
      </c>
      <c r="G104" s="4">
        <v>40.219602153354373</v>
      </c>
      <c r="H104" s="4">
        <v>43.50812204649143</v>
      </c>
      <c r="I104" s="4">
        <v>47.156774699734967</v>
      </c>
      <c r="J104" s="4">
        <v>51.091960613863257</v>
      </c>
      <c r="K104" s="4">
        <v>55.318846579929904</v>
      </c>
      <c r="L104" s="4">
        <v>59.888303829022732</v>
      </c>
      <c r="M104" s="4">
        <v>64.861197070374914</v>
      </c>
      <c r="N104" s="4">
        <v>70.220916526031388</v>
      </c>
      <c r="O104" s="11">
        <f t="shared" si="1"/>
        <v>6.3878617772292492E-2</v>
      </c>
      <c r="P104"/>
      <c r="Q104" s="11"/>
    </row>
    <row r="105" spans="1:17" x14ac:dyDescent="0.35">
      <c r="A105" s="34" t="s">
        <v>79</v>
      </c>
      <c r="B105" s="4">
        <v>16.140995144392544</v>
      </c>
      <c r="C105" s="4">
        <v>18.003640747320944</v>
      </c>
      <c r="D105" s="4">
        <v>20.091385220031267</v>
      </c>
      <c r="E105" s="4">
        <v>22.403805957229267</v>
      </c>
      <c r="F105" s="4">
        <v>24.947813076127019</v>
      </c>
      <c r="G105" s="4">
        <v>27.781627721359236</v>
      </c>
      <c r="H105" s="4">
        <v>30.965596665342897</v>
      </c>
      <c r="I105" s="4">
        <v>34.604059825475261</v>
      </c>
      <c r="J105" s="4">
        <v>38.764451957056146</v>
      </c>
      <c r="K105" s="4">
        <v>43.44545555774863</v>
      </c>
      <c r="L105" s="4">
        <v>48.719971970701216</v>
      </c>
      <c r="M105" s="4">
        <v>54.597563526746214</v>
      </c>
      <c r="N105" s="4">
        <v>61.110837889728366</v>
      </c>
      <c r="O105" s="11">
        <f t="shared" si="1"/>
        <v>9.154102031416618E-2</v>
      </c>
      <c r="P105"/>
      <c r="Q105" s="11"/>
    </row>
    <row r="106" spans="1:17" x14ac:dyDescent="0.35">
      <c r="A106" s="34" t="s">
        <v>80</v>
      </c>
      <c r="B106" s="4">
        <v>13.777131903819203</v>
      </c>
      <c r="C106" s="4">
        <v>14.757041012930268</v>
      </c>
      <c r="D106" s="4">
        <v>15.836247229356253</v>
      </c>
      <c r="E106" s="4">
        <v>16.989190640105129</v>
      </c>
      <c r="F106" s="4">
        <v>18.203518797595528</v>
      </c>
      <c r="G106" s="4">
        <v>19.456204746277219</v>
      </c>
      <c r="H106" s="4">
        <v>20.801691827872467</v>
      </c>
      <c r="I106" s="4">
        <v>22.281947381799828</v>
      </c>
      <c r="J106" s="4">
        <v>23.941937455682112</v>
      </c>
      <c r="K106" s="4">
        <v>25.789574898242286</v>
      </c>
      <c r="L106" s="4">
        <v>27.788537221139116</v>
      </c>
      <c r="M106" s="4">
        <v>29.905542101707628</v>
      </c>
      <c r="N106" s="4">
        <v>32.144953090525064</v>
      </c>
      <c r="O106" s="11">
        <f t="shared" si="1"/>
        <v>5.7373194742507294E-2</v>
      </c>
      <c r="P106"/>
      <c r="Q106" s="11"/>
    </row>
    <row r="107" spans="1:17" x14ac:dyDescent="0.35">
      <c r="A107" s="34" t="s">
        <v>81</v>
      </c>
      <c r="B107" s="4">
        <v>15.007201159753894</v>
      </c>
      <c r="C107" s="4">
        <v>16.265796821165207</v>
      </c>
      <c r="D107" s="4">
        <v>17.649155090670302</v>
      </c>
      <c r="E107" s="4">
        <v>19.170938622952111</v>
      </c>
      <c r="F107" s="4">
        <v>20.845500198618986</v>
      </c>
      <c r="G107" s="4">
        <v>22.687629780261634</v>
      </c>
      <c r="H107" s="4">
        <v>24.723839803550224</v>
      </c>
      <c r="I107" s="4">
        <v>26.964813386016299</v>
      </c>
      <c r="J107" s="4">
        <v>29.420810736655245</v>
      </c>
      <c r="K107" s="4">
        <v>32.099288195634074</v>
      </c>
      <c r="L107" s="4">
        <v>34.999994724357698</v>
      </c>
      <c r="M107" s="4">
        <v>38.140513669751982</v>
      </c>
      <c r="N107" s="4">
        <v>41.524280641697459</v>
      </c>
      <c r="O107" s="11">
        <f t="shared" si="1"/>
        <v>6.9468777429655099E-2</v>
      </c>
      <c r="P107"/>
      <c r="Q107" s="11"/>
    </row>
    <row r="108" spans="1:17" x14ac:dyDescent="0.35">
      <c r="A108" s="2" t="s">
        <v>84</v>
      </c>
      <c r="O108" s="11" t="str">
        <f t="shared" si="1"/>
        <v/>
      </c>
      <c r="P108"/>
      <c r="Q108" s="11"/>
    </row>
    <row r="109" spans="1:17" x14ac:dyDescent="0.35">
      <c r="A109" s="3" t="s">
        <v>85</v>
      </c>
      <c r="B109" s="4">
        <v>106.49936328465546</v>
      </c>
      <c r="C109" s="4">
        <v>113.3125763269729</v>
      </c>
      <c r="D109" s="4">
        <v>120.20968432691895</v>
      </c>
      <c r="E109" s="4">
        <v>127.34739706946893</v>
      </c>
      <c r="F109" s="4">
        <v>135.02009957131756</v>
      </c>
      <c r="G109" s="4">
        <v>143.55188860477466</v>
      </c>
      <c r="H109" s="4">
        <v>153.17383787691315</v>
      </c>
      <c r="I109" s="4">
        <v>163.76328563108314</v>
      </c>
      <c r="J109" s="4">
        <v>175.01330045105016</v>
      </c>
      <c r="K109" s="4">
        <v>186.90631780984944</v>
      </c>
      <c r="L109" s="4">
        <v>199.58413692255209</v>
      </c>
      <c r="M109" s="4">
        <v>213.21364171737045</v>
      </c>
      <c r="N109" s="4">
        <v>227.68920758138768</v>
      </c>
      <c r="O109" s="11">
        <f t="shared" si="1"/>
        <v>5.2590101638087264E-2</v>
      </c>
      <c r="P109"/>
      <c r="Q109" s="11"/>
    </row>
    <row r="110" spans="1:17" x14ac:dyDescent="0.35">
      <c r="A110" s="3" t="s">
        <v>86</v>
      </c>
      <c r="B110" s="4">
        <v>276.58918009720668</v>
      </c>
      <c r="C110" s="4">
        <v>295.52840370705655</v>
      </c>
      <c r="D110" s="4">
        <v>314.86619375929462</v>
      </c>
      <c r="E110" s="4">
        <v>335.00811023097424</v>
      </c>
      <c r="F110" s="4">
        <v>356.7193779578356</v>
      </c>
      <c r="G110" s="4">
        <v>380.86923579460301</v>
      </c>
      <c r="H110" s="4">
        <v>408.09687550801391</v>
      </c>
      <c r="I110" s="4">
        <v>438.12706270598278</v>
      </c>
      <c r="J110" s="4">
        <v>470.18757344362967</v>
      </c>
      <c r="K110" s="4">
        <v>504.25761948954619</v>
      </c>
      <c r="L110" s="4">
        <v>540.73167630445437</v>
      </c>
      <c r="M110" s="4">
        <v>580.07827628175778</v>
      </c>
      <c r="N110" s="4">
        <v>622.05487837109035</v>
      </c>
      <c r="O110" s="11">
        <f t="shared" si="1"/>
        <v>5.6020949744179926E-2</v>
      </c>
      <c r="P110"/>
      <c r="Q110" s="11"/>
    </row>
    <row r="111" spans="1:17" x14ac:dyDescent="0.35">
      <c r="A111" s="3" t="s">
        <v>87</v>
      </c>
      <c r="B111" s="4">
        <v>453.36970581732157</v>
      </c>
      <c r="C111" s="4">
        <v>500.46739175769903</v>
      </c>
      <c r="D111" s="4">
        <v>550.37469675449927</v>
      </c>
      <c r="E111" s="4">
        <v>603.45325646778076</v>
      </c>
      <c r="F111" s="4">
        <v>660.20217126256557</v>
      </c>
      <c r="G111" s="4">
        <v>721.96468455560421</v>
      </c>
      <c r="H111" s="4">
        <v>791.00154862189765</v>
      </c>
      <c r="I111" s="4">
        <v>867.82763323415656</v>
      </c>
      <c r="J111" s="4">
        <v>952.8250140109393</v>
      </c>
      <c r="K111" s="4">
        <v>1047.6671570306753</v>
      </c>
      <c r="L111" s="4">
        <v>1153.6912963165571</v>
      </c>
      <c r="M111" s="4">
        <v>1272.0987466668018</v>
      </c>
      <c r="N111" s="4">
        <v>1403.1184698964596</v>
      </c>
      <c r="O111" s="11">
        <f t="shared" si="1"/>
        <v>7.6624516651112778E-2</v>
      </c>
      <c r="P111"/>
      <c r="Q111" s="11"/>
    </row>
    <row r="112" spans="1:17" x14ac:dyDescent="0.35">
      <c r="A112" s="3" t="s">
        <v>88</v>
      </c>
      <c r="B112" s="4">
        <v>335.53697481024432</v>
      </c>
      <c r="C112" s="4">
        <v>363.28442681467982</v>
      </c>
      <c r="D112" s="4">
        <v>393.93446787788309</v>
      </c>
      <c r="E112" s="4">
        <v>427.82970188849521</v>
      </c>
      <c r="F112" s="4">
        <v>465.49996304763516</v>
      </c>
      <c r="G112" s="4">
        <v>507.7315708973648</v>
      </c>
      <c r="H112" s="4">
        <v>554.98268700573021</v>
      </c>
      <c r="I112" s="4">
        <v>607.74481462188658</v>
      </c>
      <c r="J112" s="4">
        <v>665.72964065859605</v>
      </c>
      <c r="K112" s="4">
        <v>728.8073553137267</v>
      </c>
      <c r="L112" s="4">
        <v>796.40882993031732</v>
      </c>
      <c r="M112" s="4">
        <v>868.42767973628895</v>
      </c>
      <c r="N112" s="4">
        <v>945.60305388096981</v>
      </c>
      <c r="O112" s="11">
        <f t="shared" si="1"/>
        <v>7.1539782992207077E-2</v>
      </c>
      <c r="P112"/>
      <c r="Q112" s="11"/>
    </row>
    <row r="113" spans="1:17" x14ac:dyDescent="0.35">
      <c r="A113" s="3" t="s">
        <v>89</v>
      </c>
      <c r="B113" s="4">
        <v>112.01237987485598</v>
      </c>
      <c r="C113" s="4">
        <v>121.16816654819721</v>
      </c>
      <c r="D113" s="4">
        <v>131.22251856870889</v>
      </c>
      <c r="E113" s="4">
        <v>142.04577608709346</v>
      </c>
      <c r="F113" s="4">
        <v>153.53347939416437</v>
      </c>
      <c r="G113" s="4">
        <v>165.90904237160376</v>
      </c>
      <c r="H113" s="4">
        <v>179.38378150677343</v>
      </c>
      <c r="I113" s="4">
        <v>194.44637767111337</v>
      </c>
      <c r="J113" s="4">
        <v>211.33753955879996</v>
      </c>
      <c r="K113" s="4">
        <v>229.82839437657924</v>
      </c>
      <c r="L113" s="4">
        <v>250.0727076705345</v>
      </c>
      <c r="M113" s="4">
        <v>271.86512810101232</v>
      </c>
      <c r="N113" s="4">
        <v>295.16660153982372</v>
      </c>
      <c r="O113" s="11">
        <f t="shared" si="1"/>
        <v>6.6104273586681597E-2</v>
      </c>
      <c r="P113"/>
      <c r="Q113" s="11"/>
    </row>
    <row r="114" spans="1:17" x14ac:dyDescent="0.35">
      <c r="A114" s="3" t="s">
        <v>90</v>
      </c>
      <c r="B114" s="4">
        <v>216.88912392237597</v>
      </c>
      <c r="C114" s="4">
        <v>232.10915186180489</v>
      </c>
      <c r="D114" s="4">
        <v>248.63610067564412</v>
      </c>
      <c r="E114" s="4">
        <v>266.65674420177459</v>
      </c>
      <c r="F114" s="4">
        <v>286.49610776648194</v>
      </c>
      <c r="G114" s="4">
        <v>308.60393383033897</v>
      </c>
      <c r="H114" s="4">
        <v>333.2117692213173</v>
      </c>
      <c r="I114" s="4">
        <v>360.45787471006645</v>
      </c>
      <c r="J114" s="4">
        <v>390.01288520736887</v>
      </c>
      <c r="K114" s="4">
        <v>421.72035913759919</v>
      </c>
      <c r="L114" s="4">
        <v>455.25450284286927</v>
      </c>
      <c r="M114" s="4">
        <v>490.54732997612194</v>
      </c>
      <c r="N114" s="4">
        <v>527.87287473692697</v>
      </c>
      <c r="O114" s="11">
        <f t="shared" si="1"/>
        <v>6.1458694364817545E-2</v>
      </c>
      <c r="P114"/>
      <c r="Q114" s="11"/>
    </row>
    <row r="115" spans="1:17" x14ac:dyDescent="0.35">
      <c r="A115" s="2" t="s">
        <v>91</v>
      </c>
      <c r="O115" s="11" t="str">
        <f t="shared" si="1"/>
        <v/>
      </c>
      <c r="P115"/>
      <c r="Q115" s="11"/>
    </row>
    <row r="116" spans="1:17" x14ac:dyDescent="0.35">
      <c r="A116" s="3" t="s">
        <v>92</v>
      </c>
      <c r="B116" s="4">
        <v>603.90088245525669</v>
      </c>
      <c r="C116" s="4">
        <v>657.66003710380528</v>
      </c>
      <c r="D116" s="4">
        <v>716.97967778678935</v>
      </c>
      <c r="E116" s="4">
        <v>782.49842216491822</v>
      </c>
      <c r="F116" s="4">
        <v>854.89279657303621</v>
      </c>
      <c r="G116" s="4">
        <v>934.87190050418781</v>
      </c>
      <c r="H116" s="4">
        <v>1023.6277412064579</v>
      </c>
      <c r="I116" s="4">
        <v>1121.7177481248648</v>
      </c>
      <c r="J116" s="4">
        <v>1229.68995854331</v>
      </c>
      <c r="K116" s="4">
        <v>1347.9913068637213</v>
      </c>
      <c r="L116" s="4">
        <v>1476.760819870553</v>
      </c>
      <c r="M116" s="4">
        <v>1616.8948707817531</v>
      </c>
      <c r="N116" s="4">
        <v>1768.6954061291412</v>
      </c>
      <c r="O116" s="11">
        <f t="shared" si="1"/>
        <v>7.3412803732653631E-2</v>
      </c>
      <c r="P116"/>
      <c r="Q116" s="11"/>
    </row>
    <row r="117" spans="1:17" x14ac:dyDescent="0.35">
      <c r="A117" s="3" t="s">
        <v>93</v>
      </c>
      <c r="B117" s="4">
        <v>896.99584535140332</v>
      </c>
      <c r="C117" s="4">
        <v>968.21007991260512</v>
      </c>
      <c r="D117" s="4">
        <v>1042.2639841761595</v>
      </c>
      <c r="E117" s="4">
        <v>1119.842563780669</v>
      </c>
      <c r="F117" s="4">
        <v>1202.578402426964</v>
      </c>
      <c r="G117" s="4">
        <v>1293.7584555501016</v>
      </c>
      <c r="H117" s="4">
        <v>1396.2227585341875</v>
      </c>
      <c r="I117" s="4">
        <v>1510.6493004494239</v>
      </c>
      <c r="J117" s="4">
        <v>1635.4159947870739</v>
      </c>
      <c r="K117" s="4">
        <v>1771.1958962942547</v>
      </c>
      <c r="L117" s="4">
        <v>1918.9823301167316</v>
      </c>
      <c r="M117" s="4">
        <v>2079.3359316976007</v>
      </c>
      <c r="N117" s="4">
        <v>2252.8096798775168</v>
      </c>
      <c r="O117" s="11">
        <f t="shared" si="1"/>
        <v>6.3563631011161623E-2</v>
      </c>
      <c r="P117"/>
      <c r="Q117" s="11"/>
    </row>
    <row r="118" spans="1:17" x14ac:dyDescent="0.35">
      <c r="A118" s="2" t="s">
        <v>94</v>
      </c>
      <c r="O118" s="11" t="str">
        <f t="shared" si="1"/>
        <v/>
      </c>
      <c r="P118"/>
      <c r="Q118" s="11"/>
    </row>
    <row r="119" spans="1:17" x14ac:dyDescent="0.35">
      <c r="A119" s="3" t="s">
        <v>48</v>
      </c>
      <c r="B119" s="4">
        <v>106.56139420119419</v>
      </c>
      <c r="C119" s="4">
        <v>116.10553002361731</v>
      </c>
      <c r="D119" s="4">
        <v>126.73860871167469</v>
      </c>
      <c r="E119" s="4">
        <v>138.30530697869511</v>
      </c>
      <c r="F119" s="4">
        <v>150.74547928216708</v>
      </c>
      <c r="G119" s="4">
        <v>163.90507183682621</v>
      </c>
      <c r="H119" s="4">
        <v>178.2707466382399</v>
      </c>
      <c r="I119" s="4">
        <v>194.25493675548344</v>
      </c>
      <c r="J119" s="4">
        <v>212.32293710499425</v>
      </c>
      <c r="K119" s="4">
        <v>232.64104393274738</v>
      </c>
      <c r="L119" s="4">
        <v>254.98469665685201</v>
      </c>
      <c r="M119" s="4">
        <v>279.13833397338391</v>
      </c>
      <c r="N119" s="4">
        <v>305.21993522579419</v>
      </c>
      <c r="O119" s="11">
        <f t="shared" si="1"/>
        <v>7.1524926056790505E-2</v>
      </c>
      <c r="P119"/>
      <c r="Q119" s="11"/>
    </row>
    <row r="120" spans="1:17" x14ac:dyDescent="0.35">
      <c r="A120" s="3" t="s">
        <v>95</v>
      </c>
      <c r="B120" s="4">
        <v>105.39483754885219</v>
      </c>
      <c r="C120" s="4">
        <v>116.34904660444177</v>
      </c>
      <c r="D120" s="4">
        <v>128.6549237863367</v>
      </c>
      <c r="E120" s="4">
        <v>142.29863583839986</v>
      </c>
      <c r="F120" s="4">
        <v>157.16397649560164</v>
      </c>
      <c r="G120" s="4">
        <v>173.43471752998474</v>
      </c>
      <c r="H120" s="4">
        <v>191.41919000203404</v>
      </c>
      <c r="I120" s="4">
        <v>211.56967055810159</v>
      </c>
      <c r="J120" s="4">
        <v>234.24165696115622</v>
      </c>
      <c r="K120" s="4">
        <v>259.69091420629758</v>
      </c>
      <c r="L120" s="4">
        <v>287.84160563311781</v>
      </c>
      <c r="M120" s="4">
        <v>318.6048345551763</v>
      </c>
      <c r="N120" s="4">
        <v>352.37369731196389</v>
      </c>
      <c r="O120" s="11">
        <f t="shared" si="1"/>
        <v>8.1950754249848462E-2</v>
      </c>
      <c r="P120"/>
      <c r="Q120" s="11"/>
    </row>
    <row r="121" spans="1:17" x14ac:dyDescent="0.35">
      <c r="A121" s="3" t="s">
        <v>96</v>
      </c>
      <c r="B121" s="4">
        <v>353.50903503101745</v>
      </c>
      <c r="C121" s="4">
        <v>390.83984455737095</v>
      </c>
      <c r="D121" s="4">
        <v>427.75511960673964</v>
      </c>
      <c r="E121" s="4">
        <v>465.39920835207948</v>
      </c>
      <c r="F121" s="4">
        <v>505.85708262418677</v>
      </c>
      <c r="G121" s="4">
        <v>552.16768995081202</v>
      </c>
      <c r="H121" s="4">
        <v>606.27785046371673</v>
      </c>
      <c r="I121" s="4">
        <v>667.66810167784911</v>
      </c>
      <c r="J121" s="4">
        <v>734.29379460808377</v>
      </c>
      <c r="K121" s="4">
        <v>806.87393337634285</v>
      </c>
      <c r="L121" s="4">
        <v>887.85049947917673</v>
      </c>
      <c r="M121" s="4">
        <v>979.07844117028708</v>
      </c>
      <c r="N121" s="4">
        <v>1080.2966453688741</v>
      </c>
      <c r="O121" s="11">
        <f t="shared" si="1"/>
        <v>7.7421857839652747E-2</v>
      </c>
      <c r="P121"/>
      <c r="Q121" s="11"/>
    </row>
    <row r="122" spans="1:17" x14ac:dyDescent="0.35">
      <c r="A122" s="3" t="s">
        <v>97</v>
      </c>
      <c r="B122" s="4">
        <v>123.61308619093714</v>
      </c>
      <c r="C122" s="4">
        <v>133.17891214419686</v>
      </c>
      <c r="D122" s="4">
        <v>143.75301759920461</v>
      </c>
      <c r="E122" s="4">
        <v>155.12055167148577</v>
      </c>
      <c r="F122" s="4">
        <v>167.18208306524789</v>
      </c>
      <c r="G122" s="4">
        <v>179.7377050657704</v>
      </c>
      <c r="H122" s="4">
        <v>193.29838621745253</v>
      </c>
      <c r="I122" s="4">
        <v>208.27112889148648</v>
      </c>
      <c r="J122" s="4">
        <v>225.10039842092496</v>
      </c>
      <c r="K122" s="4">
        <v>243.89250877176607</v>
      </c>
      <c r="L122" s="4">
        <v>264.3376323069171</v>
      </c>
      <c r="M122" s="4">
        <v>286.1472989914646</v>
      </c>
      <c r="N122" s="4">
        <v>309.38623939873389</v>
      </c>
      <c r="O122" s="11">
        <f t="shared" si="1"/>
        <v>6.2201393479632709E-2</v>
      </c>
      <c r="P122"/>
      <c r="Q122" s="11"/>
    </row>
    <row r="123" spans="1:17" x14ac:dyDescent="0.35">
      <c r="A123" s="3" t="s">
        <v>98</v>
      </c>
      <c r="B123" s="4">
        <v>390.7285868977001</v>
      </c>
      <c r="C123" s="4">
        <v>422.36743948028305</v>
      </c>
      <c r="D123" s="4">
        <v>457.0143048204377</v>
      </c>
      <c r="E123" s="4">
        <v>495.1545671971694</v>
      </c>
      <c r="F123" s="4">
        <v>537.23062268282183</v>
      </c>
      <c r="G123" s="4">
        <v>583.74360125001158</v>
      </c>
      <c r="H123" s="4">
        <v>635.17796809471031</v>
      </c>
      <c r="I123" s="4">
        <v>691.59259120851073</v>
      </c>
      <c r="J123" s="4">
        <v>753.01188297851081</v>
      </c>
      <c r="K123" s="4">
        <v>819.54577230243751</v>
      </c>
      <c r="L123" s="4">
        <v>891.28590691576869</v>
      </c>
      <c r="M123" s="4">
        <v>968.83553288449377</v>
      </c>
      <c r="N123" s="4">
        <v>1052.2005449095047</v>
      </c>
      <c r="O123" s="11">
        <f t="shared" si="1"/>
        <v>6.7654438640927433E-2</v>
      </c>
      <c r="P123"/>
      <c r="Q123" s="11"/>
    </row>
    <row r="124" spans="1:17" x14ac:dyDescent="0.35">
      <c r="A124" s="3" t="s">
        <v>99</v>
      </c>
      <c r="B124" s="4">
        <v>283.19074117418461</v>
      </c>
      <c r="C124" s="4">
        <v>299.48591020815843</v>
      </c>
      <c r="D124" s="4">
        <v>317.21970917030808</v>
      </c>
      <c r="E124" s="4">
        <v>336.53423074763617</v>
      </c>
      <c r="F124" s="4">
        <v>357.69985145542068</v>
      </c>
      <c r="G124" s="4">
        <v>381.15264196796704</v>
      </c>
      <c r="H124" s="4">
        <v>407.03473592024443</v>
      </c>
      <c r="I124" s="4">
        <v>435.49079817561812</v>
      </c>
      <c r="J124" s="4">
        <v>466.08392751981432</v>
      </c>
      <c r="K124" s="4">
        <v>498.51817107365321</v>
      </c>
      <c r="L124" s="4">
        <v>532.21528149328446</v>
      </c>
      <c r="M124" s="4">
        <v>566.95131214533387</v>
      </c>
      <c r="N124" s="4">
        <v>603.06863007992035</v>
      </c>
      <c r="O124" s="11">
        <f t="shared" si="1"/>
        <v>5.2303141913308399E-2</v>
      </c>
      <c r="P124"/>
      <c r="Q124" s="11"/>
    </row>
    <row r="125" spans="1:17" x14ac:dyDescent="0.35">
      <c r="A125" s="3" t="s">
        <v>100</v>
      </c>
      <c r="B125" s="4">
        <v>137.8990467627745</v>
      </c>
      <c r="C125" s="4">
        <v>147.54343399834198</v>
      </c>
      <c r="D125" s="4">
        <v>158.10797826824751</v>
      </c>
      <c r="E125" s="4">
        <v>169.52848516012151</v>
      </c>
      <c r="F125" s="4">
        <v>181.59210339455421</v>
      </c>
      <c r="G125" s="4">
        <v>194.48892845291743</v>
      </c>
      <c r="H125" s="4">
        <v>208.37162240424763</v>
      </c>
      <c r="I125" s="4">
        <v>223.51982130723883</v>
      </c>
      <c r="J125" s="4">
        <v>240.05135573689969</v>
      </c>
      <c r="K125" s="4">
        <v>258.02485949473123</v>
      </c>
      <c r="L125" s="4">
        <v>277.22752750216779</v>
      </c>
      <c r="M125" s="4">
        <v>297.47504875921396</v>
      </c>
      <c r="N125" s="4">
        <v>318.95939371186677</v>
      </c>
      <c r="O125" s="11">
        <f t="shared" si="1"/>
        <v>5.6504054776148102E-2</v>
      </c>
      <c r="P125"/>
      <c r="Q125" s="11"/>
    </row>
    <row r="126" spans="1:17" x14ac:dyDescent="0.35">
      <c r="A126" s="1" t="s">
        <v>33</v>
      </c>
      <c r="O126" s="11" t="str">
        <f t="shared" si="1"/>
        <v/>
      </c>
      <c r="P126"/>
      <c r="Q126" s="11"/>
    </row>
    <row r="127" spans="1:17" x14ac:dyDescent="0.35">
      <c r="A127" s="2" t="s">
        <v>54</v>
      </c>
      <c r="O127" s="11" t="str">
        <f t="shared" si="1"/>
        <v/>
      </c>
      <c r="P127"/>
      <c r="Q127" s="11"/>
    </row>
    <row r="128" spans="1:17" x14ac:dyDescent="0.35">
      <c r="A128" s="3" t="s">
        <v>55</v>
      </c>
      <c r="B128" s="4">
        <v>136.65269523259332</v>
      </c>
      <c r="C128" s="4">
        <v>150.81959102930787</v>
      </c>
      <c r="D128" s="4">
        <v>166.41659443280125</v>
      </c>
      <c r="E128" s="4">
        <v>183.73014603773078</v>
      </c>
      <c r="F128" s="4">
        <v>203.048716697061</v>
      </c>
      <c r="G128" s="4">
        <v>224.66100303449747</v>
      </c>
      <c r="H128" s="4">
        <v>248.9996607508416</v>
      </c>
      <c r="I128" s="4">
        <v>276.28971697738768</v>
      </c>
      <c r="J128" s="4">
        <v>306.69441919127371</v>
      </c>
      <c r="K128" s="4">
        <v>340.68842227058963</v>
      </c>
      <c r="L128" s="4">
        <v>378.57136256195082</v>
      </c>
      <c r="M128" s="4">
        <v>420.56775355411622</v>
      </c>
      <c r="N128" s="4">
        <v>466.898729190974</v>
      </c>
      <c r="O128" s="11">
        <f t="shared" si="1"/>
        <v>8.4674534883122987E-2</v>
      </c>
      <c r="P128"/>
      <c r="Q128" s="11"/>
    </row>
    <row r="129" spans="1:17" x14ac:dyDescent="0.35">
      <c r="A129" s="3" t="s">
        <v>56</v>
      </c>
      <c r="B129" s="4">
        <v>341.56797287378225</v>
      </c>
      <c r="C129" s="4">
        <v>367.91358054756995</v>
      </c>
      <c r="D129" s="4">
        <v>396.45565284511002</v>
      </c>
      <c r="E129" s="4">
        <v>427.32703029840144</v>
      </c>
      <c r="F129" s="4">
        <v>460.87805878601068</v>
      </c>
      <c r="G129" s="4">
        <v>497.64770704559544</v>
      </c>
      <c r="H129" s="4">
        <v>538.36301391965026</v>
      </c>
      <c r="I129" s="4">
        <v>583.42929503559776</v>
      </c>
      <c r="J129" s="4">
        <v>632.85763290783166</v>
      </c>
      <c r="K129" s="4">
        <v>686.57259371945383</v>
      </c>
      <c r="L129" s="4">
        <v>744.60331832788859</v>
      </c>
      <c r="M129" s="4">
        <v>807.06877893331193</v>
      </c>
      <c r="N129" s="4">
        <v>874.00906352753168</v>
      </c>
      <c r="O129" s="11">
        <f t="shared" si="1"/>
        <v>6.4577059164063561E-2</v>
      </c>
      <c r="P129"/>
      <c r="Q129" s="11"/>
    </row>
    <row r="130" spans="1:17" x14ac:dyDescent="0.35">
      <c r="A130" s="3" t="s">
        <v>57</v>
      </c>
      <c r="B130" s="4">
        <v>865.46645541383361</v>
      </c>
      <c r="C130" s="4">
        <v>923.24153056280215</v>
      </c>
      <c r="D130" s="4">
        <v>985.67867997915232</v>
      </c>
      <c r="E130" s="4">
        <v>1052.9811697053856</v>
      </c>
      <c r="F130" s="4">
        <v>1125.746584916928</v>
      </c>
      <c r="G130" s="4">
        <v>1204.8044902644917</v>
      </c>
      <c r="H130" s="4">
        <v>1291.6863608357075</v>
      </c>
      <c r="I130" s="4">
        <v>1387.3177308580359</v>
      </c>
      <c r="J130" s="4">
        <v>1491.6559630530023</v>
      </c>
      <c r="K130" s="4">
        <v>1604.5875723996085</v>
      </c>
      <c r="L130" s="4">
        <v>1725.2916074126251</v>
      </c>
      <c r="M130" s="4">
        <v>1853.1751216237608</v>
      </c>
      <c r="N130" s="4">
        <v>1988.4997522844121</v>
      </c>
      <c r="O130" s="11">
        <f t="shared" si="1"/>
        <v>5.7252628998903723E-2</v>
      </c>
      <c r="P130"/>
      <c r="Q130" s="11"/>
    </row>
    <row r="131" spans="1:17" x14ac:dyDescent="0.35">
      <c r="A131" s="2" t="s">
        <v>30</v>
      </c>
      <c r="O131" s="11" t="str">
        <f t="shared" si="1"/>
        <v/>
      </c>
      <c r="P131"/>
      <c r="Q131" s="11"/>
    </row>
    <row r="132" spans="1:17" x14ac:dyDescent="0.35">
      <c r="A132" s="3" t="s">
        <v>19</v>
      </c>
      <c r="B132" s="4">
        <v>313.76499662197972</v>
      </c>
      <c r="C132" s="4">
        <v>341.56321527912047</v>
      </c>
      <c r="D132" s="4">
        <v>372.46262278531856</v>
      </c>
      <c r="E132" s="4">
        <v>406.23348117895404</v>
      </c>
      <c r="F132" s="4">
        <v>442.85467303097994</v>
      </c>
      <c r="G132" s="4">
        <v>482.11519645352575</v>
      </c>
      <c r="H132" s="4">
        <v>525.22156035283024</v>
      </c>
      <c r="I132" s="4">
        <v>573.1305205010085</v>
      </c>
      <c r="J132" s="4">
        <v>626.90959623473088</v>
      </c>
      <c r="K132" s="4">
        <v>686.98775122749703</v>
      </c>
      <c r="L132" s="4">
        <v>752.93409651288664</v>
      </c>
      <c r="M132" s="4">
        <v>824.45359504111389</v>
      </c>
      <c r="N132" s="4">
        <v>901.86613016522529</v>
      </c>
      <c r="O132" s="11">
        <f t="shared" si="1"/>
        <v>7.2065328297493569E-2</v>
      </c>
      <c r="P132"/>
      <c r="Q132" s="11"/>
    </row>
    <row r="133" spans="1:17" x14ac:dyDescent="0.35">
      <c r="A133" s="3" t="s">
        <v>20</v>
      </c>
      <c r="B133" s="4">
        <v>134.32587532300803</v>
      </c>
      <c r="C133" s="4">
        <v>141.84717642849412</v>
      </c>
      <c r="D133" s="4">
        <v>149.94183351335892</v>
      </c>
      <c r="E133" s="4">
        <v>158.74696974762583</v>
      </c>
      <c r="F133" s="4">
        <v>168.33561310693065</v>
      </c>
      <c r="G133" s="4">
        <v>178.78639141644965</v>
      </c>
      <c r="H133" s="4">
        <v>190.15434041189488</v>
      </c>
      <c r="I133" s="4">
        <v>202.36707064712471</v>
      </c>
      <c r="J133" s="4">
        <v>215.36053034343792</v>
      </c>
      <c r="K133" s="4">
        <v>229.15769285036288</v>
      </c>
      <c r="L133" s="4">
        <v>243.73885068857027</v>
      </c>
      <c r="M133" s="4">
        <v>259.17030055048167</v>
      </c>
      <c r="N133" s="4">
        <v>275.36958416199747</v>
      </c>
      <c r="O133" s="11">
        <f t="shared" si="1"/>
        <v>4.9161607851404873E-2</v>
      </c>
      <c r="P133"/>
      <c r="Q133" s="11"/>
    </row>
    <row r="134" spans="1:17" x14ac:dyDescent="0.35">
      <c r="A134" s="3" t="s">
        <v>27</v>
      </c>
      <c r="B134" s="4">
        <v>204.38769218296309</v>
      </c>
      <c r="C134" s="4">
        <v>219.69767945867267</v>
      </c>
      <c r="D134" s="4">
        <v>235.65455569376419</v>
      </c>
      <c r="E134" s="4">
        <v>252.59131904087417</v>
      </c>
      <c r="F134" s="4">
        <v>271.13551410059995</v>
      </c>
      <c r="G134" s="4">
        <v>291.94829054365448</v>
      </c>
      <c r="H134" s="4">
        <v>315.51035376418019</v>
      </c>
      <c r="I134" s="4">
        <v>341.68702448042438</v>
      </c>
      <c r="J134" s="4">
        <v>369.92941261717885</v>
      </c>
      <c r="K134" s="4">
        <v>400.21545499798924</v>
      </c>
      <c r="L134" s="4">
        <v>432.79400086575777</v>
      </c>
      <c r="M134" s="4">
        <v>468.0420726751172</v>
      </c>
      <c r="N134" s="4">
        <v>505.90551209487529</v>
      </c>
      <c r="O134" s="11">
        <f t="shared" si="1"/>
        <v>6.2990234998956798E-2</v>
      </c>
      <c r="P134"/>
      <c r="Q134" s="11"/>
    </row>
    <row r="135" spans="1:17" x14ac:dyDescent="0.35">
      <c r="A135" s="3" t="s">
        <v>21</v>
      </c>
      <c r="B135" s="4">
        <v>110.17622464908015</v>
      </c>
      <c r="C135" s="4">
        <v>117.29311441393926</v>
      </c>
      <c r="D135" s="4">
        <v>125.03006271639251</v>
      </c>
      <c r="E135" s="4">
        <v>133.22409035702742</v>
      </c>
      <c r="F135" s="4">
        <v>141.75630577425738</v>
      </c>
      <c r="G135" s="4">
        <v>150.82839743337482</v>
      </c>
      <c r="H135" s="4">
        <v>160.60765051592918</v>
      </c>
      <c r="I135" s="4">
        <v>171.50900670941667</v>
      </c>
      <c r="J135" s="4">
        <v>183.67450411615027</v>
      </c>
      <c r="K135" s="4">
        <v>196.83341794978725</v>
      </c>
      <c r="L135" s="4">
        <v>211.04014173060409</v>
      </c>
      <c r="M135" s="4">
        <v>226.04855331430088</v>
      </c>
      <c r="N135" s="4">
        <v>241.8065270870884</v>
      </c>
      <c r="O135" s="11">
        <f t="shared" si="1"/>
        <v>5.3843449384006183E-2</v>
      </c>
      <c r="P135"/>
      <c r="Q135" s="11"/>
    </row>
    <row r="136" spans="1:17" x14ac:dyDescent="0.35">
      <c r="A136" s="3" t="s">
        <v>37</v>
      </c>
      <c r="B136" s="4">
        <v>88.425564691055172</v>
      </c>
      <c r="C136" s="4">
        <v>92.907135896285183</v>
      </c>
      <c r="D136" s="4">
        <v>97.685160784004609</v>
      </c>
      <c r="E136" s="4">
        <v>102.88103845892019</v>
      </c>
      <c r="F136" s="4">
        <v>108.45420564023998</v>
      </c>
      <c r="G136" s="4">
        <v>114.44151317226959</v>
      </c>
      <c r="H136" s="4">
        <v>120.83481447028024</v>
      </c>
      <c r="I136" s="4">
        <v>127.67222091260936</v>
      </c>
      <c r="J136" s="4">
        <v>134.96318791562499</v>
      </c>
      <c r="K136" s="4">
        <v>142.81359382276298</v>
      </c>
      <c r="L136" s="4">
        <v>151.25021632872654</v>
      </c>
      <c r="M136" s="4">
        <v>160.12235020602253</v>
      </c>
      <c r="N136" s="4">
        <v>169.35403400888291</v>
      </c>
      <c r="O136" s="11">
        <f t="shared" si="1"/>
        <v>4.4509608387007273E-2</v>
      </c>
      <c r="P136"/>
      <c r="Q136" s="11"/>
    </row>
    <row r="137" spans="1:17" x14ac:dyDescent="0.35">
      <c r="A137" s="3" t="s">
        <v>38</v>
      </c>
      <c r="B137" s="4">
        <v>215.06037849499381</v>
      </c>
      <c r="C137" s="4">
        <v>229.42060635823435</v>
      </c>
      <c r="D137" s="4">
        <v>245.04947719201451</v>
      </c>
      <c r="E137" s="4">
        <v>261.9702327803825</v>
      </c>
      <c r="F137" s="4">
        <v>280.36547050362282</v>
      </c>
      <c r="G137" s="4">
        <v>300.46408009777008</v>
      </c>
      <c r="H137" s="4">
        <v>322.64716895561173</v>
      </c>
      <c r="I137" s="4">
        <v>347.15595075615613</v>
      </c>
      <c r="J137" s="4">
        <v>373.90746772023346</v>
      </c>
      <c r="K137" s="4">
        <v>402.81981662191356</v>
      </c>
      <c r="L137" s="4">
        <v>433.55080606425645</v>
      </c>
      <c r="M137" s="4">
        <v>465.95929769784595</v>
      </c>
      <c r="N137" s="4">
        <v>500.24249199028952</v>
      </c>
      <c r="O137" s="11">
        <f t="shared" si="1"/>
        <v>5.8275321645853972E-2</v>
      </c>
      <c r="P137"/>
      <c r="Q137" s="11"/>
    </row>
    <row r="138" spans="1:17" x14ac:dyDescent="0.35">
      <c r="A138" s="3" t="s">
        <v>101</v>
      </c>
      <c r="O138" s="11" t="str">
        <f t="shared" si="1"/>
        <v/>
      </c>
      <c r="P138"/>
      <c r="Q138" s="11"/>
    </row>
    <row r="139" spans="1:17" x14ac:dyDescent="0.35">
      <c r="A139" s="34" t="s">
        <v>101</v>
      </c>
      <c r="B139" s="4">
        <v>277.54639155712908</v>
      </c>
      <c r="C139" s="4">
        <v>299.24577430493389</v>
      </c>
      <c r="D139" s="4">
        <v>322.7272145722103</v>
      </c>
      <c r="E139" s="4">
        <v>348.39121447773368</v>
      </c>
      <c r="F139" s="4">
        <v>376.77157824336911</v>
      </c>
      <c r="G139" s="4">
        <v>408.5293312275403</v>
      </c>
      <c r="H139" s="4">
        <v>444.07314703547297</v>
      </c>
      <c r="I139" s="4">
        <v>483.51494886428151</v>
      </c>
      <c r="J139" s="4">
        <v>526.4633162047511</v>
      </c>
      <c r="K139" s="4">
        <v>573.02086091933904</v>
      </c>
      <c r="L139" s="4">
        <v>623.15817611166278</v>
      </c>
      <c r="M139" s="4">
        <v>677.01548462630706</v>
      </c>
      <c r="N139" s="4">
        <v>734.86326549455862</v>
      </c>
      <c r="O139" s="11">
        <f t="shared" si="1"/>
        <v>6.7410516351201932E-2</v>
      </c>
      <c r="P139"/>
      <c r="Q139" s="11"/>
    </row>
    <row r="140" spans="1:17" x14ac:dyDescent="0.35">
      <c r="A140" s="43" t="s">
        <v>101</v>
      </c>
      <c r="B140" s="4">
        <v>277.54639155712908</v>
      </c>
      <c r="C140" s="4">
        <v>299.24577430493389</v>
      </c>
      <c r="D140" s="4">
        <v>322.7272145722103</v>
      </c>
      <c r="E140" s="4">
        <v>348.39121447773368</v>
      </c>
      <c r="F140" s="4">
        <v>376.77157824336911</v>
      </c>
      <c r="G140" s="4">
        <v>408.5293312275403</v>
      </c>
      <c r="H140" s="4">
        <v>444.07314703547297</v>
      </c>
      <c r="I140" s="4">
        <v>483.51494886428151</v>
      </c>
      <c r="J140" s="4">
        <v>526.4633162047511</v>
      </c>
      <c r="K140" s="4">
        <v>573.02086091933904</v>
      </c>
      <c r="L140" s="4">
        <v>623.15817611166278</v>
      </c>
      <c r="M140" s="4">
        <v>677.01548462630706</v>
      </c>
      <c r="N140" s="4">
        <v>734.86326549455862</v>
      </c>
      <c r="O140" s="11">
        <f t="shared" si="1"/>
        <v>6.7410516351201932E-2</v>
      </c>
      <c r="P140"/>
      <c r="Q140" s="11"/>
    </row>
    <row r="141" spans="1:17" x14ac:dyDescent="0.35">
      <c r="A141" s="2" t="s">
        <v>47</v>
      </c>
      <c r="O141" s="11" t="str">
        <f t="shared" si="1"/>
        <v/>
      </c>
      <c r="P141"/>
      <c r="Q141" s="11"/>
    </row>
    <row r="142" spans="1:17" x14ac:dyDescent="0.35">
      <c r="A142" s="3" t="s">
        <v>82</v>
      </c>
      <c r="B142" s="4">
        <v>478.22066810637557</v>
      </c>
      <c r="C142" s="4">
        <v>518.73317157687779</v>
      </c>
      <c r="D142" s="4">
        <v>562.87224727791124</v>
      </c>
      <c r="E142" s="4">
        <v>611.05717633613222</v>
      </c>
      <c r="F142" s="4">
        <v>663.92677548307165</v>
      </c>
      <c r="G142" s="4">
        <v>722.30871008009285</v>
      </c>
      <c r="H142" s="4">
        <v>787.36267467049186</v>
      </c>
      <c r="I142" s="4">
        <v>859.71901201298544</v>
      </c>
      <c r="J142" s="4">
        <v>939.55205209910537</v>
      </c>
      <c r="K142" s="4">
        <v>1027.2610159900435</v>
      </c>
      <c r="L142" s="4">
        <v>1123.1746808898395</v>
      </c>
      <c r="M142" s="4">
        <v>1227.6365324874282</v>
      </c>
      <c r="N142" s="4">
        <v>1340.9077927185058</v>
      </c>
      <c r="O142" s="11">
        <f t="shared" si="1"/>
        <v>7.1156421908797035E-2</v>
      </c>
      <c r="P142"/>
      <c r="Q142" s="11"/>
    </row>
    <row r="143" spans="1:17" x14ac:dyDescent="0.35">
      <c r="A143" s="3" t="s">
        <v>83</v>
      </c>
      <c r="B143" s="4">
        <v>865.46645541383361</v>
      </c>
      <c r="C143" s="4">
        <v>923.24153056280215</v>
      </c>
      <c r="D143" s="4">
        <v>985.67867997915232</v>
      </c>
      <c r="E143" s="4">
        <v>1052.9811697053856</v>
      </c>
      <c r="F143" s="4">
        <v>1125.746584916928</v>
      </c>
      <c r="G143" s="4">
        <v>1204.8044902644917</v>
      </c>
      <c r="H143" s="4">
        <v>1291.6863608357075</v>
      </c>
      <c r="I143" s="4">
        <v>1387.3177308580359</v>
      </c>
      <c r="J143" s="4">
        <v>1491.6559630530023</v>
      </c>
      <c r="K143" s="4">
        <v>1604.5875723996085</v>
      </c>
      <c r="L143" s="4">
        <v>1725.2916074126251</v>
      </c>
      <c r="M143" s="4">
        <v>1853.1751216237608</v>
      </c>
      <c r="N143" s="4">
        <v>1988.4997522844121</v>
      </c>
      <c r="O143" s="11">
        <f t="shared" si="1"/>
        <v>5.7252628998903723E-2</v>
      </c>
      <c r="P143"/>
      <c r="Q143" s="11"/>
    </row>
    <row r="144" spans="1:17" x14ac:dyDescent="0.35">
      <c r="A144" s="2" t="s">
        <v>59</v>
      </c>
      <c r="O144" s="11" t="str">
        <f t="shared" si="1"/>
        <v/>
      </c>
      <c r="P144"/>
      <c r="Q144" s="11"/>
    </row>
    <row r="145" spans="1:17" x14ac:dyDescent="0.35">
      <c r="A145" s="3" t="s">
        <v>60</v>
      </c>
      <c r="O145" s="11" t="str">
        <f t="shared" si="1"/>
        <v/>
      </c>
      <c r="P145"/>
      <c r="Q145" s="11"/>
    </row>
    <row r="146" spans="1:17" x14ac:dyDescent="0.35">
      <c r="A146" s="34" t="s">
        <v>61</v>
      </c>
      <c r="B146" s="4">
        <v>272.86568546323986</v>
      </c>
      <c r="C146" s="4">
        <v>293.97959133598408</v>
      </c>
      <c r="D146" s="4">
        <v>316.32328465102194</v>
      </c>
      <c r="E146" s="4">
        <v>340.11953578388727</v>
      </c>
      <c r="F146" s="4">
        <v>366.53291087154776</v>
      </c>
      <c r="G146" s="4">
        <v>395.7166166935209</v>
      </c>
      <c r="H146" s="4">
        <v>428.74651822814894</v>
      </c>
      <c r="I146" s="4">
        <v>465.3916442062893</v>
      </c>
      <c r="J146" s="4">
        <v>505.25337967116639</v>
      </c>
      <c r="K146" s="4">
        <v>548.03819735300863</v>
      </c>
      <c r="L146" s="4">
        <v>593.49245558336804</v>
      </c>
      <c r="M146" s="4">
        <v>642.1776741006986</v>
      </c>
      <c r="N146" s="4">
        <v>693.85523825270593</v>
      </c>
      <c r="O146" s="11">
        <f t="shared" si="1"/>
        <v>6.438387642276229E-2</v>
      </c>
      <c r="P146"/>
      <c r="Q146" s="11"/>
    </row>
    <row r="147" spans="1:17" x14ac:dyDescent="0.35">
      <c r="A147" s="43" t="s">
        <v>62</v>
      </c>
      <c r="B147" s="4">
        <v>53.061152204793558</v>
      </c>
      <c r="C147" s="4">
        <v>58.658948310595079</v>
      </c>
      <c r="D147" s="4">
        <v>64.896856417715796</v>
      </c>
      <c r="E147" s="4">
        <v>71.784994982567483</v>
      </c>
      <c r="F147" s="4">
        <v>79.362452535032915</v>
      </c>
      <c r="G147" s="4">
        <v>87.746871329507883</v>
      </c>
      <c r="H147" s="4">
        <v>97.133466619422023</v>
      </c>
      <c r="I147" s="4">
        <v>107.75145186325298</v>
      </c>
      <c r="J147" s="4">
        <v>119.7629267605404</v>
      </c>
      <c r="K147" s="4">
        <v>133.22090853834641</v>
      </c>
      <c r="L147" s="4">
        <v>148.2225358455745</v>
      </c>
      <c r="M147" s="4">
        <v>164.7961080660946</v>
      </c>
      <c r="N147" s="4">
        <v>183.04595517185908</v>
      </c>
      <c r="O147" s="11">
        <f t="shared" si="1"/>
        <v>8.5127935334518054E-2</v>
      </c>
      <c r="P147"/>
      <c r="Q147" s="11"/>
    </row>
    <row r="148" spans="1:17" x14ac:dyDescent="0.35">
      <c r="A148" s="43" t="s">
        <v>63</v>
      </c>
      <c r="B148" s="4">
        <v>88.871138502863815</v>
      </c>
      <c r="C148" s="4">
        <v>96.0300433572651</v>
      </c>
      <c r="D148" s="4">
        <v>103.77834431691267</v>
      </c>
      <c r="E148" s="4">
        <v>112.1002540930924</v>
      </c>
      <c r="F148" s="4">
        <v>121.05485367140813</v>
      </c>
      <c r="G148" s="4">
        <v>130.74111941950545</v>
      </c>
      <c r="H148" s="4">
        <v>141.43211831257574</v>
      </c>
      <c r="I148" s="4">
        <v>153.30400709355021</v>
      </c>
      <c r="J148" s="4">
        <v>166.44959826105671</v>
      </c>
      <c r="K148" s="4">
        <v>180.89259278918547</v>
      </c>
      <c r="L148" s="4">
        <v>196.63469771593444</v>
      </c>
      <c r="M148" s="4">
        <v>213.65089946898919</v>
      </c>
      <c r="N148" s="4">
        <v>231.95322508910482</v>
      </c>
      <c r="O148" s="11">
        <f t="shared" si="1"/>
        <v>6.5774579444785486E-2</v>
      </c>
      <c r="P148"/>
      <c r="Q148" s="11"/>
    </row>
    <row r="149" spans="1:17" x14ac:dyDescent="0.35">
      <c r="A149" s="43" t="s">
        <v>64</v>
      </c>
      <c r="B149" s="4">
        <v>130.93339475558247</v>
      </c>
      <c r="C149" s="4">
        <v>139.29059966812389</v>
      </c>
      <c r="D149" s="4">
        <v>147.64808391639352</v>
      </c>
      <c r="E149" s="4">
        <v>156.23428670822742</v>
      </c>
      <c r="F149" s="4">
        <v>166.1156046651067</v>
      </c>
      <c r="G149" s="4">
        <v>177.22862594450754</v>
      </c>
      <c r="H149" s="4">
        <v>190.18093329615121</v>
      </c>
      <c r="I149" s="4">
        <v>204.33618524948611</v>
      </c>
      <c r="J149" s="4">
        <v>219.04085464956927</v>
      </c>
      <c r="K149" s="4">
        <v>233.92469602547681</v>
      </c>
      <c r="L149" s="4">
        <v>248.63522202185911</v>
      </c>
      <c r="M149" s="4">
        <v>263.7306665656148</v>
      </c>
      <c r="N149" s="4">
        <v>278.85605799174209</v>
      </c>
      <c r="O149" s="11">
        <f t="shared" si="1"/>
        <v>5.16513931304508E-2</v>
      </c>
      <c r="P149"/>
      <c r="Q149" s="11"/>
    </row>
    <row r="150" spans="1:17" x14ac:dyDescent="0.35">
      <c r="A150" s="34" t="s">
        <v>65</v>
      </c>
      <c r="B150" s="4">
        <v>246.06121966230646</v>
      </c>
      <c r="C150" s="4">
        <v>263.18174219956899</v>
      </c>
      <c r="D150" s="4">
        <v>281.92557780646086</v>
      </c>
      <c r="E150" s="4">
        <v>302.2387048729023</v>
      </c>
      <c r="F150" s="4">
        <v>324.17319227406585</v>
      </c>
      <c r="G150" s="4">
        <v>348.08935501098728</v>
      </c>
      <c r="H150" s="4">
        <v>374.33691886507262</v>
      </c>
      <c r="I150" s="4">
        <v>403.43413294941467</v>
      </c>
      <c r="J150" s="4">
        <v>435.43978565738689</v>
      </c>
      <c r="K150" s="4">
        <v>470.0728209561704</v>
      </c>
      <c r="L150" s="4">
        <v>507.11573451198365</v>
      </c>
      <c r="M150" s="4">
        <v>546.27734485124529</v>
      </c>
      <c r="N150" s="4">
        <v>587.71649632476988</v>
      </c>
      <c r="O150" s="11">
        <f t="shared" ref="O150:O213" si="2">IFERROR(RATE(2035-2026,,-G150,N150),"")</f>
        <v>5.9925248531587115E-2</v>
      </c>
      <c r="P150"/>
      <c r="Q150" s="11"/>
    </row>
    <row r="151" spans="1:17" x14ac:dyDescent="0.35">
      <c r="A151" s="34" t="s">
        <v>66</v>
      </c>
      <c r="B151" s="4">
        <v>152.45383731601726</v>
      </c>
      <c r="C151" s="4">
        <v>162.53566815353147</v>
      </c>
      <c r="D151" s="4">
        <v>173.33779834720875</v>
      </c>
      <c r="E151" s="4">
        <v>184.83770828569789</v>
      </c>
      <c r="F151" s="4">
        <v>197.05315764823951</v>
      </c>
      <c r="G151" s="4">
        <v>210.18977834909134</v>
      </c>
      <c r="H151" s="4">
        <v>224.56300253585707</v>
      </c>
      <c r="I151" s="4">
        <v>240.35716479067264</v>
      </c>
      <c r="J151" s="4">
        <v>257.56547702435387</v>
      </c>
      <c r="K151" s="4">
        <v>276.21143277826019</v>
      </c>
      <c r="L151" s="4">
        <v>296.15541537375776</v>
      </c>
      <c r="M151" s="4">
        <v>317.29944417313669</v>
      </c>
      <c r="N151" s="4">
        <v>339.72310323030217</v>
      </c>
      <c r="O151" s="11">
        <f t="shared" si="2"/>
        <v>5.4795250483370334E-2</v>
      </c>
      <c r="P151"/>
      <c r="Q151" s="11"/>
    </row>
    <row r="152" spans="1:17" x14ac:dyDescent="0.35">
      <c r="A152" s="34" t="s">
        <v>67</v>
      </c>
      <c r="B152" s="4">
        <v>99.630162093376796</v>
      </c>
      <c r="C152" s="4">
        <v>105.40717009530763</v>
      </c>
      <c r="D152" s="4">
        <v>111.64121458454228</v>
      </c>
      <c r="E152" s="4">
        <v>118.32281284362779</v>
      </c>
      <c r="F152" s="4">
        <v>125.36916642501043</v>
      </c>
      <c r="G152" s="4">
        <v>132.80274023324407</v>
      </c>
      <c r="H152" s="4">
        <v>140.74202576139768</v>
      </c>
      <c r="I152" s="4">
        <v>149.3664643071063</v>
      </c>
      <c r="J152" s="4">
        <v>158.79261001253204</v>
      </c>
      <c r="K152" s="4">
        <v>169.05078359883535</v>
      </c>
      <c r="L152" s="4">
        <v>180.14181792556585</v>
      </c>
      <c r="M152" s="4">
        <v>191.86110137269733</v>
      </c>
      <c r="N152" s="4">
        <v>204.13227645227187</v>
      </c>
      <c r="O152" s="11">
        <f t="shared" si="2"/>
        <v>4.8926265100876228E-2</v>
      </c>
      <c r="P152"/>
      <c r="Q152" s="11"/>
    </row>
    <row r="153" spans="1:17" x14ac:dyDescent="0.35">
      <c r="A153" s="34" t="s">
        <v>68</v>
      </c>
      <c r="B153" s="4">
        <v>163.69317780720706</v>
      </c>
      <c r="C153" s="4">
        <v>177.37403140406232</v>
      </c>
      <c r="D153" s="4">
        <v>192.38471341216973</v>
      </c>
      <c r="E153" s="4">
        <v>209.03790627390086</v>
      </c>
      <c r="F153" s="4">
        <v>227.42873231437136</v>
      </c>
      <c r="G153" s="4">
        <v>247.79374098131225</v>
      </c>
      <c r="H153" s="4">
        <v>270.25727474995062</v>
      </c>
      <c r="I153" s="4">
        <v>294.9811032579068</v>
      </c>
      <c r="J153" s="4">
        <v>322.01796119459021</v>
      </c>
      <c r="K153" s="4">
        <v>351.74191806512295</v>
      </c>
      <c r="L153" s="4">
        <v>384.22888750125992</v>
      </c>
      <c r="M153" s="4">
        <v>419.36485650170562</v>
      </c>
      <c r="N153" s="4">
        <v>457.27791312732847</v>
      </c>
      <c r="O153" s="11">
        <f t="shared" si="2"/>
        <v>7.0447922525418705E-2</v>
      </c>
      <c r="P153"/>
      <c r="Q153" s="11"/>
    </row>
    <row r="154" spans="1:17" x14ac:dyDescent="0.35">
      <c r="A154" s="34" t="s">
        <v>69</v>
      </c>
      <c r="B154" s="4">
        <v>184.57224267756558</v>
      </c>
      <c r="C154" s="4">
        <v>194.21807496046731</v>
      </c>
      <c r="D154" s="4">
        <v>204.70966860617168</v>
      </c>
      <c r="E154" s="4">
        <v>215.91498800203084</v>
      </c>
      <c r="F154" s="4">
        <v>227.55782216290106</v>
      </c>
      <c r="G154" s="4">
        <v>239.85830640395008</v>
      </c>
      <c r="H154" s="4">
        <v>252.96886770322658</v>
      </c>
      <c r="I154" s="4">
        <v>267.1982748432946</v>
      </c>
      <c r="J154" s="4">
        <v>282.61667703124971</v>
      </c>
      <c r="K154" s="4">
        <v>299.18008236000793</v>
      </c>
      <c r="L154" s="4">
        <v>316.61035583854607</v>
      </c>
      <c r="M154" s="4">
        <v>334.6441309287888</v>
      </c>
      <c r="N154" s="4">
        <v>353.43725068983849</v>
      </c>
      <c r="O154" s="11">
        <f t="shared" si="2"/>
        <v>4.4014174921511232E-2</v>
      </c>
      <c r="P154"/>
      <c r="Q154" s="11"/>
    </row>
    <row r="155" spans="1:17" x14ac:dyDescent="0.35">
      <c r="A155" s="3" t="s">
        <v>70</v>
      </c>
      <c r="O155" s="11" t="str">
        <f t="shared" si="2"/>
        <v/>
      </c>
      <c r="P155"/>
      <c r="Q155" s="11"/>
    </row>
    <row r="156" spans="1:17" x14ac:dyDescent="0.35">
      <c r="A156" s="34" t="s">
        <v>71</v>
      </c>
      <c r="B156" s="4">
        <v>33.260915977814719</v>
      </c>
      <c r="C156" s="4">
        <v>36.877100242356079</v>
      </c>
      <c r="D156" s="4">
        <v>40.925031374035413</v>
      </c>
      <c r="E156" s="4">
        <v>45.479934845792393</v>
      </c>
      <c r="F156" s="4">
        <v>50.579272379600539</v>
      </c>
      <c r="G156" s="4">
        <v>56.30656218255443</v>
      </c>
      <c r="H156" s="4">
        <v>62.733012192610438</v>
      </c>
      <c r="I156" s="4">
        <v>69.961347501452465</v>
      </c>
      <c r="J156" s="4">
        <v>78.072470864308912</v>
      </c>
      <c r="K156" s="4">
        <v>87.181550145885652</v>
      </c>
      <c r="L156" s="4">
        <v>97.382194218283757</v>
      </c>
      <c r="M156" s="4">
        <v>108.70020595232495</v>
      </c>
      <c r="N156" s="4">
        <v>121.21667249995681</v>
      </c>
      <c r="O156" s="11">
        <f t="shared" si="2"/>
        <v>8.8931025499217789E-2</v>
      </c>
      <c r="P156"/>
      <c r="Q156" s="11"/>
    </row>
    <row r="157" spans="1:17" x14ac:dyDescent="0.35">
      <c r="A157" s="34" t="s">
        <v>72</v>
      </c>
      <c r="B157" s="4">
        <v>25.689496901681657</v>
      </c>
      <c r="C157" s="4">
        <v>28.812667246370474</v>
      </c>
      <c r="D157" s="4">
        <v>32.322464975919239</v>
      </c>
      <c r="E157" s="4">
        <v>36.299464172305285</v>
      </c>
      <c r="F157" s="4">
        <v>40.808083362221623</v>
      </c>
      <c r="G157" s="4">
        <v>45.913694050391278</v>
      </c>
      <c r="H157" s="4">
        <v>51.71478664927163</v>
      </c>
      <c r="I157" s="4">
        <v>58.284916802580547</v>
      </c>
      <c r="J157" s="4">
        <v>65.707711225312678</v>
      </c>
      <c r="K157" s="4">
        <v>74.150255447984605</v>
      </c>
      <c r="L157" s="4">
        <v>83.728260734039182</v>
      </c>
      <c r="M157" s="4">
        <v>94.525354249153196</v>
      </c>
      <c r="N157" s="4">
        <v>106.63849058470299</v>
      </c>
      <c r="O157" s="11">
        <f t="shared" si="2"/>
        <v>9.8154708823713688E-2</v>
      </c>
      <c r="P157"/>
      <c r="Q157" s="11"/>
    </row>
    <row r="158" spans="1:17" x14ac:dyDescent="0.35">
      <c r="A158" s="34" t="s">
        <v>73</v>
      </c>
      <c r="B158" s="4">
        <v>23.8811377341252</v>
      </c>
      <c r="C158" s="4">
        <v>25.881657991469677</v>
      </c>
      <c r="D158" s="4">
        <v>28.035070143513209</v>
      </c>
      <c r="E158" s="4">
        <v>30.358377722199926</v>
      </c>
      <c r="F158" s="4">
        <v>32.886398602956433</v>
      </c>
      <c r="G158" s="4">
        <v>35.671356781345295</v>
      </c>
      <c r="H158" s="4">
        <v>38.775854801967725</v>
      </c>
      <c r="I158" s="4">
        <v>42.233996444657684</v>
      </c>
      <c r="J158" s="4">
        <v>46.043037027716892</v>
      </c>
      <c r="K158" s="4">
        <v>50.209215793225319</v>
      </c>
      <c r="L158" s="4">
        <v>54.760190308367243</v>
      </c>
      <c r="M158" s="4">
        <v>59.70791263146188</v>
      </c>
      <c r="N158" s="4">
        <v>65.053572347685488</v>
      </c>
      <c r="O158" s="11">
        <f t="shared" si="2"/>
        <v>6.9041620107113497E-2</v>
      </c>
      <c r="P158"/>
      <c r="Q158" s="11"/>
    </row>
    <row r="159" spans="1:17" x14ac:dyDescent="0.35">
      <c r="A159" s="34" t="s">
        <v>74</v>
      </c>
      <c r="B159" s="4">
        <v>27.874109121037147</v>
      </c>
      <c r="C159" s="4">
        <v>30.473238153066042</v>
      </c>
      <c r="D159" s="4">
        <v>33.324616421189354</v>
      </c>
      <c r="E159" s="4">
        <v>36.454402649603693</v>
      </c>
      <c r="F159" s="4">
        <v>39.875293569518597</v>
      </c>
      <c r="G159" s="4">
        <v>43.645862569038052</v>
      </c>
      <c r="H159" s="4">
        <v>47.831551862151777</v>
      </c>
      <c r="I159" s="4">
        <v>52.488206167048595</v>
      </c>
      <c r="J159" s="4">
        <v>57.643894171600529</v>
      </c>
      <c r="K159" s="4">
        <v>63.351437740110285</v>
      </c>
      <c r="L159" s="4">
        <v>69.632614385985278</v>
      </c>
      <c r="M159" s="4">
        <v>76.496744591055005</v>
      </c>
      <c r="N159" s="4">
        <v>83.984863749138782</v>
      </c>
      <c r="O159" s="11">
        <f t="shared" si="2"/>
        <v>7.5435121860815552E-2</v>
      </c>
      <c r="P159"/>
      <c r="Q159" s="11"/>
    </row>
    <row r="160" spans="1:17" x14ac:dyDescent="0.35">
      <c r="A160" s="34" t="s">
        <v>75</v>
      </c>
      <c r="B160" s="4">
        <v>21.240588359419547</v>
      </c>
      <c r="C160" s="4">
        <v>23.412388403585137</v>
      </c>
      <c r="D160" s="4">
        <v>25.816888379728908</v>
      </c>
      <c r="E160" s="4">
        <v>28.465454430996637</v>
      </c>
      <c r="F160" s="4">
        <v>31.368033841107071</v>
      </c>
      <c r="G160" s="4">
        <v>34.574863687001397</v>
      </c>
      <c r="H160" s="4">
        <v>38.153349739987242</v>
      </c>
      <c r="I160" s="4">
        <v>42.177313034821644</v>
      </c>
      <c r="J160" s="4">
        <v>46.693615672590688</v>
      </c>
      <c r="K160" s="4">
        <v>51.738008898347601</v>
      </c>
      <c r="L160" s="4">
        <v>57.343339703811999</v>
      </c>
      <c r="M160" s="4">
        <v>63.518377367130867</v>
      </c>
      <c r="N160" s="4">
        <v>70.304894103409353</v>
      </c>
      <c r="O160" s="11">
        <f t="shared" si="2"/>
        <v>8.2049755707561622E-2</v>
      </c>
      <c r="P160"/>
      <c r="Q160" s="11"/>
    </row>
    <row r="161" spans="1:17" x14ac:dyDescent="0.35">
      <c r="A161" s="3" t="s">
        <v>76</v>
      </c>
      <c r="O161" s="11" t="str">
        <f t="shared" si="2"/>
        <v/>
      </c>
      <c r="P161"/>
      <c r="Q161" s="11"/>
    </row>
    <row r="162" spans="1:17" x14ac:dyDescent="0.35">
      <c r="A162" s="34" t="s">
        <v>77</v>
      </c>
      <c r="B162" s="4">
        <v>26.614282306197428</v>
      </c>
      <c r="C162" s="4">
        <v>28.888048989124623</v>
      </c>
      <c r="D162" s="4">
        <v>31.359130853451934</v>
      </c>
      <c r="E162" s="4">
        <v>34.034230594826759</v>
      </c>
      <c r="F162" s="4">
        <v>36.941431382713176</v>
      </c>
      <c r="G162" s="4">
        <v>40.130663344823006</v>
      </c>
      <c r="H162" s="4">
        <v>43.680313600995277</v>
      </c>
      <c r="I162" s="4">
        <v>47.64037151055075</v>
      </c>
      <c r="J162" s="4">
        <v>52.021083723723791</v>
      </c>
      <c r="K162" s="4">
        <v>56.83306260096515</v>
      </c>
      <c r="L162" s="4">
        <v>62.076046375185449</v>
      </c>
      <c r="M162" s="4">
        <v>67.754661662810165</v>
      </c>
      <c r="N162" s="4">
        <v>73.892794571161318</v>
      </c>
      <c r="O162" s="11">
        <f t="shared" si="2"/>
        <v>7.0183909626490751E-2</v>
      </c>
      <c r="P162"/>
      <c r="Q162" s="11"/>
    </row>
    <row r="163" spans="1:17" x14ac:dyDescent="0.35">
      <c r="A163" s="34" t="s">
        <v>78</v>
      </c>
      <c r="B163" s="4">
        <v>25.57505219675383</v>
      </c>
      <c r="C163" s="4">
        <v>27.363058727478155</v>
      </c>
      <c r="D163" s="4">
        <v>29.270925961290224</v>
      </c>
      <c r="E163" s="4">
        <v>31.336799432244682</v>
      </c>
      <c r="F163" s="4">
        <v>33.582246228696285</v>
      </c>
      <c r="G163" s="4">
        <v>36.03337784689198</v>
      </c>
      <c r="H163" s="4">
        <v>38.723116857131217</v>
      </c>
      <c r="I163" s="4">
        <v>41.652047226531216</v>
      </c>
      <c r="J163" s="4">
        <v>44.81077708552079</v>
      </c>
      <c r="K163" s="4">
        <v>48.245555304619415</v>
      </c>
      <c r="L163" s="4">
        <v>51.967676532052799</v>
      </c>
      <c r="M163" s="4">
        <v>55.967618586539245</v>
      </c>
      <c r="N163" s="4">
        <v>60.235851995772009</v>
      </c>
      <c r="O163" s="11">
        <f t="shared" si="2"/>
        <v>5.8752511476527776E-2</v>
      </c>
      <c r="P163"/>
      <c r="Q163" s="11"/>
    </row>
    <row r="164" spans="1:17" x14ac:dyDescent="0.35">
      <c r="A164" s="34" t="s">
        <v>79</v>
      </c>
      <c r="B164" s="4">
        <v>14.943490162260133</v>
      </c>
      <c r="C164" s="4">
        <v>16.514602715682422</v>
      </c>
      <c r="D164" s="4">
        <v>18.248519158725422</v>
      </c>
      <c r="E164" s="4">
        <v>20.179891194328341</v>
      </c>
      <c r="F164" s="4">
        <v>22.346543491335613</v>
      </c>
      <c r="G164" s="4">
        <v>24.791706974130232</v>
      </c>
      <c r="H164" s="4">
        <v>27.560002281643555</v>
      </c>
      <c r="I164" s="4">
        <v>30.674736273249923</v>
      </c>
      <c r="J164" s="4">
        <v>34.143272684058644</v>
      </c>
      <c r="K164" s="4">
        <v>38.010316555482262</v>
      </c>
      <c r="L164" s="4">
        <v>42.309542031966203</v>
      </c>
      <c r="M164" s="4">
        <v>47.074402906472336</v>
      </c>
      <c r="N164" s="4">
        <v>52.336492859069949</v>
      </c>
      <c r="O164" s="11">
        <f t="shared" si="2"/>
        <v>8.6564105461749502E-2</v>
      </c>
      <c r="P164"/>
      <c r="Q164" s="11"/>
    </row>
    <row r="165" spans="1:17" x14ac:dyDescent="0.35">
      <c r="A165" s="34" t="s">
        <v>80</v>
      </c>
      <c r="B165" s="4">
        <v>11.678237039024426</v>
      </c>
      <c r="C165" s="4">
        <v>12.376494859899312</v>
      </c>
      <c r="D165" s="4">
        <v>13.136059523678275</v>
      </c>
      <c r="E165" s="4">
        <v>13.957171732626454</v>
      </c>
      <c r="F165" s="4">
        <v>14.843444033179892</v>
      </c>
      <c r="G165" s="4">
        <v>15.798338374829941</v>
      </c>
      <c r="H165" s="4">
        <v>16.838712653332266</v>
      </c>
      <c r="I165" s="4">
        <v>17.972504005041205</v>
      </c>
      <c r="J165" s="4">
        <v>19.201935914521705</v>
      </c>
      <c r="K165" s="4">
        <v>20.523764090767838</v>
      </c>
      <c r="L165" s="4">
        <v>21.922478780170668</v>
      </c>
      <c r="M165" s="4">
        <v>23.393282917403468</v>
      </c>
      <c r="N165" s="4">
        <v>24.937412540017839</v>
      </c>
      <c r="O165" s="11">
        <f t="shared" si="2"/>
        <v>5.2026462841637748E-2</v>
      </c>
      <c r="P165"/>
      <c r="Q165" s="11"/>
    </row>
    <row r="166" spans="1:17" x14ac:dyDescent="0.35">
      <c r="A166" s="34" t="s">
        <v>81</v>
      </c>
      <c r="B166" s="4">
        <v>13.653488702181942</v>
      </c>
      <c r="C166" s="4">
        <v>14.679166661726253</v>
      </c>
      <c r="D166" s="4">
        <v>15.789963057956287</v>
      </c>
      <c r="E166" s="4">
        <v>17.00096320454675</v>
      </c>
      <c r="F166" s="4">
        <v>18.327631812534563</v>
      </c>
      <c r="G166" s="4">
        <v>19.79623686147319</v>
      </c>
      <c r="H166" s="4">
        <v>21.423727023454752</v>
      </c>
      <c r="I166" s="4">
        <v>23.222519550402897</v>
      </c>
      <c r="J166" s="4">
        <v>25.184326191473748</v>
      </c>
      <c r="K166" s="4">
        <v>27.310186700858182</v>
      </c>
      <c r="L166" s="4">
        <v>29.599278498120484</v>
      </c>
      <c r="M166" s="4">
        <v>32.048541318565775</v>
      </c>
      <c r="N166" s="4">
        <v>34.664221674786106</v>
      </c>
      <c r="O166" s="11">
        <f t="shared" si="2"/>
        <v>6.4224373843644905E-2</v>
      </c>
      <c r="P166"/>
      <c r="Q166" s="11"/>
    </row>
    <row r="167" spans="1:17" x14ac:dyDescent="0.35">
      <c r="A167" s="2" t="s">
        <v>84</v>
      </c>
      <c r="O167" s="11" t="str">
        <f t="shared" si="2"/>
        <v/>
      </c>
      <c r="P167"/>
      <c r="Q167" s="11"/>
    </row>
    <row r="168" spans="1:17" x14ac:dyDescent="0.35">
      <c r="A168" s="3" t="s">
        <v>85</v>
      </c>
      <c r="B168" s="4">
        <v>93.14148970557649</v>
      </c>
      <c r="C168" s="4">
        <v>98.390080773061896</v>
      </c>
      <c r="D168" s="4">
        <v>104.12323528272746</v>
      </c>
      <c r="E168" s="4">
        <v>110.20123797750124</v>
      </c>
      <c r="F168" s="4">
        <v>116.54536763133851</v>
      </c>
      <c r="G168" s="4">
        <v>123.12758529555853</v>
      </c>
      <c r="H168" s="4">
        <v>130.17714858623438</v>
      </c>
      <c r="I168" s="4">
        <v>137.92770369511271</v>
      </c>
      <c r="J168" s="4">
        <v>146.53197397450631</v>
      </c>
      <c r="K168" s="4">
        <v>155.9283400080439</v>
      </c>
      <c r="L168" s="4">
        <v>165.95057018841126</v>
      </c>
      <c r="M168" s="4">
        <v>176.40241415344181</v>
      </c>
      <c r="N168" s="4">
        <v>187.29417328074572</v>
      </c>
      <c r="O168" s="11">
        <f t="shared" si="2"/>
        <v>4.7709759366296248E-2</v>
      </c>
      <c r="P168"/>
      <c r="Q168" s="11"/>
    </row>
    <row r="169" spans="1:17" x14ac:dyDescent="0.35">
      <c r="A169" s="3" t="s">
        <v>86</v>
      </c>
      <c r="B169" s="4">
        <v>244.50949040588239</v>
      </c>
      <c r="C169" s="4">
        <v>259.56225483694436</v>
      </c>
      <c r="D169" s="4">
        <v>275.75286715787479</v>
      </c>
      <c r="E169" s="4">
        <v>292.81929965503929</v>
      </c>
      <c r="F169" s="4">
        <v>310.71354005525035</v>
      </c>
      <c r="G169" s="4">
        <v>329.42387895265978</v>
      </c>
      <c r="H169" s="4">
        <v>349.68406428150547</v>
      </c>
      <c r="I169" s="4">
        <v>371.95569307897932</v>
      </c>
      <c r="J169" s="4">
        <v>396.54067874192566</v>
      </c>
      <c r="K169" s="4">
        <v>423.42254224262342</v>
      </c>
      <c r="L169" s="4">
        <v>452.26144901292389</v>
      </c>
      <c r="M169" s="4">
        <v>482.71728274063531</v>
      </c>
      <c r="N169" s="4">
        <v>514.76418909667632</v>
      </c>
      <c r="O169" s="11">
        <f t="shared" si="2"/>
        <v>5.0846422299544482E-2</v>
      </c>
      <c r="P169"/>
      <c r="Q169" s="11"/>
    </row>
    <row r="170" spans="1:17" x14ac:dyDescent="0.35">
      <c r="A170" s="3" t="s">
        <v>87</v>
      </c>
      <c r="B170" s="4">
        <v>421.06166286323759</v>
      </c>
      <c r="C170" s="4">
        <v>455.51131196005213</v>
      </c>
      <c r="D170" s="4">
        <v>493.93432800183371</v>
      </c>
      <c r="E170" s="4">
        <v>536.85023098778834</v>
      </c>
      <c r="F170" s="4">
        <v>584.62665848176971</v>
      </c>
      <c r="G170" s="4">
        <v>637.60793689147908</v>
      </c>
      <c r="H170" s="4">
        <v>696.22113252229735</v>
      </c>
      <c r="I170" s="4">
        <v>761.0710977747691</v>
      </c>
      <c r="J170" s="4">
        <v>832.51380521661531</v>
      </c>
      <c r="K170" s="4">
        <v>910.92321918673508</v>
      </c>
      <c r="L170" s="4">
        <v>995.86932173115304</v>
      </c>
      <c r="M170" s="4">
        <v>1087.1605069237023</v>
      </c>
      <c r="N170" s="4">
        <v>1185.4369259408907</v>
      </c>
      <c r="O170" s="11">
        <f t="shared" si="2"/>
        <v>7.1334204231136039E-2</v>
      </c>
      <c r="P170"/>
      <c r="Q170" s="11"/>
    </row>
    <row r="171" spans="1:17" x14ac:dyDescent="0.35">
      <c r="A171" s="3" t="s">
        <v>88</v>
      </c>
      <c r="B171" s="4">
        <v>299.14502838353491</v>
      </c>
      <c r="C171" s="4">
        <v>322.95375712630971</v>
      </c>
      <c r="D171" s="4">
        <v>348.25400344382024</v>
      </c>
      <c r="E171" s="4">
        <v>375.36375426539416</v>
      </c>
      <c r="F171" s="4">
        <v>404.93770744737458</v>
      </c>
      <c r="G171" s="4">
        <v>437.85205332232562</v>
      </c>
      <c r="H171" s="4">
        <v>474.81035562201691</v>
      </c>
      <c r="I171" s="4">
        <v>515.93197818738201</v>
      </c>
      <c r="J171" s="4">
        <v>560.76220416135209</v>
      </c>
      <c r="K171" s="4">
        <v>609.2077525209728</v>
      </c>
      <c r="L171" s="4">
        <v>661.67330208950204</v>
      </c>
      <c r="M171" s="4">
        <v>718.6050543530904</v>
      </c>
      <c r="N171" s="4">
        <v>779.94615888621092</v>
      </c>
      <c r="O171" s="11">
        <f t="shared" si="2"/>
        <v>6.6251591830414916E-2</v>
      </c>
      <c r="P171"/>
      <c r="Q171" s="11"/>
    </row>
    <row r="172" spans="1:17" x14ac:dyDescent="0.35">
      <c r="A172" s="3" t="s">
        <v>89</v>
      </c>
      <c r="B172" s="4">
        <v>96.760934797053622</v>
      </c>
      <c r="C172" s="4">
        <v>103.97171454379757</v>
      </c>
      <c r="D172" s="4">
        <v>111.72646125091157</v>
      </c>
      <c r="E172" s="4">
        <v>120.00204470291266</v>
      </c>
      <c r="F172" s="4">
        <v>128.81921395462516</v>
      </c>
      <c r="G172" s="4">
        <v>138.33276100875875</v>
      </c>
      <c r="H172" s="4">
        <v>148.78459891148518</v>
      </c>
      <c r="I172" s="4">
        <v>160.34826171516775</v>
      </c>
      <c r="J172" s="4">
        <v>173.06396043520132</v>
      </c>
      <c r="K172" s="4">
        <v>186.93647267264288</v>
      </c>
      <c r="L172" s="4">
        <v>201.95009350948402</v>
      </c>
      <c r="M172" s="4">
        <v>218.05729244823161</v>
      </c>
      <c r="N172" s="4">
        <v>235.28567404840712</v>
      </c>
      <c r="O172" s="11">
        <f t="shared" si="2"/>
        <v>6.0791543314165628E-2</v>
      </c>
      <c r="P172"/>
      <c r="Q172" s="11"/>
    </row>
    <row r="173" spans="1:17" x14ac:dyDescent="0.35">
      <c r="A173" s="3" t="s">
        <v>90</v>
      </c>
      <c r="B173" s="4">
        <v>189.06851736492405</v>
      </c>
      <c r="C173" s="4">
        <v>201.58558289951429</v>
      </c>
      <c r="D173" s="4">
        <v>214.76003211989581</v>
      </c>
      <c r="E173" s="4">
        <v>228.80177845288216</v>
      </c>
      <c r="F173" s="4">
        <v>244.03087282964142</v>
      </c>
      <c r="G173" s="4">
        <v>260.76898487380288</v>
      </c>
      <c r="H173" s="4">
        <v>279.37173558266016</v>
      </c>
      <c r="I173" s="4">
        <v>299.80200841961039</v>
      </c>
      <c r="J173" s="4">
        <v>321.79539262250654</v>
      </c>
      <c r="K173" s="4">
        <v>345.430261758634</v>
      </c>
      <c r="L173" s="4">
        <v>370.76155177099002</v>
      </c>
      <c r="M173" s="4">
        <v>397.8691034920879</v>
      </c>
      <c r="N173" s="4">
        <v>426.68042374998669</v>
      </c>
      <c r="O173" s="11">
        <f t="shared" si="2"/>
        <v>5.6235484151198743E-2</v>
      </c>
      <c r="P173"/>
      <c r="Q173" s="11"/>
    </row>
    <row r="174" spans="1:17" x14ac:dyDescent="0.35">
      <c r="A174" s="2" t="s">
        <v>91</v>
      </c>
      <c r="O174" s="11" t="str">
        <f t="shared" si="2"/>
        <v/>
      </c>
      <c r="P174"/>
      <c r="Q174" s="11"/>
    </row>
    <row r="175" spans="1:17" x14ac:dyDescent="0.35">
      <c r="A175" s="3" t="s">
        <v>92</v>
      </c>
      <c r="B175" s="4">
        <v>537.96373726407512</v>
      </c>
      <c r="C175" s="4">
        <v>582.20390616376653</v>
      </c>
      <c r="D175" s="4">
        <v>629.64276292776458</v>
      </c>
      <c r="E175" s="4">
        <v>681.08812682635289</v>
      </c>
      <c r="F175" s="4">
        <v>737.39423076843445</v>
      </c>
      <c r="G175" s="4">
        <v>799.94012665334901</v>
      </c>
      <c r="H175" s="4">
        <v>869.75234742173825</v>
      </c>
      <c r="I175" s="4">
        <v>947.05799676034485</v>
      </c>
      <c r="J175" s="4">
        <v>1031.3089490361945</v>
      </c>
      <c r="K175" s="4">
        <v>1123.1213914791538</v>
      </c>
      <c r="L175" s="4">
        <v>1222.9594168540168</v>
      </c>
      <c r="M175" s="4">
        <v>1331.2732712462391</v>
      </c>
      <c r="N175" s="4">
        <v>1448.3717992957522</v>
      </c>
      <c r="O175" s="11">
        <f t="shared" si="2"/>
        <v>6.8186175677897587E-2</v>
      </c>
      <c r="P175"/>
      <c r="Q175" s="11"/>
    </row>
    <row r="176" spans="1:17" x14ac:dyDescent="0.35">
      <c r="A176" s="3" t="s">
        <v>93</v>
      </c>
      <c r="B176" s="4">
        <v>805.72338625613406</v>
      </c>
      <c r="C176" s="4">
        <v>859.77079597591342</v>
      </c>
      <c r="D176" s="4">
        <v>918.90816432929887</v>
      </c>
      <c r="E176" s="4">
        <v>982.95021921516513</v>
      </c>
      <c r="F176" s="4">
        <v>1052.2791296315654</v>
      </c>
      <c r="G176" s="4">
        <v>1127.1730736912357</v>
      </c>
      <c r="H176" s="4">
        <v>1209.2966880844613</v>
      </c>
      <c r="I176" s="4">
        <v>1299.9787461106762</v>
      </c>
      <c r="J176" s="4">
        <v>1399.899066115913</v>
      </c>
      <c r="K176" s="4">
        <v>1508.7271969104984</v>
      </c>
      <c r="L176" s="4">
        <v>1625.5068714484476</v>
      </c>
      <c r="M176" s="4">
        <v>1749.5383828649497</v>
      </c>
      <c r="N176" s="4">
        <v>1881.035745707165</v>
      </c>
      <c r="O176" s="11">
        <f t="shared" si="2"/>
        <v>5.8551098071293758E-2</v>
      </c>
      <c r="P176"/>
      <c r="Q176" s="11"/>
    </row>
    <row r="177" spans="1:17" x14ac:dyDescent="0.35">
      <c r="A177" s="2" t="s">
        <v>94</v>
      </c>
      <c r="O177" s="11" t="str">
        <f t="shared" si="2"/>
        <v/>
      </c>
      <c r="P177"/>
      <c r="Q177" s="11"/>
    </row>
    <row r="178" spans="1:17" x14ac:dyDescent="0.35">
      <c r="A178" s="3" t="s">
        <v>48</v>
      </c>
      <c r="B178" s="4">
        <v>118.54470173949875</v>
      </c>
      <c r="C178" s="4">
        <v>128.17419797921696</v>
      </c>
      <c r="D178" s="4">
        <v>138.60573809033713</v>
      </c>
      <c r="E178" s="4">
        <v>149.96251984999751</v>
      </c>
      <c r="F178" s="4">
        <v>162.36654042494553</v>
      </c>
      <c r="G178" s="4">
        <v>175.97457657768553</v>
      </c>
      <c r="H178" s="4">
        <v>191.02910298981968</v>
      </c>
      <c r="I178" s="4">
        <v>207.6394271999574</v>
      </c>
      <c r="J178" s="4">
        <v>225.83796838498779</v>
      </c>
      <c r="K178" s="4">
        <v>245.75887360165299</v>
      </c>
      <c r="L178" s="4">
        <v>267.48493063419551</v>
      </c>
      <c r="M178" s="4">
        <v>291.05087495573804</v>
      </c>
      <c r="N178" s="4">
        <v>316.45192433045219</v>
      </c>
      <c r="O178" s="11">
        <f t="shared" si="2"/>
        <v>6.7376248787599138E-2</v>
      </c>
      <c r="P178"/>
      <c r="Q178" s="11"/>
    </row>
    <row r="179" spans="1:17" x14ac:dyDescent="0.35">
      <c r="A179" s="3" t="s">
        <v>95</v>
      </c>
      <c r="B179" s="4">
        <v>65.967321205238875</v>
      </c>
      <c r="C179" s="4">
        <v>72.142925748397261</v>
      </c>
      <c r="D179" s="4">
        <v>78.919553402436335</v>
      </c>
      <c r="E179" s="4">
        <v>86.398112768826323</v>
      </c>
      <c r="F179" s="4">
        <v>94.624672328078589</v>
      </c>
      <c r="G179" s="4">
        <v>103.73814439081782</v>
      </c>
      <c r="H179" s="4">
        <v>113.85574214256133</v>
      </c>
      <c r="I179" s="4">
        <v>125.08961234130035</v>
      </c>
      <c r="J179" s="4">
        <v>137.50437324363995</v>
      </c>
      <c r="K179" s="4">
        <v>151.23690526406861</v>
      </c>
      <c r="L179" s="4">
        <v>166.40418474239831</v>
      </c>
      <c r="M179" s="4">
        <v>183.03899539110807</v>
      </c>
      <c r="N179" s="4">
        <v>201.19189627392637</v>
      </c>
      <c r="O179" s="11">
        <f t="shared" si="2"/>
        <v>7.637488668028436E-2</v>
      </c>
      <c r="P179"/>
      <c r="Q179" s="11"/>
    </row>
    <row r="180" spans="1:17" x14ac:dyDescent="0.35">
      <c r="A180" s="3" t="s">
        <v>96</v>
      </c>
      <c r="B180" s="4">
        <v>266.40832052270349</v>
      </c>
      <c r="C180" s="4">
        <v>288.97549613661801</v>
      </c>
      <c r="D180" s="4">
        <v>313.09568544479038</v>
      </c>
      <c r="E180" s="4">
        <v>339.1008434874019</v>
      </c>
      <c r="F180" s="4">
        <v>368.22242519051503</v>
      </c>
      <c r="G180" s="4">
        <v>401.00663199467078</v>
      </c>
      <c r="H180" s="4">
        <v>438.47016184383472</v>
      </c>
      <c r="I180" s="4">
        <v>480.82697943524738</v>
      </c>
      <c r="J180" s="4">
        <v>527.7136426987081</v>
      </c>
      <c r="K180" s="4">
        <v>578.88763083923982</v>
      </c>
      <c r="L180" s="4">
        <v>634.67317903291894</v>
      </c>
      <c r="M180" s="4">
        <v>695.38815204190223</v>
      </c>
      <c r="N180" s="4">
        <v>760.92405866128013</v>
      </c>
      <c r="O180" s="11">
        <f t="shared" si="2"/>
        <v>7.3766803927186458E-2</v>
      </c>
      <c r="P180"/>
      <c r="Q180" s="11"/>
    </row>
    <row r="181" spans="1:17" x14ac:dyDescent="0.35">
      <c r="A181" s="3" t="s">
        <v>97</v>
      </c>
      <c r="B181" s="4">
        <v>145.19711307498073</v>
      </c>
      <c r="C181" s="4">
        <v>155.27981708730283</v>
      </c>
      <c r="D181" s="4">
        <v>166.33752910194985</v>
      </c>
      <c r="E181" s="4">
        <v>178.2919751398245</v>
      </c>
      <c r="F181" s="4">
        <v>190.91559229132321</v>
      </c>
      <c r="G181" s="4">
        <v>204.41576332951254</v>
      </c>
      <c r="H181" s="4">
        <v>218.9607643099657</v>
      </c>
      <c r="I181" s="4">
        <v>234.87229388562292</v>
      </c>
      <c r="J181" s="4">
        <v>252.28981499294065</v>
      </c>
      <c r="K181" s="4">
        <v>271.2632511550616</v>
      </c>
      <c r="L181" s="4">
        <v>291.58629454639993</v>
      </c>
      <c r="M181" s="4">
        <v>313.05428852896227</v>
      </c>
      <c r="N181" s="4">
        <v>335.87182666829887</v>
      </c>
      <c r="O181" s="11">
        <f t="shared" si="2"/>
        <v>5.6725366206568387E-2</v>
      </c>
      <c r="P181"/>
      <c r="Q181" s="11"/>
    </row>
    <row r="182" spans="1:17" x14ac:dyDescent="0.35">
      <c r="A182" s="3" t="s">
        <v>98</v>
      </c>
      <c r="B182" s="4">
        <v>361.44835940109033</v>
      </c>
      <c r="C182" s="4">
        <v>388.64961536696967</v>
      </c>
      <c r="D182" s="4">
        <v>418.34034987265522</v>
      </c>
      <c r="E182" s="4">
        <v>450.69579120479563</v>
      </c>
      <c r="F182" s="4">
        <v>485.93873458800567</v>
      </c>
      <c r="G182" s="4">
        <v>524.46363571822883</v>
      </c>
      <c r="H182" s="4">
        <v>566.88906694801278</v>
      </c>
      <c r="I182" s="4">
        <v>613.5602593023284</v>
      </c>
      <c r="J182" s="4">
        <v>664.58853506360344</v>
      </c>
      <c r="K182" s="4">
        <v>720.06243326139202</v>
      </c>
      <c r="L182" s="4">
        <v>779.74149481943334</v>
      </c>
      <c r="M182" s="4">
        <v>843.69077901433832</v>
      </c>
      <c r="N182" s="4">
        <v>912.10017048722466</v>
      </c>
      <c r="O182" s="11">
        <f t="shared" si="2"/>
        <v>6.3415576231809073E-2</v>
      </c>
      <c r="P182"/>
      <c r="Q182" s="11"/>
    </row>
    <row r="183" spans="1:17" x14ac:dyDescent="0.35">
      <c r="A183" s="3" t="s">
        <v>99</v>
      </c>
      <c r="B183" s="4">
        <v>193.31942050427034</v>
      </c>
      <c r="C183" s="4">
        <v>203.8889943699258</v>
      </c>
      <c r="D183" s="4">
        <v>215.22871375075636</v>
      </c>
      <c r="E183" s="4">
        <v>227.36285216080063</v>
      </c>
      <c r="F183" s="4">
        <v>240.26095021275182</v>
      </c>
      <c r="G183" s="4">
        <v>254.08629491322895</v>
      </c>
      <c r="H183" s="4">
        <v>269.06886510805862</v>
      </c>
      <c r="I183" s="4">
        <v>285.37629567183689</v>
      </c>
      <c r="J183" s="4">
        <v>302.98041302994835</v>
      </c>
      <c r="K183" s="4">
        <v>321.91850148757231</v>
      </c>
      <c r="L183" s="4">
        <v>341.92925210841651</v>
      </c>
      <c r="M183" s="4">
        <v>362.78133460478932</v>
      </c>
      <c r="N183" s="4">
        <v>384.559219781313</v>
      </c>
      <c r="O183" s="11">
        <f t="shared" si="2"/>
        <v>4.7123722534435475E-2</v>
      </c>
      <c r="P183"/>
      <c r="Q183" s="11"/>
    </row>
    <row r="184" spans="1:17" x14ac:dyDescent="0.35">
      <c r="A184" s="3" t="s">
        <v>100</v>
      </c>
      <c r="B184" s="4">
        <v>192.80188707242664</v>
      </c>
      <c r="C184" s="4">
        <v>204.86365545124946</v>
      </c>
      <c r="D184" s="4">
        <v>218.0233575941383</v>
      </c>
      <c r="E184" s="4">
        <v>232.22625142987133</v>
      </c>
      <c r="F184" s="4">
        <v>247.34444536437999</v>
      </c>
      <c r="G184" s="4">
        <v>263.4281534204402</v>
      </c>
      <c r="H184" s="4">
        <v>280.77533216394653</v>
      </c>
      <c r="I184" s="4">
        <v>299.67187503472786</v>
      </c>
      <c r="J184" s="4">
        <v>320.29326773827921</v>
      </c>
      <c r="K184" s="4">
        <v>342.72099278066435</v>
      </c>
      <c r="L184" s="4">
        <v>366.64695241870209</v>
      </c>
      <c r="M184" s="4">
        <v>391.80722957435086</v>
      </c>
      <c r="N184" s="4">
        <v>418.30844880042207</v>
      </c>
      <c r="O184" s="11">
        <f t="shared" si="2"/>
        <v>5.2725005132914018E-2</v>
      </c>
      <c r="P184"/>
      <c r="Q184" s="11"/>
    </row>
    <row r="185" spans="1:17" x14ac:dyDescent="0.35">
      <c r="A185" s="1" t="s">
        <v>34</v>
      </c>
      <c r="O185" s="11" t="str">
        <f t="shared" si="2"/>
        <v/>
      </c>
      <c r="P185"/>
      <c r="Q185" s="11"/>
    </row>
    <row r="186" spans="1:17" x14ac:dyDescent="0.35">
      <c r="A186" s="2" t="s">
        <v>54</v>
      </c>
      <c r="O186" s="11" t="str">
        <f t="shared" si="2"/>
        <v/>
      </c>
      <c r="P186"/>
      <c r="Q186" s="11"/>
    </row>
    <row r="187" spans="1:17" x14ac:dyDescent="0.35">
      <c r="A187" s="3" t="s">
        <v>55</v>
      </c>
      <c r="B187" s="4">
        <v>130.80423268349833</v>
      </c>
      <c r="C187" s="4">
        <v>146.94340681012338</v>
      </c>
      <c r="D187" s="4">
        <v>165.23965838178486</v>
      </c>
      <c r="E187" s="4">
        <v>185.80374538293742</v>
      </c>
      <c r="F187" s="4">
        <v>208.82902012797365</v>
      </c>
      <c r="G187" s="4">
        <v>234.69944641979524</v>
      </c>
      <c r="H187" s="4">
        <v>264.09562333506278</v>
      </c>
      <c r="I187" s="4">
        <v>297.82847788154339</v>
      </c>
      <c r="J187" s="4">
        <v>336.59369294540602</v>
      </c>
      <c r="K187" s="4">
        <v>380.83677210892256</v>
      </c>
      <c r="L187" s="4">
        <v>431.00054708771847</v>
      </c>
      <c r="M187" s="4">
        <v>487.38634958535704</v>
      </c>
      <c r="N187" s="4">
        <v>550.66351305548608</v>
      </c>
      <c r="O187" s="11">
        <f t="shared" si="2"/>
        <v>9.939230499886656E-2</v>
      </c>
      <c r="P187"/>
      <c r="Q187" s="11"/>
    </row>
    <row r="188" spans="1:17" x14ac:dyDescent="0.35">
      <c r="A188" s="3" t="s">
        <v>56</v>
      </c>
      <c r="B188" s="4">
        <v>366.80439982308076</v>
      </c>
      <c r="C188" s="4">
        <v>402.82441939293932</v>
      </c>
      <c r="D188" s="4">
        <v>443.02112204986327</v>
      </c>
      <c r="E188" s="4">
        <v>487.6843269427012</v>
      </c>
      <c r="F188" s="4">
        <v>536.92586492854423</v>
      </c>
      <c r="G188" s="4">
        <v>590.83620165547404</v>
      </c>
      <c r="H188" s="4">
        <v>650.55973848036354</v>
      </c>
      <c r="I188" s="4">
        <v>717.11305416402161</v>
      </c>
      <c r="J188" s="4">
        <v>791.71304237527306</v>
      </c>
      <c r="K188" s="4">
        <v>875.58100462430298</v>
      </c>
      <c r="L188" s="4">
        <v>968.84823783503771</v>
      </c>
      <c r="M188" s="4">
        <v>1071.4341113900146</v>
      </c>
      <c r="N188" s="4">
        <v>1183.9568859782207</v>
      </c>
      <c r="O188" s="11">
        <f t="shared" si="2"/>
        <v>8.0291544094263631E-2</v>
      </c>
      <c r="P188"/>
      <c r="Q188" s="11"/>
    </row>
    <row r="189" spans="1:17" x14ac:dyDescent="0.35">
      <c r="A189" s="3" t="s">
        <v>57</v>
      </c>
      <c r="B189" s="4">
        <v>879.32630324317961</v>
      </c>
      <c r="C189" s="4">
        <v>953.62494486481887</v>
      </c>
      <c r="D189" s="4">
        <v>1035.4730515125898</v>
      </c>
      <c r="E189" s="4">
        <v>1126.2416830199056</v>
      </c>
      <c r="F189" s="4">
        <v>1226.804804143482</v>
      </c>
      <c r="G189" s="4">
        <v>1338.6002871337082</v>
      </c>
      <c r="H189" s="4">
        <v>1462.7751510742171</v>
      </c>
      <c r="I189" s="4">
        <v>1600.5264437053659</v>
      </c>
      <c r="J189" s="4">
        <v>1752.1654369338105</v>
      </c>
      <c r="K189" s="4">
        <v>1918.8708886716308</v>
      </c>
      <c r="L189" s="4">
        <v>2100.6319172423164</v>
      </c>
      <c r="M189" s="4">
        <v>2297.2121501246515</v>
      </c>
      <c r="N189" s="4">
        <v>2509.6454412551921</v>
      </c>
      <c r="O189" s="11">
        <f t="shared" si="2"/>
        <v>7.2331467738937089E-2</v>
      </c>
      <c r="P189"/>
      <c r="Q189" s="11"/>
    </row>
    <row r="190" spans="1:17" x14ac:dyDescent="0.35">
      <c r="A190" s="2" t="s">
        <v>30</v>
      </c>
      <c r="O190" s="11" t="str">
        <f t="shared" si="2"/>
        <v/>
      </c>
      <c r="P190"/>
      <c r="Q190" s="11"/>
    </row>
    <row r="191" spans="1:17" x14ac:dyDescent="0.35">
      <c r="A191" s="3" t="s">
        <v>28</v>
      </c>
      <c r="B191" s="4">
        <v>137.89447701628444</v>
      </c>
      <c r="C191" s="4">
        <v>151.98877071190523</v>
      </c>
      <c r="D191" s="4">
        <v>167.59171950674099</v>
      </c>
      <c r="E191" s="4">
        <v>185.23928449313138</v>
      </c>
      <c r="F191" s="4">
        <v>205.06808650099006</v>
      </c>
      <c r="G191" s="4">
        <v>227.25984000303211</v>
      </c>
      <c r="H191" s="4">
        <v>251.9176931374233</v>
      </c>
      <c r="I191" s="4">
        <v>279.12551660032136</v>
      </c>
      <c r="J191" s="4">
        <v>309.10579799318168</v>
      </c>
      <c r="K191" s="4">
        <v>342.74736864663754</v>
      </c>
      <c r="L191" s="4">
        <v>380.50615360872791</v>
      </c>
      <c r="M191" s="4">
        <v>422.43650373756077</v>
      </c>
      <c r="N191" s="4">
        <v>468.68823560045325</v>
      </c>
      <c r="O191" s="11">
        <f t="shared" si="2"/>
        <v>8.3749822996370737E-2</v>
      </c>
      <c r="P191"/>
      <c r="Q191" s="11"/>
    </row>
    <row r="192" spans="1:17" x14ac:dyDescent="0.35">
      <c r="A192" s="3" t="s">
        <v>39</v>
      </c>
      <c r="B192" s="4">
        <v>441.17081189999686</v>
      </c>
      <c r="C192" s="4">
        <v>488.96965055984776</v>
      </c>
      <c r="D192" s="4">
        <v>542.89823433579841</v>
      </c>
      <c r="E192" s="4">
        <v>603.3717712210381</v>
      </c>
      <c r="F192" s="4">
        <v>671.13295070737502</v>
      </c>
      <c r="G192" s="4">
        <v>747.03615343664148</v>
      </c>
      <c r="H192" s="4">
        <v>832.76798479685681</v>
      </c>
      <c r="I192" s="4">
        <v>930.06794799151533</v>
      </c>
      <c r="J192" s="4">
        <v>1040.1846955893718</v>
      </c>
      <c r="K192" s="4">
        <v>1164.0816106445579</v>
      </c>
      <c r="L192" s="4">
        <v>1301.6073586120531</v>
      </c>
      <c r="M192" s="4">
        <v>1453.0440464034273</v>
      </c>
      <c r="N192" s="4">
        <v>1620.2010825811735</v>
      </c>
      <c r="O192" s="11">
        <f t="shared" si="2"/>
        <v>8.9829573328749412E-2</v>
      </c>
      <c r="P192"/>
      <c r="Q192" s="11"/>
    </row>
    <row r="193" spans="1:17" x14ac:dyDescent="0.35">
      <c r="A193" s="3" t="s">
        <v>40</v>
      </c>
      <c r="B193" s="4">
        <v>257.66872932652876</v>
      </c>
      <c r="C193" s="4">
        <v>275.44641175016807</v>
      </c>
      <c r="D193" s="4">
        <v>294.68725245654633</v>
      </c>
      <c r="E193" s="4">
        <v>315.79492826408938</v>
      </c>
      <c r="F193" s="4">
        <v>338.68849863564003</v>
      </c>
      <c r="G193" s="4">
        <v>363.31041917424005</v>
      </c>
      <c r="H193" s="4">
        <v>389.84973820056143</v>
      </c>
      <c r="I193" s="4">
        <v>418.47980918545562</v>
      </c>
      <c r="J193" s="4">
        <v>449.50172672285476</v>
      </c>
      <c r="K193" s="4">
        <v>483.59709028965443</v>
      </c>
      <c r="L193" s="4">
        <v>520.86543384660581</v>
      </c>
      <c r="M193" s="4">
        <v>560.87980252914281</v>
      </c>
      <c r="N193" s="4">
        <v>603.46684711999524</v>
      </c>
      <c r="O193" s="11">
        <f t="shared" si="2"/>
        <v>5.8001232656049687E-2</v>
      </c>
      <c r="P193"/>
      <c r="Q193" s="11"/>
    </row>
    <row r="194" spans="1:17" x14ac:dyDescent="0.35">
      <c r="A194" s="3" t="s">
        <v>41</v>
      </c>
      <c r="B194" s="4">
        <v>72.063547061725203</v>
      </c>
      <c r="C194" s="4">
        <v>77.490264700351318</v>
      </c>
      <c r="D194" s="4">
        <v>83.420094536822347</v>
      </c>
      <c r="E194" s="4">
        <v>89.813396228172337</v>
      </c>
      <c r="F194" s="4">
        <v>96.684623527105174</v>
      </c>
      <c r="G194" s="4">
        <v>104.02100696719545</v>
      </c>
      <c r="H194" s="4">
        <v>112.04647950340342</v>
      </c>
      <c r="I194" s="4">
        <v>120.89038154593439</v>
      </c>
      <c r="J194" s="4">
        <v>130.67125058751023</v>
      </c>
      <c r="K194" s="4">
        <v>141.42331085825469</v>
      </c>
      <c r="L194" s="4">
        <v>153.06287466536554</v>
      </c>
      <c r="M194" s="4">
        <v>165.54945624371186</v>
      </c>
      <c r="N194" s="4">
        <v>178.89528319181449</v>
      </c>
      <c r="O194" s="11">
        <f t="shared" si="2"/>
        <v>6.2097053578796246E-2</v>
      </c>
      <c r="P194"/>
      <c r="Q194" s="11"/>
    </row>
    <row r="195" spans="1:17" x14ac:dyDescent="0.35">
      <c r="A195" s="3" t="s">
        <v>42</v>
      </c>
      <c r="B195" s="4">
        <v>180.16470741049142</v>
      </c>
      <c r="C195" s="4">
        <v>196.84722349318037</v>
      </c>
      <c r="D195" s="4">
        <v>215.34016105824799</v>
      </c>
      <c r="E195" s="4">
        <v>235.9754189502105</v>
      </c>
      <c r="F195" s="4">
        <v>258.99708719195996</v>
      </c>
      <c r="G195" s="4">
        <v>284.79569247028547</v>
      </c>
      <c r="H195" s="4">
        <v>313.62502528306254</v>
      </c>
      <c r="I195" s="4">
        <v>345.79956853373977</v>
      </c>
      <c r="J195" s="4">
        <v>381.39592343689071</v>
      </c>
      <c r="K195" s="4">
        <v>420.72114057224064</v>
      </c>
      <c r="L195" s="4">
        <v>463.85790520629843</v>
      </c>
      <c r="M195" s="4">
        <v>510.80323633128222</v>
      </c>
      <c r="N195" s="4">
        <v>561.89316018287309</v>
      </c>
      <c r="O195" s="11">
        <f t="shared" si="2"/>
        <v>7.8427981264115113E-2</v>
      </c>
      <c r="P195"/>
      <c r="Q195" s="11"/>
    </row>
    <row r="196" spans="1:17" x14ac:dyDescent="0.35">
      <c r="A196" s="3" t="s">
        <v>43</v>
      </c>
      <c r="B196" s="4">
        <v>162.78106721687411</v>
      </c>
      <c r="C196" s="4">
        <v>176.96269389636115</v>
      </c>
      <c r="D196" s="4">
        <v>192.59298237987343</v>
      </c>
      <c r="E196" s="4">
        <v>209.90045259662043</v>
      </c>
      <c r="F196" s="4">
        <v>229.11280790057998</v>
      </c>
      <c r="G196" s="4">
        <v>250.50072019658802</v>
      </c>
      <c r="H196" s="4">
        <v>274.3184626551872</v>
      </c>
      <c r="I196" s="4">
        <v>300.6672774669612</v>
      </c>
      <c r="J196" s="4">
        <v>329.5936787910174</v>
      </c>
      <c r="K196" s="4">
        <v>361.18720154306243</v>
      </c>
      <c r="L196" s="4">
        <v>395.5041486718859</v>
      </c>
      <c r="M196" s="4">
        <v>432.82688098777629</v>
      </c>
      <c r="N196" s="4">
        <v>473.26873776937498</v>
      </c>
      <c r="O196" s="11">
        <f t="shared" si="2"/>
        <v>7.3247464086560368E-2</v>
      </c>
      <c r="P196"/>
      <c r="Q196" s="11"/>
    </row>
    <row r="197" spans="1:17" x14ac:dyDescent="0.35">
      <c r="A197" s="3" t="s">
        <v>44</v>
      </c>
      <c r="B197" s="4">
        <v>125.19159581785789</v>
      </c>
      <c r="C197" s="4">
        <v>135.68775595606746</v>
      </c>
      <c r="D197" s="4">
        <v>147.20338767020834</v>
      </c>
      <c r="E197" s="4">
        <v>159.63450359228204</v>
      </c>
      <c r="F197" s="4">
        <v>172.87563473634975</v>
      </c>
      <c r="G197" s="4">
        <v>187.21210296099497</v>
      </c>
      <c r="H197" s="4">
        <v>202.90512931314856</v>
      </c>
      <c r="I197" s="4">
        <v>220.43747442700305</v>
      </c>
      <c r="J197" s="4">
        <v>240.01909913366308</v>
      </c>
      <c r="K197" s="4">
        <v>261.53094285044864</v>
      </c>
      <c r="L197" s="4">
        <v>285.07682755413589</v>
      </c>
      <c r="M197" s="4">
        <v>310.49268486712197</v>
      </c>
      <c r="N197" s="4">
        <v>337.85249384321435</v>
      </c>
      <c r="O197" s="11">
        <f t="shared" si="2"/>
        <v>6.7795617663378813E-2</v>
      </c>
      <c r="P197"/>
      <c r="Q197" s="11"/>
    </row>
    <row r="198" spans="1:17" x14ac:dyDescent="0.35">
      <c r="A198" s="2" t="s">
        <v>47</v>
      </c>
      <c r="O198" s="11" t="str">
        <f t="shared" si="2"/>
        <v/>
      </c>
      <c r="P198"/>
      <c r="Q198" s="11"/>
    </row>
    <row r="199" spans="1:17" x14ac:dyDescent="0.35">
      <c r="A199" s="3" t="s">
        <v>82</v>
      </c>
      <c r="B199" s="4">
        <v>497.60863250657906</v>
      </c>
      <c r="C199" s="4">
        <v>549.76782620306267</v>
      </c>
      <c r="D199" s="4">
        <v>608.26078043164807</v>
      </c>
      <c r="E199" s="4">
        <v>673.48807232563865</v>
      </c>
      <c r="F199" s="4">
        <v>745.75488505651788</v>
      </c>
      <c r="G199" s="4">
        <v>825.53564807526925</v>
      </c>
      <c r="H199" s="4">
        <v>914.65536181542632</v>
      </c>
      <c r="I199" s="4">
        <v>1014.9415320455651</v>
      </c>
      <c r="J199" s="4">
        <v>1128.3067353206791</v>
      </c>
      <c r="K199" s="4">
        <v>1256.4177767332255</v>
      </c>
      <c r="L199" s="4">
        <v>1399.8487849227563</v>
      </c>
      <c r="M199" s="4">
        <v>1558.8204609753716</v>
      </c>
      <c r="N199" s="4">
        <v>1734.6203990337067</v>
      </c>
      <c r="O199" s="11">
        <f t="shared" si="2"/>
        <v>8.6000052925703008E-2</v>
      </c>
      <c r="P199"/>
      <c r="Q199" s="11"/>
    </row>
    <row r="200" spans="1:17" x14ac:dyDescent="0.35">
      <c r="A200" s="3" t="s">
        <v>83</v>
      </c>
      <c r="B200" s="4">
        <v>879.32630324317961</v>
      </c>
      <c r="C200" s="4">
        <v>953.62494486481887</v>
      </c>
      <c r="D200" s="4">
        <v>1035.4730515125898</v>
      </c>
      <c r="E200" s="4">
        <v>1126.2416830199056</v>
      </c>
      <c r="F200" s="4">
        <v>1226.804804143482</v>
      </c>
      <c r="G200" s="4">
        <v>1338.6002871337082</v>
      </c>
      <c r="H200" s="4">
        <v>1462.7751510742171</v>
      </c>
      <c r="I200" s="4">
        <v>1600.5264437053659</v>
      </c>
      <c r="J200" s="4">
        <v>1752.1654369338105</v>
      </c>
      <c r="K200" s="4">
        <v>1918.8708886716308</v>
      </c>
      <c r="L200" s="4">
        <v>2100.6319172423164</v>
      </c>
      <c r="M200" s="4">
        <v>2297.2121501246515</v>
      </c>
      <c r="N200" s="4">
        <v>2509.6454412551921</v>
      </c>
      <c r="O200" s="11">
        <f t="shared" si="2"/>
        <v>7.2331467738937089E-2</v>
      </c>
      <c r="P200"/>
      <c r="Q200" s="11"/>
    </row>
    <row r="201" spans="1:17" x14ac:dyDescent="0.35">
      <c r="A201" s="2" t="s">
        <v>59</v>
      </c>
      <c r="O201" s="11" t="str">
        <f t="shared" si="2"/>
        <v/>
      </c>
      <c r="P201"/>
      <c r="Q201" s="11"/>
    </row>
    <row r="202" spans="1:17" x14ac:dyDescent="0.35">
      <c r="A202" s="3" t="s">
        <v>60</v>
      </c>
      <c r="O202" s="11" t="str">
        <f t="shared" si="2"/>
        <v/>
      </c>
      <c r="P202"/>
      <c r="Q202" s="11"/>
    </row>
    <row r="203" spans="1:17" x14ac:dyDescent="0.35">
      <c r="A203" s="34" t="s">
        <v>61</v>
      </c>
      <c r="B203" s="4">
        <v>277.5318373520804</v>
      </c>
      <c r="C203" s="4">
        <v>303.82264116005058</v>
      </c>
      <c r="D203" s="4">
        <v>333.89739046783541</v>
      </c>
      <c r="E203" s="4">
        <v>368.41382600404802</v>
      </c>
      <c r="F203" s="4">
        <v>407.21843601259161</v>
      </c>
      <c r="G203" s="4">
        <v>449.58020143152584</v>
      </c>
      <c r="H203" s="4">
        <v>495.73856586441207</v>
      </c>
      <c r="I203" s="4">
        <v>546.4862708264352</v>
      </c>
      <c r="J203" s="4">
        <v>603.03562114070621</v>
      </c>
      <c r="K203" s="4">
        <v>667.07136029891603</v>
      </c>
      <c r="L203" s="4">
        <v>737.68672660611605</v>
      </c>
      <c r="M203" s="4">
        <v>813.38380561626423</v>
      </c>
      <c r="N203" s="4">
        <v>894.86263550630963</v>
      </c>
      <c r="O203" s="11">
        <f t="shared" si="2"/>
        <v>7.9484914238273419E-2</v>
      </c>
      <c r="P203"/>
      <c r="Q203" s="11"/>
    </row>
    <row r="204" spans="1:17" x14ac:dyDescent="0.35">
      <c r="A204" s="43" t="s">
        <v>62</v>
      </c>
      <c r="B204" s="4">
        <v>51.035555896455215</v>
      </c>
      <c r="C204" s="4">
        <v>57.246625184840447</v>
      </c>
      <c r="D204" s="4">
        <v>64.294726048121603</v>
      </c>
      <c r="E204" s="4">
        <v>72.306907751606886</v>
      </c>
      <c r="F204" s="4">
        <v>81.3891453258247</v>
      </c>
      <c r="G204" s="4">
        <v>91.704047347479545</v>
      </c>
      <c r="H204" s="4">
        <v>103.43975143983118</v>
      </c>
      <c r="I204" s="4">
        <v>116.82987728140257</v>
      </c>
      <c r="J204" s="4">
        <v>132.0767478255803</v>
      </c>
      <c r="K204" s="4">
        <v>149.43489154624828</v>
      </c>
      <c r="L204" s="4">
        <v>169.1153617632348</v>
      </c>
      <c r="M204" s="4">
        <v>191.24896664877883</v>
      </c>
      <c r="N204" s="4">
        <v>216.08842038519478</v>
      </c>
      <c r="O204" s="11">
        <f t="shared" si="2"/>
        <v>9.9918058454114625E-2</v>
      </c>
      <c r="P204"/>
      <c r="Q204" s="11"/>
    </row>
    <row r="205" spans="1:17" x14ac:dyDescent="0.35">
      <c r="A205" s="43" t="s">
        <v>63</v>
      </c>
      <c r="B205" s="4">
        <v>98.159900319001338</v>
      </c>
      <c r="C205" s="4">
        <v>107.72500683938836</v>
      </c>
      <c r="D205" s="4">
        <v>118.25305459291371</v>
      </c>
      <c r="E205" s="4">
        <v>129.96416218557368</v>
      </c>
      <c r="F205" s="4">
        <v>143.05895093895847</v>
      </c>
      <c r="G205" s="4">
        <v>157.8160365545528</v>
      </c>
      <c r="H205" s="4">
        <v>174.44373024293304</v>
      </c>
      <c r="I205" s="4">
        <v>193.07956862916825</v>
      </c>
      <c r="J205" s="4">
        <v>213.73164736194033</v>
      </c>
      <c r="K205" s="4">
        <v>236.63508994942876</v>
      </c>
      <c r="L205" s="4">
        <v>261.90411999749085</v>
      </c>
      <c r="M205" s="4">
        <v>289.64564189502488</v>
      </c>
      <c r="N205" s="4">
        <v>320.06641206889242</v>
      </c>
      <c r="O205" s="11">
        <f t="shared" si="2"/>
        <v>8.1735286112670433E-2</v>
      </c>
      <c r="P205"/>
      <c r="Q205" s="11"/>
    </row>
    <row r="206" spans="1:17" x14ac:dyDescent="0.35">
      <c r="A206" s="43" t="s">
        <v>64</v>
      </c>
      <c r="B206" s="4">
        <v>128.33638113662386</v>
      </c>
      <c r="C206" s="4">
        <v>138.85100913582181</v>
      </c>
      <c r="D206" s="4">
        <v>151.34960982680005</v>
      </c>
      <c r="E206" s="4">
        <v>166.14275606686741</v>
      </c>
      <c r="F206" s="4">
        <v>182.77033974780841</v>
      </c>
      <c r="G206" s="4">
        <v>200.06011752949348</v>
      </c>
      <c r="H206" s="4">
        <v>217.85508418164787</v>
      </c>
      <c r="I206" s="4">
        <v>236.57682491586445</v>
      </c>
      <c r="J206" s="4">
        <v>257.22722595318555</v>
      </c>
      <c r="K206" s="4">
        <v>281.00137880323899</v>
      </c>
      <c r="L206" s="4">
        <v>306.66724484539043</v>
      </c>
      <c r="M206" s="4">
        <v>332.48919707246046</v>
      </c>
      <c r="N206" s="4">
        <v>358.7078030522224</v>
      </c>
      <c r="O206" s="11">
        <f t="shared" si="2"/>
        <v>6.702744336758136E-2</v>
      </c>
      <c r="P206"/>
      <c r="Q206" s="11"/>
    </row>
    <row r="207" spans="1:17" x14ac:dyDescent="0.35">
      <c r="A207" s="34" t="s">
        <v>65</v>
      </c>
      <c r="B207" s="4">
        <v>251.14787941054732</v>
      </c>
      <c r="C207" s="4">
        <v>273.95808500243936</v>
      </c>
      <c r="D207" s="4">
        <v>299.24251987688473</v>
      </c>
      <c r="E207" s="4">
        <v>327.08051997370995</v>
      </c>
      <c r="F207" s="4">
        <v>357.51644844843076</v>
      </c>
      <c r="G207" s="4">
        <v>391.04962859338303</v>
      </c>
      <c r="H207" s="4">
        <v>428.17813665435511</v>
      </c>
      <c r="I207" s="4">
        <v>469.63818888169698</v>
      </c>
      <c r="J207" s="4">
        <v>515.89606784584555</v>
      </c>
      <c r="K207" s="4">
        <v>566.93872983243341</v>
      </c>
      <c r="L207" s="4">
        <v>623.0873651750278</v>
      </c>
      <c r="M207" s="4">
        <v>684.42230975754524</v>
      </c>
      <c r="N207" s="4">
        <v>751.15711059546334</v>
      </c>
      <c r="O207" s="11">
        <f t="shared" si="2"/>
        <v>7.5226299161978025E-2</v>
      </c>
      <c r="P207"/>
      <c r="Q207" s="11"/>
    </row>
    <row r="208" spans="1:17" x14ac:dyDescent="0.35">
      <c r="A208" s="34" t="s">
        <v>66</v>
      </c>
      <c r="B208" s="4">
        <v>158.06976100456302</v>
      </c>
      <c r="C208" s="4">
        <v>171.61441110619356</v>
      </c>
      <c r="D208" s="4">
        <v>186.23017404688983</v>
      </c>
      <c r="E208" s="4">
        <v>201.99625989549261</v>
      </c>
      <c r="F208" s="4">
        <v>219.07001869369282</v>
      </c>
      <c r="G208" s="4">
        <v>237.91912881691687</v>
      </c>
      <c r="H208" s="4">
        <v>258.95290152634408</v>
      </c>
      <c r="I208" s="4">
        <v>282.43148217302377</v>
      </c>
      <c r="J208" s="4">
        <v>308.30577805629304</v>
      </c>
      <c r="K208" s="4">
        <v>336.62241278174946</v>
      </c>
      <c r="L208" s="4">
        <v>367.57271717452591</v>
      </c>
      <c r="M208" s="4">
        <v>401.31340709936251</v>
      </c>
      <c r="N208" s="4">
        <v>437.95945920908332</v>
      </c>
      <c r="O208" s="11">
        <f t="shared" si="2"/>
        <v>7.0150724859066413E-2</v>
      </c>
      <c r="P208"/>
      <c r="Q208" s="11"/>
    </row>
    <row r="209" spans="1:17" x14ac:dyDescent="0.35">
      <c r="A209" s="34" t="s">
        <v>67</v>
      </c>
      <c r="B209" s="4">
        <v>103.53106972851509</v>
      </c>
      <c r="C209" s="4">
        <v>111.30215787088468</v>
      </c>
      <c r="D209" s="4">
        <v>119.61523823391818</v>
      </c>
      <c r="E209" s="4">
        <v>128.58504627969154</v>
      </c>
      <c r="F209" s="4">
        <v>138.39947055748965</v>
      </c>
      <c r="G209" s="4">
        <v>149.33643491582086</v>
      </c>
      <c r="H209" s="4">
        <v>161.58686121727263</v>
      </c>
      <c r="I209" s="4">
        <v>175.20233468458684</v>
      </c>
      <c r="J209" s="4">
        <v>190.03141498593268</v>
      </c>
      <c r="K209" s="4">
        <v>206.06902787400881</v>
      </c>
      <c r="L209" s="4">
        <v>223.29547000865509</v>
      </c>
      <c r="M209" s="4">
        <v>241.76407047536338</v>
      </c>
      <c r="N209" s="4">
        <v>261.56157337750653</v>
      </c>
      <c r="O209" s="11">
        <f t="shared" si="2"/>
        <v>6.4254147443423879E-2</v>
      </c>
      <c r="P209"/>
      <c r="Q209" s="11"/>
    </row>
    <row r="210" spans="1:17" x14ac:dyDescent="0.35">
      <c r="A210" s="34" t="s">
        <v>68</v>
      </c>
      <c r="B210" s="4">
        <v>169.99713966514889</v>
      </c>
      <c r="C210" s="4">
        <v>187.41388057133204</v>
      </c>
      <c r="D210" s="4">
        <v>206.76640611017763</v>
      </c>
      <c r="E210" s="4">
        <v>228.38425923606184</v>
      </c>
      <c r="F210" s="4">
        <v>252.68136345086609</v>
      </c>
      <c r="G210" s="4">
        <v>280.15841062497623</v>
      </c>
      <c r="H210" s="4">
        <v>311.27966460394242</v>
      </c>
      <c r="I210" s="4">
        <v>346.31480208538636</v>
      </c>
      <c r="J210" s="4">
        <v>385.36395690476917</v>
      </c>
      <c r="K210" s="4">
        <v>428.67370850066095</v>
      </c>
      <c r="L210" s="4">
        <v>476.49697674527744</v>
      </c>
      <c r="M210" s="4">
        <v>529.35609929864313</v>
      </c>
      <c r="N210" s="4">
        <v>587.64137731836729</v>
      </c>
      <c r="O210" s="11">
        <f t="shared" si="2"/>
        <v>8.5788934727200519E-2</v>
      </c>
      <c r="P210"/>
      <c r="Q210" s="11"/>
    </row>
    <row r="211" spans="1:17" x14ac:dyDescent="0.35">
      <c r="A211" s="34" t="s">
        <v>69</v>
      </c>
      <c r="B211" s="4">
        <v>192.21731300926928</v>
      </c>
      <c r="C211" s="4">
        <v>205.72647842110189</v>
      </c>
      <c r="D211" s="4">
        <v>220.16910157219297</v>
      </c>
      <c r="E211" s="4">
        <v>235.68382107275212</v>
      </c>
      <c r="F211" s="4">
        <v>252.49321356748467</v>
      </c>
      <c r="G211" s="4">
        <v>270.92811626237926</v>
      </c>
      <c r="H211" s="4">
        <v>291.35233599513236</v>
      </c>
      <c r="I211" s="4">
        <v>313.80449065548709</v>
      </c>
      <c r="J211" s="4">
        <v>338.14301919243417</v>
      </c>
      <c r="K211" s="4">
        <v>364.39686888774264</v>
      </c>
      <c r="L211" s="4">
        <v>392.62166777028608</v>
      </c>
      <c r="M211" s="4">
        <v>423.00157166784913</v>
      </c>
      <c r="N211" s="4">
        <v>455.51638914042809</v>
      </c>
      <c r="O211" s="11">
        <f t="shared" si="2"/>
        <v>5.9429872373333831E-2</v>
      </c>
      <c r="P211"/>
      <c r="Q211" s="11"/>
    </row>
    <row r="212" spans="1:17" x14ac:dyDescent="0.35">
      <c r="A212" s="3" t="s">
        <v>70</v>
      </c>
      <c r="O212" s="11" t="str">
        <f t="shared" si="2"/>
        <v/>
      </c>
      <c r="P212"/>
      <c r="Q212" s="11"/>
    </row>
    <row r="213" spans="1:17" x14ac:dyDescent="0.35">
      <c r="A213" s="34" t="s">
        <v>71</v>
      </c>
      <c r="B213" s="4">
        <v>32.895950172178345</v>
      </c>
      <c r="C213" s="4">
        <v>37.048238455122338</v>
      </c>
      <c r="D213" s="4">
        <v>41.758717568119771</v>
      </c>
      <c r="E213" s="4">
        <v>47.17115932705903</v>
      </c>
      <c r="F213" s="4">
        <v>53.378501083398469</v>
      </c>
      <c r="G213" s="4">
        <v>60.495091249070484</v>
      </c>
      <c r="H213" s="4">
        <v>68.622488918937989</v>
      </c>
      <c r="I213" s="4">
        <v>77.859835143116428</v>
      </c>
      <c r="J213" s="4">
        <v>88.320682904737851</v>
      </c>
      <c r="K213" s="4">
        <v>100.26782503881628</v>
      </c>
      <c r="L213" s="4">
        <v>113.8909317128156</v>
      </c>
      <c r="M213" s="4">
        <v>129.33131475765845</v>
      </c>
      <c r="N213" s="4">
        <v>146.76840445354858</v>
      </c>
      <c r="O213" s="11">
        <f t="shared" si="2"/>
        <v>0.10348910221879178</v>
      </c>
      <c r="P213"/>
      <c r="Q213" s="11"/>
    </row>
    <row r="214" spans="1:17" x14ac:dyDescent="0.35">
      <c r="A214" s="34" t="s">
        <v>72</v>
      </c>
      <c r="B214" s="4">
        <v>25.260596370812358</v>
      </c>
      <c r="C214" s="4">
        <v>28.7971359786278</v>
      </c>
      <c r="D214" s="4">
        <v>32.874186529904243</v>
      </c>
      <c r="E214" s="4">
        <v>37.55251984731624</v>
      </c>
      <c r="F214" s="4">
        <v>42.894905289464255</v>
      </c>
      <c r="G214" s="4">
        <v>48.99162173119251</v>
      </c>
      <c r="H214" s="4">
        <v>56.000296358093046</v>
      </c>
      <c r="I214" s="4">
        <v>64.116992620631194</v>
      </c>
      <c r="J214" s="4">
        <v>73.546497733145131</v>
      </c>
      <c r="K214" s="4">
        <v>84.472369343397929</v>
      </c>
      <c r="L214" s="4">
        <v>97.061476460110669</v>
      </c>
      <c r="M214" s="4">
        <v>111.44717837208319</v>
      </c>
      <c r="N214" s="4">
        <v>127.8483730728847</v>
      </c>
      <c r="O214" s="11">
        <f t="shared" ref="O214:O277" si="3">IFERROR(RATE(2035-2026,,-G214,N214),"")</f>
        <v>0.11246391386664566</v>
      </c>
      <c r="P214"/>
      <c r="Q214" s="11"/>
    </row>
    <row r="215" spans="1:17" x14ac:dyDescent="0.35">
      <c r="A215" s="34" t="s">
        <v>73</v>
      </c>
      <c r="B215" s="4">
        <v>23.25507537519475</v>
      </c>
      <c r="C215" s="4">
        <v>25.671567387133404</v>
      </c>
      <c r="D215" s="4">
        <v>28.380892194990054</v>
      </c>
      <c r="E215" s="4">
        <v>31.367100525174646</v>
      </c>
      <c r="F215" s="4">
        <v>34.629647988570078</v>
      </c>
      <c r="G215" s="4">
        <v>38.18846416789097</v>
      </c>
      <c r="H215" s="4">
        <v>42.144632728463655</v>
      </c>
      <c r="I215" s="4">
        <v>46.621139916898827</v>
      </c>
      <c r="J215" s="4">
        <v>51.728004263960763</v>
      </c>
      <c r="K215" s="4">
        <v>57.496476256542749</v>
      </c>
      <c r="L215" s="4">
        <v>63.94893671066778</v>
      </c>
      <c r="M215" s="4">
        <v>71.069066419870026</v>
      </c>
      <c r="N215" s="4">
        <v>78.902912829772205</v>
      </c>
      <c r="O215" s="11">
        <f t="shared" si="3"/>
        <v>8.3971519254063168E-2</v>
      </c>
      <c r="P215"/>
      <c r="Q215" s="11"/>
    </row>
    <row r="216" spans="1:17" x14ac:dyDescent="0.35">
      <c r="A216" s="34" t="s">
        <v>74</v>
      </c>
      <c r="B216" s="4">
        <v>27.308471887686366</v>
      </c>
      <c r="C216" s="4">
        <v>30.334951009751325</v>
      </c>
      <c r="D216" s="4">
        <v>33.760474592929818</v>
      </c>
      <c r="E216" s="4">
        <v>37.599377961034413</v>
      </c>
      <c r="F216" s="4">
        <v>41.859679205695677</v>
      </c>
      <c r="G216" s="4">
        <v>46.590294861169951</v>
      </c>
      <c r="H216" s="4">
        <v>51.895327827535041</v>
      </c>
      <c r="I216" s="4">
        <v>57.901775617041665</v>
      </c>
      <c r="J216" s="4">
        <v>64.722280044645828</v>
      </c>
      <c r="K216" s="4">
        <v>72.444749528298075</v>
      </c>
      <c r="L216" s="4">
        <v>81.075392448695965</v>
      </c>
      <c r="M216" s="4">
        <v>90.628286006076294</v>
      </c>
      <c r="N216" s="4">
        <v>101.22940796871022</v>
      </c>
      <c r="O216" s="11">
        <f t="shared" si="3"/>
        <v>9.0048177417154152E-2</v>
      </c>
      <c r="P216"/>
      <c r="Q216" s="11"/>
    </row>
    <row r="217" spans="1:17" x14ac:dyDescent="0.35">
      <c r="A217" s="34" t="s">
        <v>75</v>
      </c>
      <c r="B217" s="4">
        <v>21.329229048476677</v>
      </c>
      <c r="C217" s="4">
        <v>23.885049289668579</v>
      </c>
      <c r="D217" s="4">
        <v>26.782122685204506</v>
      </c>
      <c r="E217" s="4">
        <v>30.064343891499067</v>
      </c>
      <c r="F217" s="4">
        <v>33.762419624516717</v>
      </c>
      <c r="G217" s="4">
        <v>37.937823752133298</v>
      </c>
      <c r="H217" s="4">
        <v>42.668832586173572</v>
      </c>
      <c r="I217" s="4">
        <v>48.037483847732041</v>
      </c>
      <c r="J217" s="4">
        <v>54.125318567769355</v>
      </c>
      <c r="K217" s="4">
        <v>61.027575856836741</v>
      </c>
      <c r="L217" s="4">
        <v>68.804366736131485</v>
      </c>
      <c r="M217" s="4">
        <v>77.529076797514549</v>
      </c>
      <c r="N217" s="4">
        <v>87.303927859903922</v>
      </c>
      <c r="O217" s="11">
        <f t="shared" si="3"/>
        <v>9.7028549217667431E-2</v>
      </c>
      <c r="P217"/>
      <c r="Q217" s="11"/>
    </row>
    <row r="218" spans="1:17" x14ac:dyDescent="0.35">
      <c r="A218" s="3" t="s">
        <v>76</v>
      </c>
      <c r="O218" s="11" t="str">
        <f t="shared" si="3"/>
        <v/>
      </c>
      <c r="P218"/>
      <c r="Q218" s="11"/>
    </row>
    <row r="219" spans="1:17" x14ac:dyDescent="0.35">
      <c r="A219" s="34" t="s">
        <v>77</v>
      </c>
      <c r="B219" s="4">
        <v>27.148658123828838</v>
      </c>
      <c r="C219" s="4">
        <v>29.988405309717024</v>
      </c>
      <c r="D219" s="4">
        <v>33.153097401171856</v>
      </c>
      <c r="E219" s="4">
        <v>36.675304095814923</v>
      </c>
      <c r="F219" s="4">
        <v>40.589054485478599</v>
      </c>
      <c r="G219" s="4">
        <v>44.953989310737484</v>
      </c>
      <c r="H219" s="4">
        <v>49.85668208602074</v>
      </c>
      <c r="I219" s="4">
        <v>55.37529945598164</v>
      </c>
      <c r="J219" s="4">
        <v>61.570561946419069</v>
      </c>
      <c r="K219" s="4">
        <v>68.500064793499007</v>
      </c>
      <c r="L219" s="4">
        <v>76.213807216051407</v>
      </c>
      <c r="M219" s="4">
        <v>84.758964453184831</v>
      </c>
      <c r="N219" s="4">
        <v>94.192781343738147</v>
      </c>
      <c r="O219" s="11">
        <f t="shared" si="3"/>
        <v>8.5661347142377747E-2</v>
      </c>
      <c r="P219"/>
      <c r="Q219" s="11"/>
    </row>
    <row r="220" spans="1:17" x14ac:dyDescent="0.35">
      <c r="A220" s="34" t="s">
        <v>78</v>
      </c>
      <c r="B220" s="4">
        <v>25.885244886905628</v>
      </c>
      <c r="C220" s="4">
        <v>28.222038612625767</v>
      </c>
      <c r="D220" s="4">
        <v>30.764659719878644</v>
      </c>
      <c r="E220" s="4">
        <v>33.543056769578691</v>
      </c>
      <c r="F220" s="4">
        <v>36.584434753392451</v>
      </c>
      <c r="G220" s="4">
        <v>39.951218594115161</v>
      </c>
      <c r="H220" s="4">
        <v>43.705556100048184</v>
      </c>
      <c r="I220" s="4">
        <v>47.888096811981683</v>
      </c>
      <c r="J220" s="4">
        <v>52.507605717283084</v>
      </c>
      <c r="K220" s="4">
        <v>57.598800154704165</v>
      </c>
      <c r="L220" s="4">
        <v>63.202864646621535</v>
      </c>
      <c r="M220" s="4">
        <v>69.34585367782671</v>
      </c>
      <c r="N220" s="4">
        <v>76.046130685241721</v>
      </c>
      <c r="O220" s="11">
        <f t="shared" si="3"/>
        <v>7.4139748345629003E-2</v>
      </c>
      <c r="P220"/>
      <c r="Q220" s="11"/>
    </row>
    <row r="221" spans="1:17" x14ac:dyDescent="0.35">
      <c r="A221" s="34" t="s">
        <v>79</v>
      </c>
      <c r="B221" s="4">
        <v>15.112608516738156</v>
      </c>
      <c r="C221" s="4">
        <v>17.016102668262644</v>
      </c>
      <c r="D221" s="4">
        <v>19.169723691196765</v>
      </c>
      <c r="E221" s="4">
        <v>21.618142998070873</v>
      </c>
      <c r="F221" s="4">
        <v>24.395913516789506</v>
      </c>
      <c r="G221" s="4">
        <v>27.557870768643376</v>
      </c>
      <c r="H221" s="4">
        <v>31.163740844979312</v>
      </c>
      <c r="I221" s="4">
        <v>35.273073884675519</v>
      </c>
      <c r="J221" s="4">
        <v>39.943738771275974</v>
      </c>
      <c r="K221" s="4">
        <v>45.265960288943397</v>
      </c>
      <c r="L221" s="4">
        <v>51.321692908067817</v>
      </c>
      <c r="M221" s="4">
        <v>58.177607459302301</v>
      </c>
      <c r="N221" s="4">
        <v>65.909962058178678</v>
      </c>
      <c r="O221" s="11">
        <f t="shared" si="3"/>
        <v>0.10173812462082885</v>
      </c>
      <c r="P221"/>
      <c r="Q221" s="11"/>
    </row>
    <row r="222" spans="1:17" x14ac:dyDescent="0.35">
      <c r="A222" s="34" t="s">
        <v>80</v>
      </c>
      <c r="B222" s="4">
        <v>12.269815877816516</v>
      </c>
      <c r="C222" s="4">
        <v>13.254957937092415</v>
      </c>
      <c r="D222" s="4">
        <v>14.328860274654101</v>
      </c>
      <c r="E222" s="4">
        <v>15.509568701108813</v>
      </c>
      <c r="F222" s="4">
        <v>16.807208015004502</v>
      </c>
      <c r="G222" s="4">
        <v>18.236801488375477</v>
      </c>
      <c r="H222" s="4">
        <v>19.814741704779866</v>
      </c>
      <c r="I222" s="4">
        <v>21.551796625921497</v>
      </c>
      <c r="J222" s="4">
        <v>23.453378588961993</v>
      </c>
      <c r="K222" s="4">
        <v>25.541768581486579</v>
      </c>
      <c r="L222" s="4">
        <v>27.828315821561571</v>
      </c>
      <c r="M222" s="4">
        <v>30.310948310977146</v>
      </c>
      <c r="N222" s="4">
        <v>32.991549788610541</v>
      </c>
      <c r="O222" s="11">
        <f t="shared" si="3"/>
        <v>6.808546531949497E-2</v>
      </c>
      <c r="P222"/>
      <c r="Q222" s="11"/>
    </row>
    <row r="223" spans="1:17" x14ac:dyDescent="0.35">
      <c r="A223" s="34" t="s">
        <v>81</v>
      </c>
      <c r="B223" s="4">
        <v>13.974285319996978</v>
      </c>
      <c r="C223" s="4">
        <v>15.336670287877894</v>
      </c>
      <c r="D223" s="4">
        <v>16.840266978289254</v>
      </c>
      <c r="E223" s="4">
        <v>18.485448767131448</v>
      </c>
      <c r="F223" s="4">
        <v>20.278974507134205</v>
      </c>
      <c r="G223" s="4">
        <v>22.260838640646703</v>
      </c>
      <c r="H223" s="4">
        <v>24.469747873153143</v>
      </c>
      <c r="I223" s="4">
        <v>26.964912520333908</v>
      </c>
      <c r="J223" s="4">
        <v>29.778245590309744</v>
      </c>
      <c r="K223" s="4">
        <v>32.900967386820149</v>
      </c>
      <c r="L223" s="4">
        <v>36.371994024460477</v>
      </c>
      <c r="M223" s="4">
        <v>40.193050930502224</v>
      </c>
      <c r="N223" s="4">
        <v>44.373845081152055</v>
      </c>
      <c r="O223" s="11">
        <f t="shared" si="3"/>
        <v>7.9660673034632409E-2</v>
      </c>
      <c r="P223"/>
      <c r="Q223" s="11"/>
    </row>
    <row r="224" spans="1:17" x14ac:dyDescent="0.35">
      <c r="A224" s="2" t="s">
        <v>84</v>
      </c>
      <c r="O224" s="11" t="str">
        <f t="shared" si="3"/>
        <v/>
      </c>
      <c r="P224"/>
      <c r="Q224" s="11"/>
    </row>
    <row r="225" spans="1:17" x14ac:dyDescent="0.35">
      <c r="A225" s="3" t="s">
        <v>85</v>
      </c>
      <c r="B225" s="4">
        <v>88.514543928750342</v>
      </c>
      <c r="C225" s="4">
        <v>95.010468416869088</v>
      </c>
      <c r="D225" s="4">
        <v>102.15462351867041</v>
      </c>
      <c r="E225" s="4">
        <v>109.91478349331901</v>
      </c>
      <c r="F225" s="4">
        <v>118.21606907885308</v>
      </c>
      <c r="G225" s="4">
        <v>127.21055517025255</v>
      </c>
      <c r="H225" s="4">
        <v>137.01776480031288</v>
      </c>
      <c r="I225" s="4">
        <v>147.85607290112517</v>
      </c>
      <c r="J225" s="4">
        <v>159.8015540038121</v>
      </c>
      <c r="K225" s="4">
        <v>172.84064310596685</v>
      </c>
      <c r="L225" s="4">
        <v>186.89226229506798</v>
      </c>
      <c r="M225" s="4">
        <v>201.85025917166746</v>
      </c>
      <c r="N225" s="4">
        <v>217.83196881807882</v>
      </c>
      <c r="O225" s="11">
        <f t="shared" si="3"/>
        <v>6.158649602360608E-2</v>
      </c>
      <c r="P225"/>
      <c r="Q225" s="11"/>
    </row>
    <row r="226" spans="1:17" x14ac:dyDescent="0.35">
      <c r="A226" s="3" t="s">
        <v>86</v>
      </c>
      <c r="B226" s="4">
        <v>254.14209409188243</v>
      </c>
      <c r="C226" s="4">
        <v>273.78682084424582</v>
      </c>
      <c r="D226" s="4">
        <v>295.35886465055449</v>
      </c>
      <c r="E226" s="4">
        <v>318.994258786405</v>
      </c>
      <c r="F226" s="4">
        <v>344.72346227578913</v>
      </c>
      <c r="G226" s="4">
        <v>372.85493392446602</v>
      </c>
      <c r="H226" s="4">
        <v>403.76543348428595</v>
      </c>
      <c r="I226" s="4">
        <v>437.94057969297694</v>
      </c>
      <c r="J226" s="4">
        <v>475.58412580325933</v>
      </c>
      <c r="K226" s="4">
        <v>516.86406738379242</v>
      </c>
      <c r="L226" s="4">
        <v>561.64781340930892</v>
      </c>
      <c r="M226" s="4">
        <v>609.65291419831351</v>
      </c>
      <c r="N226" s="4">
        <v>661.0955618164769</v>
      </c>
      <c r="O226" s="11">
        <f t="shared" si="3"/>
        <v>6.5702632505186806E-2</v>
      </c>
      <c r="P226"/>
      <c r="Q226" s="11"/>
    </row>
    <row r="227" spans="1:17" x14ac:dyDescent="0.35">
      <c r="A227" s="3" t="s">
        <v>87</v>
      </c>
      <c r="B227" s="4">
        <v>450.7304158299163</v>
      </c>
      <c r="C227" s="4">
        <v>496.82092021316049</v>
      </c>
      <c r="D227" s="4">
        <v>548.88117904223498</v>
      </c>
      <c r="E227" s="4">
        <v>607.76601848189307</v>
      </c>
      <c r="F227" s="4">
        <v>673.91012324320741</v>
      </c>
      <c r="G227" s="4">
        <v>747.52997717151015</v>
      </c>
      <c r="H227" s="4">
        <v>829.7522920107383</v>
      </c>
      <c r="I227" s="4">
        <v>922.05160534871891</v>
      </c>
      <c r="J227" s="4">
        <v>1025.9124337066937</v>
      </c>
      <c r="K227" s="4">
        <v>1143.2104147652449</v>
      </c>
      <c r="L227" s="4">
        <v>1273.8669892111388</v>
      </c>
      <c r="M227" s="4">
        <v>1417.3355214517767</v>
      </c>
      <c r="N227" s="4">
        <v>1575.0808708013824</v>
      </c>
      <c r="O227" s="11">
        <f t="shared" si="3"/>
        <v>8.6335082101595642E-2</v>
      </c>
      <c r="P227"/>
      <c r="Q227" s="11"/>
    </row>
    <row r="228" spans="1:17" x14ac:dyDescent="0.35">
      <c r="A228" s="3" t="s">
        <v>88</v>
      </c>
      <c r="B228" s="4">
        <v>307.38602262159566</v>
      </c>
      <c r="C228" s="4">
        <v>337.69166945507311</v>
      </c>
      <c r="D228" s="4">
        <v>370.84443776287264</v>
      </c>
      <c r="E228" s="4">
        <v>407.46521134075266</v>
      </c>
      <c r="F228" s="4">
        <v>448.22383848038953</v>
      </c>
      <c r="G228" s="4">
        <v>493.88112334650003</v>
      </c>
      <c r="H228" s="4">
        <v>545.31208900026058</v>
      </c>
      <c r="I228" s="4">
        <v>602.82651745984754</v>
      </c>
      <c r="J228" s="4">
        <v>666.55772415093566</v>
      </c>
      <c r="K228" s="4">
        <v>737.20973813623061</v>
      </c>
      <c r="L228" s="4">
        <v>815.43728254974087</v>
      </c>
      <c r="M228" s="4">
        <v>902.00241553105877</v>
      </c>
      <c r="N228" s="4">
        <v>997.23296575249617</v>
      </c>
      <c r="O228" s="11">
        <f t="shared" si="3"/>
        <v>8.1205495321941518E-2</v>
      </c>
      <c r="P228"/>
      <c r="Q228" s="11"/>
    </row>
    <row r="229" spans="1:17" x14ac:dyDescent="0.35">
      <c r="A229" s="3" t="s">
        <v>89</v>
      </c>
      <c r="B229" s="4">
        <v>89.657480707813448</v>
      </c>
      <c r="C229" s="4">
        <v>97.850752806063568</v>
      </c>
      <c r="D229" s="4">
        <v>106.93366213534155</v>
      </c>
      <c r="E229" s="4">
        <v>116.91093121335744</v>
      </c>
      <c r="F229" s="4">
        <v>127.79447155366215</v>
      </c>
      <c r="G229" s="4">
        <v>139.76207129935358</v>
      </c>
      <c r="H229" s="4">
        <v>153.01760284720956</v>
      </c>
      <c r="I229" s="4">
        <v>167.84833344853408</v>
      </c>
      <c r="J229" s="4">
        <v>184.43218763094922</v>
      </c>
      <c r="K229" s="4">
        <v>202.75293066239885</v>
      </c>
      <c r="L229" s="4">
        <v>222.91428198145991</v>
      </c>
      <c r="M229" s="4">
        <v>244.93556151028164</v>
      </c>
      <c r="N229" s="4">
        <v>268.88953260840628</v>
      </c>
      <c r="O229" s="11">
        <f t="shared" si="3"/>
        <v>7.5414933962578506E-2</v>
      </c>
      <c r="P229"/>
      <c r="Q229" s="11"/>
    </row>
    <row r="230" spans="1:17" x14ac:dyDescent="0.35">
      <c r="A230" s="3" t="s">
        <v>90</v>
      </c>
      <c r="B230" s="4">
        <v>186.50437856980042</v>
      </c>
      <c r="C230" s="4">
        <v>202.23213933246936</v>
      </c>
      <c r="D230" s="4">
        <v>219.56106483456369</v>
      </c>
      <c r="E230" s="4">
        <v>238.67855202981704</v>
      </c>
      <c r="F230" s="4">
        <v>259.69172456809849</v>
      </c>
      <c r="G230" s="4">
        <v>282.89727429689526</v>
      </c>
      <c r="H230" s="4">
        <v>308.56533074683608</v>
      </c>
      <c r="I230" s="4">
        <v>336.94486689972803</v>
      </c>
      <c r="J230" s="4">
        <v>368.18414695883968</v>
      </c>
      <c r="K230" s="4">
        <v>402.4108713512228</v>
      </c>
      <c r="L230" s="4">
        <v>439.72207271835583</v>
      </c>
      <c r="M230" s="4">
        <v>480.25593923692486</v>
      </c>
      <c r="N230" s="4">
        <v>524.13494049205883</v>
      </c>
      <c r="O230" s="11">
        <f t="shared" si="3"/>
        <v>7.092029731378946E-2</v>
      </c>
      <c r="P230"/>
      <c r="Q230" s="11"/>
    </row>
    <row r="231" spans="1:17" x14ac:dyDescent="0.35">
      <c r="A231" s="2" t="s">
        <v>91</v>
      </c>
      <c r="O231" s="11" t="str">
        <f t="shared" si="3"/>
        <v/>
      </c>
      <c r="P231"/>
      <c r="Q231" s="11"/>
    </row>
    <row r="232" spans="1:17" x14ac:dyDescent="0.35">
      <c r="A232" s="3" t="s">
        <v>92</v>
      </c>
      <c r="B232" s="4">
        <v>553.42707743130791</v>
      </c>
      <c r="C232" s="4">
        <v>610.17429488686582</v>
      </c>
      <c r="D232" s="4">
        <v>672.3444775047542</v>
      </c>
      <c r="E232" s="4">
        <v>740.71624461037811</v>
      </c>
      <c r="F232" s="4">
        <v>816.46441020997725</v>
      </c>
      <c r="G232" s="4">
        <v>901.16708019739872</v>
      </c>
      <c r="H232" s="4">
        <v>996.85512012054471</v>
      </c>
      <c r="I232" s="4">
        <v>1104.6206250005853</v>
      </c>
      <c r="J232" s="4">
        <v>1224.8826945445778</v>
      </c>
      <c r="K232" s="4">
        <v>1358.7071978745128</v>
      </c>
      <c r="L232" s="4">
        <v>1507.5626310719447</v>
      </c>
      <c r="M232" s="4">
        <v>1672.8417464810511</v>
      </c>
      <c r="N232" s="4">
        <v>1855.2851156042796</v>
      </c>
      <c r="O232" s="11">
        <f t="shared" si="3"/>
        <v>8.354022356273709E-2</v>
      </c>
      <c r="P232"/>
      <c r="Q232" s="11"/>
    </row>
    <row r="233" spans="1:17" x14ac:dyDescent="0.35">
      <c r="A233" s="3" t="s">
        <v>93</v>
      </c>
      <c r="B233" s="4">
        <v>823.50785831845064</v>
      </c>
      <c r="C233" s="4">
        <v>893.2184761810156</v>
      </c>
      <c r="D233" s="4">
        <v>971.38935443948378</v>
      </c>
      <c r="E233" s="4">
        <v>1059.0135107351662</v>
      </c>
      <c r="F233" s="4">
        <v>1156.0952789900225</v>
      </c>
      <c r="G233" s="4">
        <v>1262.9688550115789</v>
      </c>
      <c r="H233" s="4">
        <v>1380.5753927690985</v>
      </c>
      <c r="I233" s="4">
        <v>1510.8473507503452</v>
      </c>
      <c r="J233" s="4">
        <v>1655.589477709912</v>
      </c>
      <c r="K233" s="4">
        <v>1816.5814675303436</v>
      </c>
      <c r="L233" s="4">
        <v>1992.9180710931278</v>
      </c>
      <c r="M233" s="4">
        <v>2183.1908646189718</v>
      </c>
      <c r="N233" s="4">
        <v>2388.9807246846194</v>
      </c>
      <c r="O233" s="11">
        <f t="shared" si="3"/>
        <v>7.339057673096723E-2</v>
      </c>
      <c r="P233"/>
      <c r="Q233" s="11"/>
    </row>
    <row r="234" spans="1:17" x14ac:dyDescent="0.35">
      <c r="A234" s="2" t="s">
        <v>94</v>
      </c>
      <c r="O234" s="11" t="str">
        <f t="shared" si="3"/>
        <v/>
      </c>
      <c r="P234"/>
      <c r="Q234" s="11"/>
    </row>
    <row r="235" spans="1:17" x14ac:dyDescent="0.35">
      <c r="A235" s="3" t="s">
        <v>48</v>
      </c>
      <c r="B235" s="4">
        <v>127.77928518952407</v>
      </c>
      <c r="C235" s="4">
        <v>140.47555234796894</v>
      </c>
      <c r="D235" s="4">
        <v>154.66905107332784</v>
      </c>
      <c r="E235" s="4">
        <v>170.44516330845624</v>
      </c>
      <c r="F235" s="4">
        <v>187.88041168443249</v>
      </c>
      <c r="G235" s="4">
        <v>207.22161673213114</v>
      </c>
      <c r="H235" s="4">
        <v>228.81360770111775</v>
      </c>
      <c r="I235" s="4">
        <v>253.03851623264427</v>
      </c>
      <c r="J235" s="4">
        <v>280.1782926804301</v>
      </c>
      <c r="K235" s="4">
        <v>310.40728344927993</v>
      </c>
      <c r="L235" s="4">
        <v>343.78660382251996</v>
      </c>
      <c r="M235" s="4">
        <v>380.4320610706302</v>
      </c>
      <c r="N235" s="4">
        <v>420.64229674145719</v>
      </c>
      <c r="O235" s="11">
        <f t="shared" si="3"/>
        <v>8.18429247740802E-2</v>
      </c>
      <c r="P235"/>
      <c r="Q235" s="11"/>
    </row>
    <row r="236" spans="1:17" x14ac:dyDescent="0.35">
      <c r="A236" s="3" t="s">
        <v>95</v>
      </c>
      <c r="B236" s="4">
        <v>113.49546659745734</v>
      </c>
      <c r="C236" s="4">
        <v>126.67091899671192</v>
      </c>
      <c r="D236" s="4">
        <v>141.50615528603004</v>
      </c>
      <c r="E236" s="4">
        <v>158.18982702868158</v>
      </c>
      <c r="F236" s="4">
        <v>176.8521222354519</v>
      </c>
      <c r="G236" s="4">
        <v>197.84616879988295</v>
      </c>
      <c r="H236" s="4">
        <v>221.54109940609342</v>
      </c>
      <c r="I236" s="4">
        <v>248.46772788328505</v>
      </c>
      <c r="J236" s="4">
        <v>279.0343598618374</v>
      </c>
      <c r="K236" s="4">
        <v>313.59860652363244</v>
      </c>
      <c r="L236" s="4">
        <v>352.5665558489568</v>
      </c>
      <c r="M236" s="4">
        <v>396.0946339388355</v>
      </c>
      <c r="N236" s="4">
        <v>444.58470044422387</v>
      </c>
      <c r="O236" s="11">
        <f t="shared" si="3"/>
        <v>9.4131828804232404E-2</v>
      </c>
      <c r="P236"/>
      <c r="Q236" s="11"/>
    </row>
    <row r="237" spans="1:17" x14ac:dyDescent="0.35">
      <c r="A237" s="3" t="s">
        <v>96</v>
      </c>
      <c r="B237" s="4">
        <v>215.79680742246296</v>
      </c>
      <c r="C237" s="4">
        <v>236.29065162039166</v>
      </c>
      <c r="D237" s="4">
        <v>260.29257625232162</v>
      </c>
      <c r="E237" s="4">
        <v>288.70054104674068</v>
      </c>
      <c r="F237" s="4">
        <v>321.52394797743193</v>
      </c>
      <c r="G237" s="4">
        <v>358.63778291117933</v>
      </c>
      <c r="H237" s="4">
        <v>399.69481123938954</v>
      </c>
      <c r="I237" s="4">
        <v>445.02244119704676</v>
      </c>
      <c r="J237" s="4">
        <v>495.17905038722455</v>
      </c>
      <c r="K237" s="4">
        <v>551.34031683225498</v>
      </c>
      <c r="L237" s="4">
        <v>612.96975062983756</v>
      </c>
      <c r="M237" s="4">
        <v>679.66305985438123</v>
      </c>
      <c r="N237" s="4">
        <v>752.34772623345464</v>
      </c>
      <c r="O237" s="11">
        <f t="shared" si="3"/>
        <v>8.5803899076706602E-2</v>
      </c>
      <c r="P237"/>
      <c r="Q237" s="11"/>
    </row>
    <row r="238" spans="1:17" x14ac:dyDescent="0.35">
      <c r="A238" s="3" t="s">
        <v>97</v>
      </c>
      <c r="B238" s="4">
        <v>162.84339305856824</v>
      </c>
      <c r="C238" s="4">
        <v>177.0401792292395</v>
      </c>
      <c r="D238" s="4">
        <v>192.31954510773119</v>
      </c>
      <c r="E238" s="4">
        <v>208.97070188134032</v>
      </c>
      <c r="F238" s="4">
        <v>227.38207808084852</v>
      </c>
      <c r="G238" s="4">
        <v>248.04065150544955</v>
      </c>
      <c r="H238" s="4">
        <v>271.32155847646459</v>
      </c>
      <c r="I238" s="4">
        <v>297.28326902492216</v>
      </c>
      <c r="J238" s="4">
        <v>325.70794417459661</v>
      </c>
      <c r="K238" s="4">
        <v>356.76803119339428</v>
      </c>
      <c r="L238" s="4">
        <v>390.67902241402743</v>
      </c>
      <c r="M238" s="4">
        <v>427.71777030461726</v>
      </c>
      <c r="N238" s="4">
        <v>468.00658703718415</v>
      </c>
      <c r="O238" s="11">
        <f t="shared" si="3"/>
        <v>7.3091035721720848E-2</v>
      </c>
      <c r="P238"/>
      <c r="Q238" s="11"/>
    </row>
    <row r="239" spans="1:17" x14ac:dyDescent="0.35">
      <c r="A239" s="3" t="s">
        <v>98</v>
      </c>
      <c r="B239" s="4">
        <v>462.50243572109116</v>
      </c>
      <c r="C239" s="4">
        <v>506.64751410727774</v>
      </c>
      <c r="D239" s="4">
        <v>555.38182786868583</v>
      </c>
      <c r="E239" s="4">
        <v>608.61113213536248</v>
      </c>
      <c r="F239" s="4">
        <v>666.5366576056042</v>
      </c>
      <c r="G239" s="4">
        <v>729.71495784625915</v>
      </c>
      <c r="H239" s="4">
        <v>799.88104676991122</v>
      </c>
      <c r="I239" s="4">
        <v>878.68173659892864</v>
      </c>
      <c r="J239" s="4">
        <v>967.41614469523824</v>
      </c>
      <c r="K239" s="4">
        <v>1066.6311607468663</v>
      </c>
      <c r="L239" s="4">
        <v>1176.5429756545864</v>
      </c>
      <c r="M239" s="4">
        <v>1296.9812596361655</v>
      </c>
      <c r="N239" s="4">
        <v>1428.5878052691021</v>
      </c>
      <c r="O239" s="11">
        <f t="shared" si="3"/>
        <v>7.7499498411383524E-2</v>
      </c>
      <c r="P239"/>
      <c r="Q239" s="11"/>
    </row>
    <row r="240" spans="1:17" x14ac:dyDescent="0.35">
      <c r="A240" s="3" t="s">
        <v>99</v>
      </c>
      <c r="B240" s="4">
        <v>145.25875287678207</v>
      </c>
      <c r="C240" s="4">
        <v>155.92379412304783</v>
      </c>
      <c r="D240" s="4">
        <v>167.16926327070161</v>
      </c>
      <c r="E240" s="4">
        <v>179.33846847273085</v>
      </c>
      <c r="F240" s="4">
        <v>192.73095574913452</v>
      </c>
      <c r="G240" s="4">
        <v>207.63670513445132</v>
      </c>
      <c r="H240" s="4">
        <v>224.23660086486822</v>
      </c>
      <c r="I240" s="4">
        <v>242.40096217906148</v>
      </c>
      <c r="J240" s="4">
        <v>261.91804418131693</v>
      </c>
      <c r="K240" s="4">
        <v>283.05503577464731</v>
      </c>
      <c r="L240" s="4">
        <v>306.05070534245908</v>
      </c>
      <c r="M240" s="4">
        <v>331.03787584907292</v>
      </c>
      <c r="N240" s="4">
        <v>357.91440209743206</v>
      </c>
      <c r="O240" s="11">
        <f t="shared" si="3"/>
        <v>6.2368059684690773E-2</v>
      </c>
      <c r="P240"/>
      <c r="Q240" s="11"/>
    </row>
    <row r="241" spans="1:17" x14ac:dyDescent="0.35">
      <c r="A241" s="3" t="s">
        <v>100</v>
      </c>
      <c r="B241" s="4">
        <v>149.25879488387284</v>
      </c>
      <c r="C241" s="4">
        <v>160.3441606432437</v>
      </c>
      <c r="D241" s="4">
        <v>172.39541308543969</v>
      </c>
      <c r="E241" s="4">
        <v>185.47392147223192</v>
      </c>
      <c r="F241" s="4">
        <v>199.65351586709653</v>
      </c>
      <c r="G241" s="4">
        <v>215.03805227962417</v>
      </c>
      <c r="H241" s="4">
        <v>231.9417884317985</v>
      </c>
      <c r="I241" s="4">
        <v>250.57332263504244</v>
      </c>
      <c r="J241" s="4">
        <v>271.0383362738458</v>
      </c>
      <c r="K241" s="4">
        <v>293.48823088478133</v>
      </c>
      <c r="L241" s="4">
        <v>317.88508845268535</v>
      </c>
      <c r="M241" s="4">
        <v>344.10595044632083</v>
      </c>
      <c r="N241" s="4">
        <v>372.18232246604481</v>
      </c>
      <c r="O241" s="11">
        <f t="shared" si="3"/>
        <v>6.2847996473546677E-2</v>
      </c>
      <c r="P241"/>
      <c r="Q241" s="11"/>
    </row>
    <row r="242" spans="1:17" x14ac:dyDescent="0.35">
      <c r="A242" s="1" t="s">
        <v>15</v>
      </c>
      <c r="O242" s="11" t="str">
        <f t="shared" si="3"/>
        <v/>
      </c>
      <c r="P242"/>
      <c r="Q242" s="11"/>
    </row>
    <row r="243" spans="1:17" x14ac:dyDescent="0.35">
      <c r="A243" s="2" t="s">
        <v>54</v>
      </c>
      <c r="O243" s="11" t="str">
        <f t="shared" si="3"/>
        <v/>
      </c>
      <c r="P243"/>
      <c r="Q243" s="11"/>
    </row>
    <row r="244" spans="1:17" x14ac:dyDescent="0.35">
      <c r="A244" s="3" t="s">
        <v>55</v>
      </c>
      <c r="B244" s="4">
        <v>28.858942460460185</v>
      </c>
      <c r="C244" s="4">
        <v>31.475048743714481</v>
      </c>
      <c r="D244" s="4">
        <v>34.385367286200143</v>
      </c>
      <c r="E244" s="4">
        <v>37.591973199228704</v>
      </c>
      <c r="F244" s="4">
        <v>41.089580494931866</v>
      </c>
      <c r="G244" s="4">
        <v>44.917680648906902</v>
      </c>
      <c r="H244" s="4">
        <v>49.143876467947806</v>
      </c>
      <c r="I244" s="4">
        <v>53.850047125079271</v>
      </c>
      <c r="J244" s="4">
        <v>59.087280906819757</v>
      </c>
      <c r="K244" s="4">
        <v>64.88768087909321</v>
      </c>
      <c r="L244" s="4">
        <v>71.215821932180802</v>
      </c>
      <c r="M244" s="4">
        <v>78.049360332375727</v>
      </c>
      <c r="N244" s="4">
        <v>85.45576289769815</v>
      </c>
      <c r="O244" s="11">
        <f t="shared" si="3"/>
        <v>7.407845124396957E-2</v>
      </c>
      <c r="P244"/>
      <c r="Q244" s="11"/>
    </row>
    <row r="245" spans="1:17" x14ac:dyDescent="0.35">
      <c r="A245" s="3" t="s">
        <v>56</v>
      </c>
      <c r="B245" s="4">
        <v>100.14406538849033</v>
      </c>
      <c r="C245" s="4">
        <v>106.64748217112104</v>
      </c>
      <c r="D245" s="4">
        <v>113.54319289057537</v>
      </c>
      <c r="E245" s="4">
        <v>120.88553425688221</v>
      </c>
      <c r="F245" s="4">
        <v>128.79976675120008</v>
      </c>
      <c r="G245" s="4">
        <v>137.39166515572254</v>
      </c>
      <c r="H245" s="4">
        <v>146.8625688033392</v>
      </c>
      <c r="I245" s="4">
        <v>157.21457226488923</v>
      </c>
      <c r="J245" s="4">
        <v>168.39166697388259</v>
      </c>
      <c r="K245" s="4">
        <v>180.38763901196626</v>
      </c>
      <c r="L245" s="4">
        <v>193.18736319443963</v>
      </c>
      <c r="M245" s="4">
        <v>206.84104213242725</v>
      </c>
      <c r="N245" s="4">
        <v>221.29141984432718</v>
      </c>
      <c r="O245" s="11">
        <f t="shared" si="3"/>
        <v>5.4388026187473092E-2</v>
      </c>
      <c r="P245"/>
      <c r="Q245" s="11"/>
    </row>
    <row r="246" spans="1:17" x14ac:dyDescent="0.35">
      <c r="A246" s="3" t="s">
        <v>57</v>
      </c>
      <c r="B246" s="4">
        <v>194.62894294140372</v>
      </c>
      <c r="C246" s="4">
        <v>205.09947636717069</v>
      </c>
      <c r="D246" s="4">
        <v>216.49978478141537</v>
      </c>
      <c r="E246" s="4">
        <v>228.68007919331552</v>
      </c>
      <c r="F246" s="4">
        <v>241.60489255386767</v>
      </c>
      <c r="G246" s="4">
        <v>255.20052413529478</v>
      </c>
      <c r="H246" s="4">
        <v>269.86125624046673</v>
      </c>
      <c r="I246" s="4">
        <v>285.84061219181746</v>
      </c>
      <c r="J246" s="4">
        <v>303.29397873356675</v>
      </c>
      <c r="K246" s="4">
        <v>322.16018152440085</v>
      </c>
      <c r="L246" s="4">
        <v>342.04297477094025</v>
      </c>
      <c r="M246" s="4">
        <v>362.68465162461064</v>
      </c>
      <c r="N246" s="4">
        <v>384.12313731605462</v>
      </c>
      <c r="O246" s="11">
        <f t="shared" si="3"/>
        <v>4.6482814268406274E-2</v>
      </c>
      <c r="P246"/>
      <c r="Q246" s="11"/>
    </row>
    <row r="247" spans="1:17" x14ac:dyDescent="0.35">
      <c r="A247" s="2" t="s">
        <v>30</v>
      </c>
      <c r="O247" s="11" t="str">
        <f t="shared" si="3"/>
        <v/>
      </c>
      <c r="P247"/>
      <c r="Q247" s="11"/>
    </row>
    <row r="248" spans="1:17" x14ac:dyDescent="0.35">
      <c r="A248" s="3" t="s">
        <v>23</v>
      </c>
      <c r="B248" s="4">
        <v>132.79328193822806</v>
      </c>
      <c r="C248" s="4">
        <v>141.99754609932307</v>
      </c>
      <c r="D248" s="4">
        <v>152.09122419904293</v>
      </c>
      <c r="E248" s="4">
        <v>162.96296032855554</v>
      </c>
      <c r="F248" s="4">
        <v>174.55585652315983</v>
      </c>
      <c r="G248" s="4">
        <v>186.80442078514778</v>
      </c>
      <c r="H248" s="4">
        <v>200.06792697050122</v>
      </c>
      <c r="I248" s="4">
        <v>214.60474353875873</v>
      </c>
      <c r="J248" s="4">
        <v>230.6642238175416</v>
      </c>
      <c r="K248" s="4">
        <v>248.29236760959981</v>
      </c>
      <c r="L248" s="4">
        <v>267.26121295227699</v>
      </c>
      <c r="M248" s="4">
        <v>287.41313623158538</v>
      </c>
      <c r="N248" s="4">
        <v>308.78858248337332</v>
      </c>
      <c r="O248" s="11">
        <f t="shared" si="3"/>
        <v>5.7432553022540203E-2</v>
      </c>
      <c r="P248"/>
      <c r="Q248" s="11"/>
    </row>
    <row r="249" spans="1:17" x14ac:dyDescent="0.35">
      <c r="A249" s="3" t="s">
        <v>24</v>
      </c>
      <c r="B249" s="4">
        <v>33.836298896698736</v>
      </c>
      <c r="C249" s="4">
        <v>35.452276022283385</v>
      </c>
      <c r="D249" s="4">
        <v>37.149389718445335</v>
      </c>
      <c r="E249" s="4">
        <v>38.906964607296004</v>
      </c>
      <c r="F249" s="4">
        <v>40.742003940594024</v>
      </c>
      <c r="G249" s="4">
        <v>42.656608306896331</v>
      </c>
      <c r="H249" s="4">
        <v>44.742022467248617</v>
      </c>
      <c r="I249" s="4">
        <v>47.022438162711033</v>
      </c>
      <c r="J249" s="4">
        <v>49.503340589288939</v>
      </c>
      <c r="K249" s="4">
        <v>52.176017481827991</v>
      </c>
      <c r="L249" s="4">
        <v>55.001363356785703</v>
      </c>
      <c r="M249" s="4">
        <v>57.954077256838659</v>
      </c>
      <c r="N249" s="4">
        <v>61.016215568201041</v>
      </c>
      <c r="O249" s="11">
        <f t="shared" si="3"/>
        <v>4.057458935713186E-2</v>
      </c>
      <c r="P249"/>
      <c r="Q249" s="11"/>
    </row>
    <row r="250" spans="1:17" x14ac:dyDescent="0.35">
      <c r="A250" s="3" t="s">
        <v>25</v>
      </c>
      <c r="B250" s="4">
        <v>87.590193909098204</v>
      </c>
      <c r="C250" s="4">
        <v>92.107905709355379</v>
      </c>
      <c r="D250" s="4">
        <v>97.032448636991944</v>
      </c>
      <c r="E250" s="4">
        <v>102.34000145836943</v>
      </c>
      <c r="F250" s="4">
        <v>108.0583873714799</v>
      </c>
      <c r="G250" s="4">
        <v>114.23247690669083</v>
      </c>
      <c r="H250" s="4">
        <v>120.97289381627368</v>
      </c>
      <c r="I250" s="4">
        <v>128.3661379130719</v>
      </c>
      <c r="J250" s="4">
        <v>136.37804780868416</v>
      </c>
      <c r="K250" s="4">
        <v>144.9444611948602</v>
      </c>
      <c r="L250" s="4">
        <v>153.87355398716574</v>
      </c>
      <c r="M250" s="4">
        <v>163.05788154775547</v>
      </c>
      <c r="N250" s="4">
        <v>172.56907192728755</v>
      </c>
      <c r="O250" s="11">
        <f t="shared" si="3"/>
        <v>4.6907116989063767E-2</v>
      </c>
      <c r="P250"/>
      <c r="Q250" s="11"/>
    </row>
    <row r="251" spans="1:17" x14ac:dyDescent="0.35">
      <c r="A251" s="3" t="s">
        <v>16</v>
      </c>
      <c r="B251" s="4">
        <v>69.412176046329193</v>
      </c>
      <c r="C251" s="4">
        <v>73.664279451044393</v>
      </c>
      <c r="D251" s="4">
        <v>78.155282403710686</v>
      </c>
      <c r="E251" s="4">
        <v>82.947660255205463</v>
      </c>
      <c r="F251" s="4">
        <v>88.137991964765874</v>
      </c>
      <c r="G251" s="4">
        <v>93.816363941189266</v>
      </c>
      <c r="H251" s="4">
        <v>100.08485825773022</v>
      </c>
      <c r="I251" s="4">
        <v>106.91191196724427</v>
      </c>
      <c r="J251" s="4">
        <v>114.22731439875442</v>
      </c>
      <c r="K251" s="4">
        <v>122.02265512917228</v>
      </c>
      <c r="L251" s="4">
        <v>130.31002960133222</v>
      </c>
      <c r="M251" s="4">
        <v>139.14995905323411</v>
      </c>
      <c r="N251" s="4">
        <v>148.49645007921799</v>
      </c>
      <c r="O251" s="11">
        <f t="shared" si="3"/>
        <v>5.2348822406932762E-2</v>
      </c>
      <c r="P251"/>
      <c r="Q251" s="11"/>
    </row>
    <row r="252" spans="1:17" x14ac:dyDescent="0.35">
      <c r="A252" s="2" t="s">
        <v>47</v>
      </c>
      <c r="O252" s="11" t="str">
        <f t="shared" si="3"/>
        <v/>
      </c>
      <c r="P252"/>
      <c r="Q252" s="11"/>
    </row>
    <row r="253" spans="1:17" x14ac:dyDescent="0.35">
      <c r="A253" s="3" t="s">
        <v>82</v>
      </c>
      <c r="B253" s="4">
        <v>129.00300784895052</v>
      </c>
      <c r="C253" s="4">
        <v>138.12253091483552</v>
      </c>
      <c r="D253" s="4">
        <v>147.92856017677551</v>
      </c>
      <c r="E253" s="4">
        <v>158.47750745611091</v>
      </c>
      <c r="F253" s="4">
        <v>169.88934724613193</v>
      </c>
      <c r="G253" s="4">
        <v>182.30934580462943</v>
      </c>
      <c r="H253" s="4">
        <v>196.00644527128702</v>
      </c>
      <c r="I253" s="4">
        <v>211.0646193899685</v>
      </c>
      <c r="J253" s="4">
        <v>227.47894788070235</v>
      </c>
      <c r="K253" s="4">
        <v>245.27531989105947</v>
      </c>
      <c r="L253" s="4">
        <v>264.40318512662043</v>
      </c>
      <c r="M253" s="4">
        <v>284.89040246480295</v>
      </c>
      <c r="N253" s="4">
        <v>306.7471827420253</v>
      </c>
      <c r="O253" s="11">
        <f t="shared" si="3"/>
        <v>5.951707743946287E-2</v>
      </c>
      <c r="P253"/>
      <c r="Q253" s="11"/>
    </row>
    <row r="254" spans="1:17" x14ac:dyDescent="0.35">
      <c r="A254" s="3" t="s">
        <v>83</v>
      </c>
      <c r="B254" s="4">
        <v>194.62894294140372</v>
      </c>
      <c r="C254" s="4">
        <v>205.09947636717069</v>
      </c>
      <c r="D254" s="4">
        <v>216.49978478141537</v>
      </c>
      <c r="E254" s="4">
        <v>228.68007919331552</v>
      </c>
      <c r="F254" s="4">
        <v>241.60489255386767</v>
      </c>
      <c r="G254" s="4">
        <v>255.20052413529478</v>
      </c>
      <c r="H254" s="4">
        <v>269.86125624046673</v>
      </c>
      <c r="I254" s="4">
        <v>285.84061219181746</v>
      </c>
      <c r="J254" s="4">
        <v>303.29397873356675</v>
      </c>
      <c r="K254" s="4">
        <v>322.16018152440085</v>
      </c>
      <c r="L254" s="4">
        <v>342.04297477094025</v>
      </c>
      <c r="M254" s="4">
        <v>362.68465162461064</v>
      </c>
      <c r="N254" s="4">
        <v>384.12313731605462</v>
      </c>
      <c r="O254" s="11">
        <f t="shared" si="3"/>
        <v>4.6482814268406274E-2</v>
      </c>
      <c r="P254"/>
      <c r="Q254" s="11"/>
    </row>
    <row r="255" spans="1:17" x14ac:dyDescent="0.35">
      <c r="A255" s="2" t="s">
        <v>59</v>
      </c>
      <c r="O255" s="11" t="str">
        <f t="shared" si="3"/>
        <v/>
      </c>
      <c r="P255"/>
      <c r="Q255" s="11"/>
    </row>
    <row r="256" spans="1:17" x14ac:dyDescent="0.35">
      <c r="A256" s="3" t="s">
        <v>60</v>
      </c>
      <c r="O256" s="11" t="str">
        <f t="shared" si="3"/>
        <v/>
      </c>
      <c r="P256"/>
      <c r="Q256" s="11"/>
    </row>
    <row r="257" spans="1:17" x14ac:dyDescent="0.35">
      <c r="A257" s="34" t="s">
        <v>61</v>
      </c>
      <c r="B257" s="4">
        <v>66.191016737248134</v>
      </c>
      <c r="C257" s="4">
        <v>70.601591375294007</v>
      </c>
      <c r="D257" s="4">
        <v>75.531618666940574</v>
      </c>
      <c r="E257" s="4">
        <v>80.811586326843724</v>
      </c>
      <c r="F257" s="4">
        <v>86.48668126774966</v>
      </c>
      <c r="G257" s="4">
        <v>92.278090244755091</v>
      </c>
      <c r="H257" s="4">
        <v>98.543390506017147</v>
      </c>
      <c r="I257" s="4">
        <v>105.36616719481816</v>
      </c>
      <c r="J257" s="4">
        <v>112.94522585302235</v>
      </c>
      <c r="K257" s="4">
        <v>121.26758955554931</v>
      </c>
      <c r="L257" s="4">
        <v>129.95213675072509</v>
      </c>
      <c r="M257" s="4">
        <v>138.95333879686697</v>
      </c>
      <c r="N257" s="4">
        <v>148.31344178353322</v>
      </c>
      <c r="O257" s="11">
        <f t="shared" si="3"/>
        <v>5.4139265463385544E-2</v>
      </c>
      <c r="P257"/>
      <c r="Q257" s="11"/>
    </row>
    <row r="258" spans="1:17" x14ac:dyDescent="0.35">
      <c r="A258" s="43" t="s">
        <v>62</v>
      </c>
      <c r="B258" s="4">
        <v>11.205871427086386</v>
      </c>
      <c r="C258" s="4">
        <v>12.255993874006368</v>
      </c>
      <c r="D258" s="4">
        <v>13.424931927558658</v>
      </c>
      <c r="E258" s="4">
        <v>14.714530665452033</v>
      </c>
      <c r="F258" s="4">
        <v>16.114189313204378</v>
      </c>
      <c r="G258" s="4">
        <v>17.646513600112083</v>
      </c>
      <c r="H258" s="4">
        <v>19.332533845375924</v>
      </c>
      <c r="I258" s="4">
        <v>21.205402850574561</v>
      </c>
      <c r="J258" s="4">
        <v>23.286028815012276</v>
      </c>
      <c r="K258" s="4">
        <v>25.591322611135158</v>
      </c>
      <c r="L258" s="4">
        <v>28.113608432416822</v>
      </c>
      <c r="M258" s="4">
        <v>30.847693618579292</v>
      </c>
      <c r="N258" s="4">
        <v>33.823368427146846</v>
      </c>
      <c r="O258" s="11">
        <f t="shared" si="3"/>
        <v>7.4967481603167546E-2</v>
      </c>
      <c r="P258"/>
      <c r="Q258" s="11"/>
    </row>
    <row r="259" spans="1:17" x14ac:dyDescent="0.35">
      <c r="A259" s="43" t="s">
        <v>63</v>
      </c>
      <c r="B259" s="4">
        <v>26.543746507044904</v>
      </c>
      <c r="C259" s="4">
        <v>28.335904915796814</v>
      </c>
      <c r="D259" s="4">
        <v>30.295037115426396</v>
      </c>
      <c r="E259" s="4">
        <v>32.403528882687745</v>
      </c>
      <c r="F259" s="4">
        <v>34.657105825565367</v>
      </c>
      <c r="G259" s="4">
        <v>37.041812148219172</v>
      </c>
      <c r="H259" s="4">
        <v>39.625520580961783</v>
      </c>
      <c r="I259" s="4">
        <v>42.449130871424806</v>
      </c>
      <c r="J259" s="4">
        <v>45.554533128165751</v>
      </c>
      <c r="K259" s="4">
        <v>48.946338802086125</v>
      </c>
      <c r="L259" s="4">
        <v>52.582888864831702</v>
      </c>
      <c r="M259" s="4">
        <v>56.440535086759034</v>
      </c>
      <c r="N259" s="4">
        <v>60.518321295611578</v>
      </c>
      <c r="O259" s="11">
        <f t="shared" si="3"/>
        <v>5.6059272641137275E-2</v>
      </c>
      <c r="P259"/>
      <c r="Q259" s="11"/>
    </row>
    <row r="260" spans="1:17" x14ac:dyDescent="0.35">
      <c r="A260" s="43" t="s">
        <v>64</v>
      </c>
      <c r="B260" s="4">
        <v>28.441398803116837</v>
      </c>
      <c r="C260" s="4">
        <v>30.009692585490829</v>
      </c>
      <c r="D260" s="4">
        <v>31.811649623955514</v>
      </c>
      <c r="E260" s="4">
        <v>33.693526778703955</v>
      </c>
      <c r="F260" s="4">
        <v>35.715386128979915</v>
      </c>
      <c r="G260" s="4">
        <v>37.58976449642384</v>
      </c>
      <c r="H260" s="4">
        <v>39.585336079679436</v>
      </c>
      <c r="I260" s="4">
        <v>41.711633472818789</v>
      </c>
      <c r="J260" s="4">
        <v>44.104663909844319</v>
      </c>
      <c r="K260" s="4">
        <v>46.729928142328021</v>
      </c>
      <c r="L260" s="4">
        <v>49.255639453476562</v>
      </c>
      <c r="M260" s="4">
        <v>51.665110091528646</v>
      </c>
      <c r="N260" s="4">
        <v>53.971752060774818</v>
      </c>
      <c r="O260" s="11">
        <f t="shared" si="3"/>
        <v>4.1010745548493432E-2</v>
      </c>
      <c r="P260"/>
      <c r="Q260" s="11"/>
    </row>
    <row r="261" spans="1:17" x14ac:dyDescent="0.35">
      <c r="A261" s="34" t="s">
        <v>65</v>
      </c>
      <c r="B261" s="4">
        <v>58.231799890827105</v>
      </c>
      <c r="C261" s="4">
        <v>61.684502111348067</v>
      </c>
      <c r="D261" s="4">
        <v>65.401941985958032</v>
      </c>
      <c r="E261" s="4">
        <v>69.426561731492768</v>
      </c>
      <c r="F261" s="4">
        <v>73.709413023608008</v>
      </c>
      <c r="G261" s="4">
        <v>78.29291457251388</v>
      </c>
      <c r="H261" s="4">
        <v>83.19522429801188</v>
      </c>
      <c r="I261" s="4">
        <v>88.470091158042678</v>
      </c>
      <c r="J261" s="4">
        <v>94.142532129091535</v>
      </c>
      <c r="K261" s="4">
        <v>100.27593847999832</v>
      </c>
      <c r="L261" s="4">
        <v>106.87303400843352</v>
      </c>
      <c r="M261" s="4">
        <v>113.84377258165028</v>
      </c>
      <c r="N261" s="4">
        <v>121.16513103238512</v>
      </c>
      <c r="O261" s="11">
        <f t="shared" si="3"/>
        <v>4.9718375138732132E-2</v>
      </c>
      <c r="P261"/>
      <c r="Q261" s="11"/>
    </row>
    <row r="262" spans="1:17" x14ac:dyDescent="0.35">
      <c r="A262" s="34" t="s">
        <v>66</v>
      </c>
      <c r="B262" s="4">
        <v>38.246745608088141</v>
      </c>
      <c r="C262" s="4">
        <v>40.177384998488769</v>
      </c>
      <c r="D262" s="4">
        <v>42.209575965028556</v>
      </c>
      <c r="E262" s="4">
        <v>44.356064950105441</v>
      </c>
      <c r="F262" s="4">
        <v>46.65375949615192</v>
      </c>
      <c r="G262" s="4">
        <v>49.169981476627726</v>
      </c>
      <c r="H262" s="4">
        <v>51.941727785497662</v>
      </c>
      <c r="I262" s="4">
        <v>54.983629295316959</v>
      </c>
      <c r="J262" s="4">
        <v>58.243190978635411</v>
      </c>
      <c r="K262" s="4">
        <v>61.674617319985096</v>
      </c>
      <c r="L262" s="4">
        <v>65.261193616477399</v>
      </c>
      <c r="M262" s="4">
        <v>68.986525230339268</v>
      </c>
      <c r="N262" s="4">
        <v>72.84455618317817</v>
      </c>
      <c r="O262" s="11">
        <f t="shared" si="3"/>
        <v>4.4639250489650499E-2</v>
      </c>
      <c r="P262"/>
      <c r="Q262" s="11"/>
    </row>
    <row r="263" spans="1:17" x14ac:dyDescent="0.35">
      <c r="A263" s="34" t="s">
        <v>67</v>
      </c>
      <c r="B263" s="4">
        <v>23.832069033139508</v>
      </c>
      <c r="C263" s="4">
        <v>24.898756008101778</v>
      </c>
      <c r="D263" s="4">
        <v>26.024606953657077</v>
      </c>
      <c r="E263" s="4">
        <v>27.212915193528282</v>
      </c>
      <c r="F263" s="4">
        <v>28.462570501006681</v>
      </c>
      <c r="G263" s="4">
        <v>29.805444862398119</v>
      </c>
      <c r="H263" s="4">
        <v>31.26076339750912</v>
      </c>
      <c r="I263" s="4">
        <v>32.833957691939062</v>
      </c>
      <c r="J263" s="4">
        <v>34.505027288745239</v>
      </c>
      <c r="K263" s="4">
        <v>36.266783802260562</v>
      </c>
      <c r="L263" s="4">
        <v>38.09913159814397</v>
      </c>
      <c r="M263" s="4">
        <v>39.992466444395589</v>
      </c>
      <c r="N263" s="4">
        <v>41.949661448651398</v>
      </c>
      <c r="O263" s="11">
        <f t="shared" si="3"/>
        <v>3.870575798448872E-2</v>
      </c>
      <c r="P263"/>
      <c r="Q263" s="11"/>
    </row>
    <row r="264" spans="1:17" x14ac:dyDescent="0.35">
      <c r="A264" s="34" t="s">
        <v>68</v>
      </c>
      <c r="B264" s="4">
        <v>40.398913624438762</v>
      </c>
      <c r="C264" s="4">
        <v>43.265190164159989</v>
      </c>
      <c r="D264" s="4">
        <v>46.396875749526068</v>
      </c>
      <c r="E264" s="4">
        <v>49.821257508533066</v>
      </c>
      <c r="F264" s="4">
        <v>53.54622561560803</v>
      </c>
      <c r="G264" s="4">
        <v>57.629833853158004</v>
      </c>
      <c r="H264" s="4">
        <v>62.106620652583231</v>
      </c>
      <c r="I264" s="4">
        <v>67.015760073854906</v>
      </c>
      <c r="J264" s="4">
        <v>72.346793537036078</v>
      </c>
      <c r="K264" s="4">
        <v>78.109121535711552</v>
      </c>
      <c r="L264" s="4">
        <v>84.254310807573034</v>
      </c>
      <c r="M264" s="4">
        <v>90.757104487195647</v>
      </c>
      <c r="N264" s="4">
        <v>97.657733177323919</v>
      </c>
      <c r="O264" s="11">
        <f t="shared" si="3"/>
        <v>6.0354369102799052E-2</v>
      </c>
      <c r="P264"/>
      <c r="Q264" s="11"/>
    </row>
    <row r="265" spans="1:17" x14ac:dyDescent="0.35">
      <c r="A265" s="34" t="s">
        <v>69</v>
      </c>
      <c r="B265" s="4">
        <v>45.584553561726395</v>
      </c>
      <c r="C265" s="4">
        <v>47.383500499260919</v>
      </c>
      <c r="D265" s="4">
        <v>49.222579952515105</v>
      </c>
      <c r="E265" s="4">
        <v>51.08115589009244</v>
      </c>
      <c r="F265" s="4">
        <v>52.985906195431085</v>
      </c>
      <c r="G265" s="4">
        <v>55.000531553603025</v>
      </c>
      <c r="H265" s="4">
        <v>57.210661468384231</v>
      </c>
      <c r="I265" s="4">
        <v>59.653500112598145</v>
      </c>
      <c r="J265" s="4">
        <v>62.297298852678558</v>
      </c>
      <c r="K265" s="4">
        <v>65.085733075107612</v>
      </c>
      <c r="L265" s="4">
        <v>68.020406514667314</v>
      </c>
      <c r="M265" s="4">
        <v>71.068765499460298</v>
      </c>
      <c r="N265" s="4">
        <v>74.189461722394299</v>
      </c>
      <c r="O265" s="11">
        <f t="shared" si="3"/>
        <v>3.3812320783193094E-2</v>
      </c>
      <c r="P265"/>
      <c r="Q265" s="11"/>
    </row>
    <row r="266" spans="1:17" x14ac:dyDescent="0.35">
      <c r="A266" s="3" t="s">
        <v>70</v>
      </c>
      <c r="O266" s="11" t="str">
        <f t="shared" si="3"/>
        <v/>
      </c>
      <c r="P266"/>
      <c r="Q266" s="11"/>
    </row>
    <row r="267" spans="1:17" x14ac:dyDescent="0.35">
      <c r="A267" s="34" t="s">
        <v>71</v>
      </c>
      <c r="B267" s="4">
        <v>6.8138727244173314</v>
      </c>
      <c r="C267" s="4">
        <v>7.4797420372001842</v>
      </c>
      <c r="D267" s="4">
        <v>8.2203274359243075</v>
      </c>
      <c r="E267" s="4">
        <v>9.0303779942450184</v>
      </c>
      <c r="F267" s="4">
        <v>9.9058452479448942</v>
      </c>
      <c r="G267" s="4">
        <v>10.863724647270946</v>
      </c>
      <c r="H267" s="4">
        <v>11.921184703674804</v>
      </c>
      <c r="I267" s="4">
        <v>13.115134221619023</v>
      </c>
      <c r="J267" s="4">
        <v>14.467734123342476</v>
      </c>
      <c r="K267" s="4">
        <v>15.969747081225941</v>
      </c>
      <c r="L267" s="4">
        <v>17.63816596413394</v>
      </c>
      <c r="M267" s="4">
        <v>19.465008380011628</v>
      </c>
      <c r="N267" s="4">
        <v>21.453873985720811</v>
      </c>
      <c r="O267" s="11">
        <f t="shared" si="3"/>
        <v>7.8540184193143611E-2</v>
      </c>
      <c r="P267"/>
      <c r="Q267" s="11"/>
    </row>
    <row r="268" spans="1:17" x14ac:dyDescent="0.35">
      <c r="A268" s="34" t="s">
        <v>72</v>
      </c>
      <c r="B268" s="4">
        <v>5.1094516298724475</v>
      </c>
      <c r="C268" s="4">
        <v>5.6732735094098432</v>
      </c>
      <c r="D268" s="4">
        <v>6.3087226580651752</v>
      </c>
      <c r="E268" s="4">
        <v>7.0162942215385868</v>
      </c>
      <c r="F268" s="4">
        <v>7.7948329705412469</v>
      </c>
      <c r="G268" s="4">
        <v>8.6502293491031654</v>
      </c>
      <c r="H268" s="4">
        <v>9.6022492008154909</v>
      </c>
      <c r="I268" s="4">
        <v>10.676490200184343</v>
      </c>
      <c r="J268" s="4">
        <v>11.897214170268441</v>
      </c>
      <c r="K268" s="4">
        <v>13.27897674546864</v>
      </c>
      <c r="L268" s="4">
        <v>14.826217510773803</v>
      </c>
      <c r="M268" s="4">
        <v>16.536733640966219</v>
      </c>
      <c r="N268" s="4">
        <v>18.426193757942237</v>
      </c>
      <c r="O268" s="11">
        <f t="shared" si="3"/>
        <v>8.765153983252888E-2</v>
      </c>
      <c r="P268"/>
      <c r="Q268" s="11"/>
    </row>
    <row r="269" spans="1:17" x14ac:dyDescent="0.35">
      <c r="A269" s="34" t="s">
        <v>73</v>
      </c>
      <c r="B269" s="4">
        <v>4.9385509255966564</v>
      </c>
      <c r="C269" s="4">
        <v>5.2820691404779865</v>
      </c>
      <c r="D269" s="4">
        <v>5.6580191820238124</v>
      </c>
      <c r="E269" s="4">
        <v>6.0635022901521225</v>
      </c>
      <c r="F269" s="4">
        <v>6.49578909543209</v>
      </c>
      <c r="G269" s="4">
        <v>6.9634869769876868</v>
      </c>
      <c r="H269" s="4">
        <v>7.4726564615274196</v>
      </c>
      <c r="I269" s="4">
        <v>8.0365758290517242</v>
      </c>
      <c r="J269" s="4">
        <v>8.6581247310921974</v>
      </c>
      <c r="K269" s="4">
        <v>9.3309981899466017</v>
      </c>
      <c r="L269" s="4">
        <v>10.052358747405608</v>
      </c>
      <c r="M269" s="4">
        <v>10.814216620821707</v>
      </c>
      <c r="N269" s="4">
        <v>11.619723641125482</v>
      </c>
      <c r="O269" s="11">
        <f t="shared" si="3"/>
        <v>5.854096621068177E-2</v>
      </c>
      <c r="P269"/>
      <c r="Q269" s="11"/>
    </row>
    <row r="270" spans="1:17" x14ac:dyDescent="0.35">
      <c r="A270" s="34" t="s">
        <v>74</v>
      </c>
      <c r="B270" s="4">
        <v>5.7810484615459234</v>
      </c>
      <c r="C270" s="4">
        <v>6.2353374498602028</v>
      </c>
      <c r="D270" s="4">
        <v>6.7144631885615897</v>
      </c>
      <c r="E270" s="4">
        <v>7.2279609870880988</v>
      </c>
      <c r="F270" s="4">
        <v>7.7910847061787125</v>
      </c>
      <c r="G270" s="4">
        <v>8.4193603282661194</v>
      </c>
      <c r="H270" s="4">
        <v>9.1253305388283028</v>
      </c>
      <c r="I270" s="4">
        <v>9.9050907755833268</v>
      </c>
      <c r="J270" s="4">
        <v>10.747914106550212</v>
      </c>
      <c r="K270" s="4">
        <v>11.654780616284519</v>
      </c>
      <c r="L270" s="4">
        <v>12.63393780994406</v>
      </c>
      <c r="M270" s="4">
        <v>13.698068932582428</v>
      </c>
      <c r="N270" s="4">
        <v>14.843816693593368</v>
      </c>
      <c r="O270" s="11">
        <f t="shared" si="3"/>
        <v>6.5032701559628356E-2</v>
      </c>
      <c r="P270"/>
      <c r="Q270" s="11"/>
    </row>
    <row r="271" spans="1:17" x14ac:dyDescent="0.35">
      <c r="A271" s="34" t="s">
        <v>75</v>
      </c>
      <c r="B271" s="4">
        <v>4.690623084691893</v>
      </c>
      <c r="C271" s="4">
        <v>5.1036594247120393</v>
      </c>
      <c r="D271" s="4">
        <v>5.5546492679796273</v>
      </c>
      <c r="E271" s="4">
        <v>6.0459413722848199</v>
      </c>
      <c r="F271" s="4">
        <v>6.5830457074772086</v>
      </c>
      <c r="G271" s="4">
        <v>7.1725933452953026</v>
      </c>
      <c r="H271" s="4">
        <v>7.8278251502252223</v>
      </c>
      <c r="I271" s="4">
        <v>8.55591850787747</v>
      </c>
      <c r="J271" s="4">
        <v>9.3609344895940723</v>
      </c>
      <c r="K271" s="4">
        <v>10.245277557513926</v>
      </c>
      <c r="L271" s="4">
        <v>11.211203820370431</v>
      </c>
      <c r="M271" s="4">
        <v>12.262863909599981</v>
      </c>
      <c r="N271" s="4">
        <v>13.401726384111505</v>
      </c>
      <c r="O271" s="11">
        <f t="shared" si="3"/>
        <v>7.192635450225339E-2</v>
      </c>
      <c r="P271"/>
      <c r="Q271" s="11"/>
    </row>
    <row r="272" spans="1:17" x14ac:dyDescent="0.35">
      <c r="A272" s="3" t="s">
        <v>76</v>
      </c>
      <c r="O272" s="11" t="str">
        <f t="shared" si="3"/>
        <v/>
      </c>
      <c r="P272"/>
      <c r="Q272" s="11"/>
    </row>
    <row r="273" spans="1:17" x14ac:dyDescent="0.35">
      <c r="A273" s="34" t="s">
        <v>77</v>
      </c>
      <c r="B273" s="4">
        <v>6.8506219349615716</v>
      </c>
      <c r="C273" s="4">
        <v>7.3615724729605763</v>
      </c>
      <c r="D273" s="4">
        <v>7.9240379533552314</v>
      </c>
      <c r="E273" s="4">
        <v>8.5326211903524207</v>
      </c>
      <c r="F273" s="4">
        <v>9.1778558653335089</v>
      </c>
      <c r="G273" s="4">
        <v>9.8644509237645899</v>
      </c>
      <c r="H273" s="4">
        <v>10.605983117591629</v>
      </c>
      <c r="I273" s="4">
        <v>11.419845677540938</v>
      </c>
      <c r="J273" s="4">
        <v>12.317642346646716</v>
      </c>
      <c r="K273" s="4">
        <v>13.303856442260072</v>
      </c>
      <c r="L273" s="4">
        <v>14.366327198632588</v>
      </c>
      <c r="M273" s="4">
        <v>15.493953423618436</v>
      </c>
      <c r="N273" s="4">
        <v>16.696237668189418</v>
      </c>
      <c r="O273" s="11">
        <f t="shared" si="3"/>
        <v>6.0215054909786236E-2</v>
      </c>
      <c r="P273"/>
      <c r="Q273" s="11"/>
    </row>
    <row r="274" spans="1:17" x14ac:dyDescent="0.35">
      <c r="A274" s="34" t="s">
        <v>78</v>
      </c>
      <c r="B274" s="4">
        <v>6.5599468332189508</v>
      </c>
      <c r="C274" s="4">
        <v>6.9400671911035792</v>
      </c>
      <c r="D274" s="4">
        <v>7.3437719984507179</v>
      </c>
      <c r="E274" s="4">
        <v>7.7767708847990411</v>
      </c>
      <c r="F274" s="4">
        <v>8.238224007889368</v>
      </c>
      <c r="G274" s="4">
        <v>8.7366285944276072</v>
      </c>
      <c r="H274" s="4">
        <v>9.2765105126943546</v>
      </c>
      <c r="I274" s="4">
        <v>9.8599593883661445</v>
      </c>
      <c r="J274" s="4">
        <v>10.483349706903928</v>
      </c>
      <c r="K274" s="4">
        <v>11.152764931641014</v>
      </c>
      <c r="L274" s="4">
        <v>11.865365421811894</v>
      </c>
      <c r="M274" s="4">
        <v>12.615527097195633</v>
      </c>
      <c r="N274" s="4">
        <v>13.40397082206804</v>
      </c>
      <c r="O274" s="11">
        <f t="shared" si="3"/>
        <v>4.8707562952976693E-2</v>
      </c>
      <c r="P274"/>
      <c r="Q274" s="11"/>
    </row>
    <row r="275" spans="1:17" x14ac:dyDescent="0.35">
      <c r="A275" s="34" t="s">
        <v>79</v>
      </c>
      <c r="B275" s="4">
        <v>3.7624272117231188</v>
      </c>
      <c r="C275" s="4">
        <v>4.1129675801551873</v>
      </c>
      <c r="D275" s="4">
        <v>4.4876865027508543</v>
      </c>
      <c r="E275" s="4">
        <v>4.8935946496680547</v>
      </c>
      <c r="F275" s="4">
        <v>5.3433425871824092</v>
      </c>
      <c r="G275" s="4">
        <v>5.8510557614715957</v>
      </c>
      <c r="H275" s="4">
        <v>6.4285260499908734</v>
      </c>
      <c r="I275" s="4">
        <v>7.0761562065111372</v>
      </c>
      <c r="J275" s="4">
        <v>7.7864240634450468</v>
      </c>
      <c r="K275" s="4">
        <v>8.5615133017990797</v>
      </c>
      <c r="L275" s="4">
        <v>9.4092456409182361</v>
      </c>
      <c r="M275" s="4">
        <v>10.34085515465002</v>
      </c>
      <c r="N275" s="4">
        <v>11.358293523631387</v>
      </c>
      <c r="O275" s="11">
        <f t="shared" si="3"/>
        <v>7.6486929767920112E-2</v>
      </c>
      <c r="P275"/>
      <c r="Q275" s="11"/>
    </row>
    <row r="276" spans="1:17" x14ac:dyDescent="0.35">
      <c r="A276" s="34" t="s">
        <v>80</v>
      </c>
      <c r="B276" s="4">
        <v>3.1096433410672306</v>
      </c>
      <c r="C276" s="4">
        <v>3.2606683123415632</v>
      </c>
      <c r="D276" s="4">
        <v>3.4244177308839827</v>
      </c>
      <c r="E276" s="4">
        <v>3.5997139828773683</v>
      </c>
      <c r="F276" s="4">
        <v>3.7843771605770242</v>
      </c>
      <c r="G276" s="4">
        <v>3.9808052448017532</v>
      </c>
      <c r="H276" s="4">
        <v>4.1916456732735199</v>
      </c>
      <c r="I276" s="4">
        <v>4.4198856704241285</v>
      </c>
      <c r="J276" s="4">
        <v>4.6653065592626248</v>
      </c>
      <c r="K276" s="4">
        <v>4.9268059652285263</v>
      </c>
      <c r="L276" s="4">
        <v>5.1992177660504986</v>
      </c>
      <c r="M276" s="4">
        <v>5.4792872972899911</v>
      </c>
      <c r="N276" s="4">
        <v>5.7688744350166248</v>
      </c>
      <c r="O276" s="11">
        <f t="shared" si="3"/>
        <v>4.2082828160351152E-2</v>
      </c>
      <c r="P276"/>
      <c r="Q276" s="11"/>
    </row>
    <row r="277" spans="1:17" x14ac:dyDescent="0.35">
      <c r="A277" s="34" t="s">
        <v>81</v>
      </c>
      <c r="B277" s="4">
        <v>3.5306661877910361</v>
      </c>
      <c r="C277" s="4">
        <v>3.7617250071315391</v>
      </c>
      <c r="D277" s="4">
        <v>4.0050497665701963</v>
      </c>
      <c r="E277" s="4">
        <v>4.2612674758251963</v>
      </c>
      <c r="F277" s="4">
        <v>4.5352863518877857</v>
      </c>
      <c r="G277" s="4">
        <v>4.8307382054796024</v>
      </c>
      <c r="H277" s="4">
        <v>5.1574019951288435</v>
      </c>
      <c r="I277" s="4">
        <v>5.5170695780577983</v>
      </c>
      <c r="J277" s="4">
        <v>5.9082136779542713</v>
      </c>
      <c r="K277" s="4">
        <v>6.3309968154794696</v>
      </c>
      <c r="L277" s="4">
        <v>6.7839067214992514</v>
      </c>
      <c r="M277" s="4">
        <v>7.2665665927695446</v>
      </c>
      <c r="N277" s="4">
        <v>7.7776237992149113</v>
      </c>
      <c r="O277" s="11">
        <f t="shared" si="3"/>
        <v>5.4341964002542799E-2</v>
      </c>
      <c r="P277"/>
      <c r="Q277" s="11"/>
    </row>
    <row r="278" spans="1:17" x14ac:dyDescent="0.35">
      <c r="A278" s="2" t="s">
        <v>84</v>
      </c>
      <c r="O278" s="11" t="str">
        <f t="shared" ref="O278:O341" si="4">IFERROR(RATE(2035-2026,,-G278,N278),"")</f>
        <v/>
      </c>
      <c r="P278"/>
      <c r="Q278" s="11"/>
    </row>
    <row r="279" spans="1:17" x14ac:dyDescent="0.35">
      <c r="A279" s="3" t="s">
        <v>85</v>
      </c>
      <c r="B279" s="4">
        <v>18.922760808077989</v>
      </c>
      <c r="C279" s="4">
        <v>19.696009676529918</v>
      </c>
      <c r="D279" s="4">
        <v>20.490713676980967</v>
      </c>
      <c r="E279" s="4">
        <v>21.313409755923153</v>
      </c>
      <c r="F279" s="4">
        <v>22.180765859538592</v>
      </c>
      <c r="G279" s="4">
        <v>23.128390986725996</v>
      </c>
      <c r="H279" s="4">
        <v>24.175926152025642</v>
      </c>
      <c r="I279" s="4">
        <v>25.321948022361173</v>
      </c>
      <c r="J279" s="4">
        <v>26.534136063441466</v>
      </c>
      <c r="K279" s="4">
        <v>27.797900097781945</v>
      </c>
      <c r="L279" s="4">
        <v>29.106497171027577</v>
      </c>
      <c r="M279" s="4">
        <v>30.456641236201524</v>
      </c>
      <c r="N279" s="4">
        <v>31.844772085876208</v>
      </c>
      <c r="O279" s="11">
        <f t="shared" si="4"/>
        <v>3.6173604674271123E-2</v>
      </c>
      <c r="P279"/>
      <c r="Q279" s="11"/>
    </row>
    <row r="280" spans="1:17" x14ac:dyDescent="0.35">
      <c r="A280" s="3" t="s">
        <v>86</v>
      </c>
      <c r="B280" s="4">
        <v>61.909067411763118</v>
      </c>
      <c r="C280" s="4">
        <v>64.872070751920518</v>
      </c>
      <c r="D280" s="4">
        <v>68.092332625724339</v>
      </c>
      <c r="E280" s="4">
        <v>71.498080501952131</v>
      </c>
      <c r="F280" s="4">
        <v>74.997553288133801</v>
      </c>
      <c r="G280" s="4">
        <v>78.570864507279879</v>
      </c>
      <c r="H280" s="4">
        <v>82.336193905955724</v>
      </c>
      <c r="I280" s="4">
        <v>86.408295429119107</v>
      </c>
      <c r="J280" s="4">
        <v>90.869897945668271</v>
      </c>
      <c r="K280" s="4">
        <v>95.738255067455995</v>
      </c>
      <c r="L280" s="4">
        <v>100.8832524408144</v>
      </c>
      <c r="M280" s="4">
        <v>106.1773200387308</v>
      </c>
      <c r="N280" s="4">
        <v>111.64408166664155</v>
      </c>
      <c r="O280" s="11">
        <f t="shared" si="4"/>
        <v>3.9806878428556083E-2</v>
      </c>
      <c r="P280"/>
      <c r="Q280" s="11"/>
    </row>
    <row r="281" spans="1:17" x14ac:dyDescent="0.35">
      <c r="A281" s="3" t="s">
        <v>87</v>
      </c>
      <c r="B281" s="4">
        <v>112.24356683013622</v>
      </c>
      <c r="C281" s="4">
        <v>120.13947748197727</v>
      </c>
      <c r="D281" s="4">
        <v>128.89383224716656</v>
      </c>
      <c r="E281" s="4">
        <v>138.48398864663244</v>
      </c>
      <c r="F281" s="4">
        <v>148.94515009659509</v>
      </c>
      <c r="G281" s="4">
        <v>160.23290223644719</v>
      </c>
      <c r="H281" s="4">
        <v>172.55465732005547</v>
      </c>
      <c r="I281" s="4">
        <v>186.03846666560906</v>
      </c>
      <c r="J281" s="4">
        <v>200.81294165682704</v>
      </c>
      <c r="K281" s="4">
        <v>216.85480075080324</v>
      </c>
      <c r="L281" s="4">
        <v>233.98409080243528</v>
      </c>
      <c r="M281" s="4">
        <v>252.1771088099739</v>
      </c>
      <c r="N281" s="4">
        <v>271.47420166678501</v>
      </c>
      <c r="O281" s="11">
        <f t="shared" si="4"/>
        <v>6.033201389188126E-2</v>
      </c>
      <c r="P281"/>
      <c r="Q281" s="11"/>
    </row>
    <row r="282" spans="1:17" x14ac:dyDescent="0.35">
      <c r="A282" s="3" t="s">
        <v>88</v>
      </c>
      <c r="B282" s="4">
        <v>71.586173745641318</v>
      </c>
      <c r="C282" s="4">
        <v>76.265833765451006</v>
      </c>
      <c r="D282" s="4">
        <v>81.281792810398144</v>
      </c>
      <c r="E282" s="4">
        <v>86.629125603000404</v>
      </c>
      <c r="F282" s="4">
        <v>92.371725008815361</v>
      </c>
      <c r="G282" s="4">
        <v>98.559430499750434</v>
      </c>
      <c r="H282" s="4">
        <v>105.36468058946591</v>
      </c>
      <c r="I282" s="4">
        <v>112.85877636419812</v>
      </c>
      <c r="J282" s="4">
        <v>121.04065627854203</v>
      </c>
      <c r="K282" s="4">
        <v>129.90311845591339</v>
      </c>
      <c r="L282" s="4">
        <v>139.35805629468874</v>
      </c>
      <c r="M282" s="4">
        <v>149.35574699613707</v>
      </c>
      <c r="N282" s="4">
        <v>159.91006770851641</v>
      </c>
      <c r="O282" s="11">
        <f t="shared" si="4"/>
        <v>5.5244431542939981E-2</v>
      </c>
      <c r="P282"/>
      <c r="Q282" s="11"/>
    </row>
    <row r="283" spans="1:17" x14ac:dyDescent="0.35">
      <c r="A283" s="3" t="s">
        <v>89</v>
      </c>
      <c r="B283" s="4">
        <v>18.688112993310348</v>
      </c>
      <c r="C283" s="4">
        <v>19.785587720999608</v>
      </c>
      <c r="D283" s="4">
        <v>20.943676332124227</v>
      </c>
      <c r="E283" s="4">
        <v>22.16271071236082</v>
      </c>
      <c r="F283" s="4">
        <v>23.462644566962762</v>
      </c>
      <c r="G283" s="4">
        <v>24.857800871099332</v>
      </c>
      <c r="H283" s="4">
        <v>26.392474753055712</v>
      </c>
      <c r="I283" s="4">
        <v>28.077273586980112</v>
      </c>
      <c r="J283" s="4">
        <v>29.90496079242655</v>
      </c>
      <c r="K283" s="4">
        <v>31.871935031605155</v>
      </c>
      <c r="L283" s="4">
        <v>33.95997061151283</v>
      </c>
      <c r="M283" s="4">
        <v>36.158782045234389</v>
      </c>
      <c r="N283" s="4">
        <v>38.464724215985996</v>
      </c>
      <c r="O283" s="11">
        <f t="shared" si="4"/>
        <v>4.9703529794206745E-2</v>
      </c>
      <c r="P283"/>
      <c r="Q283" s="11"/>
    </row>
    <row r="284" spans="1:17" x14ac:dyDescent="0.35">
      <c r="A284" s="3" t="s">
        <v>90</v>
      </c>
      <c r="B284" s="4">
        <v>40.282269001425213</v>
      </c>
      <c r="C284" s="4">
        <v>42.463027885127936</v>
      </c>
      <c r="D284" s="4">
        <v>44.725997265796664</v>
      </c>
      <c r="E284" s="4">
        <v>47.070271429557522</v>
      </c>
      <c r="F284" s="4">
        <v>49.536400979954024</v>
      </c>
      <c r="G284" s="4">
        <v>52.160480838621389</v>
      </c>
      <c r="H284" s="4">
        <v>55.043768791195276</v>
      </c>
      <c r="I284" s="4">
        <v>58.200471513518337</v>
      </c>
      <c r="J284" s="4">
        <v>61.610333877363772</v>
      </c>
      <c r="K284" s="4">
        <v>65.269492011900525</v>
      </c>
      <c r="L284" s="4">
        <v>69.154292577081861</v>
      </c>
      <c r="M284" s="4">
        <v>73.249454963135946</v>
      </c>
      <c r="N284" s="4">
        <v>77.532472714274704</v>
      </c>
      <c r="O284" s="11">
        <f t="shared" si="4"/>
        <v>4.5025515322730705E-2</v>
      </c>
      <c r="P284"/>
      <c r="Q284" s="11"/>
    </row>
    <row r="285" spans="1:17" x14ac:dyDescent="0.35">
      <c r="A285" s="2" t="s">
        <v>91</v>
      </c>
      <c r="O285" s="11" t="str">
        <f t="shared" si="4"/>
        <v/>
      </c>
      <c r="P285"/>
      <c r="Q285" s="11"/>
    </row>
    <row r="286" spans="1:17" x14ac:dyDescent="0.35">
      <c r="A286" s="3" t="s">
        <v>92</v>
      </c>
      <c r="B286" s="4">
        <v>138.79691144070054</v>
      </c>
      <c r="C286" s="4">
        <v>148.55524082067802</v>
      </c>
      <c r="D286" s="4">
        <v>159.2461508327672</v>
      </c>
      <c r="E286" s="4">
        <v>170.69908143829218</v>
      </c>
      <c r="F286" s="4">
        <v>182.75282585417622</v>
      </c>
      <c r="G286" s="4">
        <v>195.54470066948238</v>
      </c>
      <c r="H286" s="4">
        <v>209.34540445478146</v>
      </c>
      <c r="I286" s="4">
        <v>224.60772126420272</v>
      </c>
      <c r="J286" s="4">
        <v>241.56566816786281</v>
      </c>
      <c r="K286" s="4">
        <v>260.08967966068195</v>
      </c>
      <c r="L286" s="4">
        <v>280.07848566920177</v>
      </c>
      <c r="M286" s="4">
        <v>301.24597809733376</v>
      </c>
      <c r="N286" s="4">
        <v>323.6425755815236</v>
      </c>
      <c r="O286" s="11">
        <f t="shared" si="4"/>
        <v>5.7580144671723482E-2</v>
      </c>
      <c r="P286"/>
      <c r="Q286" s="11"/>
    </row>
    <row r="287" spans="1:17" x14ac:dyDescent="0.35">
      <c r="A287" s="3" t="s">
        <v>93</v>
      </c>
      <c r="B287" s="4">
        <v>184.83503934965367</v>
      </c>
      <c r="C287" s="4">
        <v>194.66676646132819</v>
      </c>
      <c r="D287" s="4">
        <v>205.18219412542371</v>
      </c>
      <c r="E287" s="4">
        <v>216.45850521113422</v>
      </c>
      <c r="F287" s="4">
        <v>228.74141394582341</v>
      </c>
      <c r="G287" s="4">
        <v>241.96516927044183</v>
      </c>
      <c r="H287" s="4">
        <v>256.52229705697232</v>
      </c>
      <c r="I287" s="4">
        <v>272.2975103175832</v>
      </c>
      <c r="J287" s="4">
        <v>289.20725844640629</v>
      </c>
      <c r="K287" s="4">
        <v>307.34582175477829</v>
      </c>
      <c r="L287" s="4">
        <v>326.36767422835891</v>
      </c>
      <c r="M287" s="4">
        <v>346.32907599207988</v>
      </c>
      <c r="N287" s="4">
        <v>367.22774447655632</v>
      </c>
      <c r="O287" s="11">
        <f t="shared" si="4"/>
        <v>4.7445423209793655E-2</v>
      </c>
      <c r="P287"/>
      <c r="Q287" s="11"/>
    </row>
    <row r="288" spans="1:17" x14ac:dyDescent="0.35">
      <c r="A288" s="2" t="s">
        <v>94</v>
      </c>
      <c r="O288" s="11" t="str">
        <f t="shared" si="4"/>
        <v/>
      </c>
      <c r="P288"/>
      <c r="Q288" s="11"/>
    </row>
    <row r="289" spans="1:17" x14ac:dyDescent="0.35">
      <c r="A289" s="3" t="s">
        <v>48</v>
      </c>
      <c r="B289" s="4">
        <v>43.657661033957879</v>
      </c>
      <c r="C289" s="4">
        <v>46.56601515288537</v>
      </c>
      <c r="D289" s="4">
        <v>49.731556761262993</v>
      </c>
      <c r="E289" s="4">
        <v>53.163618539174635</v>
      </c>
      <c r="F289" s="4">
        <v>56.858295623852598</v>
      </c>
      <c r="G289" s="4">
        <v>60.849310909732367</v>
      </c>
      <c r="H289" s="4">
        <v>65.188422339762297</v>
      </c>
      <c r="I289" s="4">
        <v>69.906622113246897</v>
      </c>
      <c r="J289" s="4">
        <v>75.017596312611659</v>
      </c>
      <c r="K289" s="4">
        <v>80.523258917528011</v>
      </c>
      <c r="L289" s="4">
        <v>86.386515952414598</v>
      </c>
      <c r="M289" s="4">
        <v>92.605130062684623</v>
      </c>
      <c r="N289" s="4">
        <v>99.186180182485458</v>
      </c>
      <c r="O289" s="11">
        <f t="shared" si="4"/>
        <v>5.578935246110639E-2</v>
      </c>
      <c r="P289"/>
      <c r="Q289" s="11"/>
    </row>
    <row r="290" spans="1:17" x14ac:dyDescent="0.35">
      <c r="A290" s="3" t="s">
        <v>95</v>
      </c>
      <c r="B290" s="4">
        <v>45.660404213180456</v>
      </c>
      <c r="C290" s="4">
        <v>49.17150270752105</v>
      </c>
      <c r="D290" s="4">
        <v>53.020547267525878</v>
      </c>
      <c r="E290" s="4">
        <v>57.26559558306915</v>
      </c>
      <c r="F290" s="4">
        <v>61.942383551549</v>
      </c>
      <c r="G290" s="4">
        <v>67.126759702516239</v>
      </c>
      <c r="H290" s="4">
        <v>72.856339246599248</v>
      </c>
      <c r="I290" s="4">
        <v>79.174422368000108</v>
      </c>
      <c r="J290" s="4">
        <v>86.05880844100119</v>
      </c>
      <c r="K290" s="4">
        <v>93.544219879509541</v>
      </c>
      <c r="L290" s="4">
        <v>101.58456205884586</v>
      </c>
      <c r="M290" s="4">
        <v>110.1462050427638</v>
      </c>
      <c r="N290" s="4">
        <v>119.28828435092208</v>
      </c>
      <c r="O290" s="11">
        <f t="shared" si="4"/>
        <v>6.5969254816633918E-2</v>
      </c>
      <c r="P290"/>
      <c r="Q290" s="11"/>
    </row>
    <row r="291" spans="1:17" x14ac:dyDescent="0.35">
      <c r="A291" s="3" t="s">
        <v>96</v>
      </c>
      <c r="B291" s="4">
        <v>35.198298730393425</v>
      </c>
      <c r="C291" s="4">
        <v>37.937135319358688</v>
      </c>
      <c r="D291" s="4">
        <v>40.947333735449732</v>
      </c>
      <c r="E291" s="4">
        <v>43.899891324051438</v>
      </c>
      <c r="F291" s="4">
        <v>46.846627732077351</v>
      </c>
      <c r="G291" s="4">
        <v>49.618206983139288</v>
      </c>
      <c r="H291" s="4">
        <v>52.71206670320953</v>
      </c>
      <c r="I291" s="4">
        <v>56.420059548892198</v>
      </c>
      <c r="J291" s="4">
        <v>60.976456731272975</v>
      </c>
      <c r="K291" s="4">
        <v>66.22805871209772</v>
      </c>
      <c r="L291" s="4">
        <v>71.9091593475911</v>
      </c>
      <c r="M291" s="4">
        <v>77.874045749514863</v>
      </c>
      <c r="N291" s="4">
        <v>84.172814074545528</v>
      </c>
      <c r="O291" s="11">
        <f t="shared" si="4"/>
        <v>6.0482289569239629E-2</v>
      </c>
      <c r="P291"/>
      <c r="Q291" s="11"/>
    </row>
    <row r="292" spans="1:17" x14ac:dyDescent="0.35">
      <c r="A292" s="3" t="s">
        <v>97</v>
      </c>
      <c r="B292" s="4">
        <v>51.894975566291343</v>
      </c>
      <c r="C292" s="4">
        <v>54.66828039126802</v>
      </c>
      <c r="D292" s="4">
        <v>57.654226978221665</v>
      </c>
      <c r="E292" s="4">
        <v>60.879689397846171</v>
      </c>
      <c r="F292" s="4">
        <v>64.313379952833372</v>
      </c>
      <c r="G292" s="4">
        <v>67.991735324817256</v>
      </c>
      <c r="H292" s="4">
        <v>71.935320976276401</v>
      </c>
      <c r="I292" s="4">
        <v>76.160489235454563</v>
      </c>
      <c r="J292" s="4">
        <v>80.664860634853866</v>
      </c>
      <c r="K292" s="4">
        <v>85.477470862305509</v>
      </c>
      <c r="L292" s="4">
        <v>90.560019655495637</v>
      </c>
      <c r="M292" s="4">
        <v>95.878107448915998</v>
      </c>
      <c r="N292" s="4">
        <v>101.42825144911023</v>
      </c>
      <c r="O292" s="11">
        <f t="shared" si="4"/>
        <v>4.5442888081264059E-2</v>
      </c>
      <c r="P292"/>
      <c r="Q292" s="11"/>
    </row>
    <row r="293" spans="1:17" x14ac:dyDescent="0.35">
      <c r="A293" s="3" t="s">
        <v>98</v>
      </c>
      <c r="B293" s="4">
        <v>88.976104488831538</v>
      </c>
      <c r="C293" s="4">
        <v>94.146253633099192</v>
      </c>
      <c r="D293" s="4">
        <v>99.72507304645535</v>
      </c>
      <c r="E293" s="4">
        <v>105.77009761622216</v>
      </c>
      <c r="F293" s="4">
        <v>112.31489275121197</v>
      </c>
      <c r="G293" s="4">
        <v>119.42729475167873</v>
      </c>
      <c r="H293" s="4">
        <v>127.16279009864442</v>
      </c>
      <c r="I293" s="4">
        <v>135.50272015476571</v>
      </c>
      <c r="J293" s="4">
        <v>144.41174803818944</v>
      </c>
      <c r="K293" s="4">
        <v>153.86661057552419</v>
      </c>
      <c r="L293" s="4">
        <v>163.82487046272163</v>
      </c>
      <c r="M293" s="4">
        <v>174.33238036915748</v>
      </c>
      <c r="N293" s="4">
        <v>185.35448401111825</v>
      </c>
      <c r="O293" s="11">
        <f t="shared" si="4"/>
        <v>5.0052602795936825E-2</v>
      </c>
      <c r="P293"/>
      <c r="Q293" s="11"/>
    </row>
    <row r="294" spans="1:17" x14ac:dyDescent="0.35">
      <c r="A294" s="3" t="s">
        <v>99</v>
      </c>
      <c r="B294" s="4">
        <v>21.914525191268126</v>
      </c>
      <c r="C294" s="4">
        <v>22.736905826533665</v>
      </c>
      <c r="D294" s="4">
        <v>23.587648672735952</v>
      </c>
      <c r="E294" s="4">
        <v>24.480151931524773</v>
      </c>
      <c r="F294" s="4">
        <v>25.441680889656489</v>
      </c>
      <c r="G294" s="4">
        <v>26.499771904438415</v>
      </c>
      <c r="H294" s="4">
        <v>27.67321433793515</v>
      </c>
      <c r="I294" s="4">
        <v>28.950243242665888</v>
      </c>
      <c r="J294" s="4">
        <v>30.293319877487065</v>
      </c>
      <c r="K294" s="4">
        <v>31.686097911310782</v>
      </c>
      <c r="L294" s="4">
        <v>33.111826114300086</v>
      </c>
      <c r="M294" s="4">
        <v>34.569572019164376</v>
      </c>
      <c r="N294" s="4">
        <v>36.055254723591979</v>
      </c>
      <c r="O294" s="11">
        <f t="shared" si="4"/>
        <v>3.4804938038582797E-2</v>
      </c>
      <c r="P294"/>
      <c r="Q294" s="11"/>
    </row>
    <row r="295" spans="1:17" x14ac:dyDescent="0.35">
      <c r="A295" s="3" t="s">
        <v>100</v>
      </c>
      <c r="B295" s="4">
        <v>36.329981566431442</v>
      </c>
      <c r="C295" s="4">
        <v>37.99591425134026</v>
      </c>
      <c r="D295" s="4">
        <v>39.761958496539293</v>
      </c>
      <c r="E295" s="4">
        <v>41.698542257538122</v>
      </c>
      <c r="F295" s="4">
        <v>43.776979298818866</v>
      </c>
      <c r="G295" s="4">
        <v>45.996790363601924</v>
      </c>
      <c r="H295" s="4">
        <v>48.339547809326682</v>
      </c>
      <c r="I295" s="4">
        <v>50.790674918760587</v>
      </c>
      <c r="J295" s="4">
        <v>53.350136578852926</v>
      </c>
      <c r="K295" s="4">
        <v>56.109784557184554</v>
      </c>
      <c r="L295" s="4">
        <v>59.069206306191717</v>
      </c>
      <c r="M295" s="4">
        <v>62.169613397212444</v>
      </c>
      <c r="N295" s="4">
        <v>65.385051266306348</v>
      </c>
      <c r="O295" s="11">
        <f t="shared" si="4"/>
        <v>3.9853904209644388E-2</v>
      </c>
      <c r="P295"/>
      <c r="Q295" s="11"/>
    </row>
    <row r="296" spans="1:17" x14ac:dyDescent="0.35">
      <c r="A296" s="1" t="s">
        <v>49</v>
      </c>
      <c r="O296" s="11" t="str">
        <f t="shared" si="4"/>
        <v/>
      </c>
      <c r="P296"/>
      <c r="Q296" s="11"/>
    </row>
    <row r="297" spans="1:17" x14ac:dyDescent="0.35">
      <c r="A297" s="2" t="s">
        <v>54</v>
      </c>
      <c r="O297" s="11" t="str">
        <f t="shared" si="4"/>
        <v/>
      </c>
      <c r="P297"/>
      <c r="Q297" s="11"/>
    </row>
    <row r="298" spans="1:17" x14ac:dyDescent="0.35">
      <c r="A298" s="3" t="s">
        <v>55</v>
      </c>
      <c r="B298" s="4">
        <v>22.590972987249998</v>
      </c>
      <c r="C298" s="4">
        <v>24.692243285899266</v>
      </c>
      <c r="D298" s="4">
        <v>27.022739964710144</v>
      </c>
      <c r="E298" s="4">
        <v>29.625018020271845</v>
      </c>
      <c r="F298" s="4">
        <v>32.537654273096528</v>
      </c>
      <c r="G298" s="4">
        <v>35.814410195584323</v>
      </c>
      <c r="H298" s="4">
        <v>39.489683752989727</v>
      </c>
      <c r="I298" s="4">
        <v>43.599235138720474</v>
      </c>
      <c r="J298" s="4">
        <v>48.141238825851559</v>
      </c>
      <c r="K298" s="4">
        <v>53.145983718381686</v>
      </c>
      <c r="L298" s="4">
        <v>58.603058408850345</v>
      </c>
      <c r="M298" s="4">
        <v>64.513702497153531</v>
      </c>
      <c r="N298" s="4">
        <v>70.930084844302726</v>
      </c>
      <c r="O298" s="11">
        <f t="shared" si="4"/>
        <v>7.8883973342352268E-2</v>
      </c>
      <c r="P298"/>
      <c r="Q298" s="11"/>
    </row>
    <row r="299" spans="1:17" x14ac:dyDescent="0.35">
      <c r="A299" s="3" t="s">
        <v>56</v>
      </c>
      <c r="B299" s="4">
        <v>65.625742132548439</v>
      </c>
      <c r="C299" s="4">
        <v>70.21937408193439</v>
      </c>
      <c r="D299" s="4">
        <v>75.260537960592629</v>
      </c>
      <c r="E299" s="4">
        <v>80.721670885719504</v>
      </c>
      <c r="F299" s="4">
        <v>86.574966006718441</v>
      </c>
      <c r="G299" s="4">
        <v>92.881569995830631</v>
      </c>
      <c r="H299" s="4">
        <v>99.753256565939438</v>
      </c>
      <c r="I299" s="4">
        <v>107.31915754310404</v>
      </c>
      <c r="J299" s="4">
        <v>115.61765301628836</v>
      </c>
      <c r="K299" s="4">
        <v>124.64599773429643</v>
      </c>
      <c r="L299" s="4">
        <v>134.26742185979694</v>
      </c>
      <c r="M299" s="4">
        <v>144.38541516557606</v>
      </c>
      <c r="N299" s="4">
        <v>155.08888695957515</v>
      </c>
      <c r="O299" s="11">
        <f t="shared" si="4"/>
        <v>5.8617367314739967E-2</v>
      </c>
      <c r="P299"/>
      <c r="Q299" s="11"/>
    </row>
    <row r="300" spans="1:17" x14ac:dyDescent="0.35">
      <c r="A300" s="3" t="s">
        <v>57</v>
      </c>
      <c r="B300" s="4">
        <v>143.95313020955933</v>
      </c>
      <c r="C300" s="4">
        <v>152.35675707926811</v>
      </c>
      <c r="D300" s="4">
        <v>161.28960864552431</v>
      </c>
      <c r="E300" s="4">
        <v>170.88409846891915</v>
      </c>
      <c r="F300" s="4">
        <v>181.34349132018505</v>
      </c>
      <c r="G300" s="4">
        <v>192.90387022145899</v>
      </c>
      <c r="H300" s="4">
        <v>205.69440448952554</v>
      </c>
      <c r="I300" s="4">
        <v>219.67515412575858</v>
      </c>
      <c r="J300" s="4">
        <v>234.61486177815965</v>
      </c>
      <c r="K300" s="4">
        <v>250.42296525518992</v>
      </c>
      <c r="L300" s="4">
        <v>266.99779614837968</v>
      </c>
      <c r="M300" s="4">
        <v>284.3745588753755</v>
      </c>
      <c r="N300" s="4">
        <v>302.56644985455978</v>
      </c>
      <c r="O300" s="11">
        <f t="shared" si="4"/>
        <v>5.1283821414630879E-2</v>
      </c>
      <c r="P300"/>
      <c r="Q300" s="11"/>
    </row>
    <row r="301" spans="1:17" x14ac:dyDescent="0.35">
      <c r="A301" s="2" t="s">
        <v>30</v>
      </c>
      <c r="O301" s="11" t="str">
        <f t="shared" si="4"/>
        <v/>
      </c>
      <c r="P301"/>
      <c r="Q301" s="11"/>
    </row>
    <row r="302" spans="1:17" x14ac:dyDescent="0.35">
      <c r="A302" s="3" t="s">
        <v>45</v>
      </c>
      <c r="B302" s="4">
        <v>53.164708046566837</v>
      </c>
      <c r="C302" s="4">
        <v>56.27322479381165</v>
      </c>
      <c r="D302" s="4">
        <v>59.4730333795913</v>
      </c>
      <c r="E302" s="4">
        <v>62.809755003124408</v>
      </c>
      <c r="F302" s="4">
        <v>66.378093717675611</v>
      </c>
      <c r="G302" s="4">
        <v>70.25077948233654</v>
      </c>
      <c r="H302" s="4">
        <v>74.548703189171022</v>
      </c>
      <c r="I302" s="4">
        <v>79.252365500660005</v>
      </c>
      <c r="J302" s="4">
        <v>84.29885658126824</v>
      </c>
      <c r="K302" s="4">
        <v>89.707027773883738</v>
      </c>
      <c r="L302" s="4">
        <v>95.492878147685872</v>
      </c>
      <c r="M302" s="4">
        <v>101.66731670468191</v>
      </c>
      <c r="N302" s="4">
        <v>108.18312505539843</v>
      </c>
      <c r="O302" s="11">
        <f t="shared" si="4"/>
        <v>4.9141977171869244E-2</v>
      </c>
      <c r="P302"/>
      <c r="Q302" s="11"/>
    </row>
    <row r="303" spans="1:17" x14ac:dyDescent="0.35">
      <c r="A303" s="3" t="s">
        <v>50</v>
      </c>
      <c r="B303" s="4">
        <v>103.2382652696362</v>
      </c>
      <c r="C303" s="4">
        <v>110.24937073549134</v>
      </c>
      <c r="D303" s="4">
        <v>117.93264757553406</v>
      </c>
      <c r="E303" s="4">
        <v>126.36130550092918</v>
      </c>
      <c r="F303" s="4">
        <v>135.6596760414202</v>
      </c>
      <c r="G303" s="4">
        <v>146.01997263974062</v>
      </c>
      <c r="H303" s="4">
        <v>157.52964063948576</v>
      </c>
      <c r="I303" s="4">
        <v>170.28072603173837</v>
      </c>
      <c r="J303" s="4">
        <v>184.14173261027696</v>
      </c>
      <c r="K303" s="4">
        <v>199.03144317652129</v>
      </c>
      <c r="L303" s="4">
        <v>214.75259268208671</v>
      </c>
      <c r="M303" s="4">
        <v>231.24253150415353</v>
      </c>
      <c r="N303" s="4">
        <v>248.66692633486446</v>
      </c>
      <c r="O303" s="11">
        <f t="shared" si="4"/>
        <v>6.0936837939398927E-2</v>
      </c>
      <c r="P303"/>
      <c r="Q303" s="11"/>
    </row>
    <row r="304" spans="1:17" x14ac:dyDescent="0.35">
      <c r="A304" s="3" t="s">
        <v>51</v>
      </c>
      <c r="B304" s="4">
        <v>75.766872013154753</v>
      </c>
      <c r="C304" s="4">
        <v>80.745778917798759</v>
      </c>
      <c r="D304" s="4">
        <v>86.167205615701732</v>
      </c>
      <c r="E304" s="4">
        <v>92.059726870856906</v>
      </c>
      <c r="F304" s="4">
        <v>98.418341840904205</v>
      </c>
      <c r="G304" s="4">
        <v>105.32909829079679</v>
      </c>
      <c r="H304" s="4">
        <v>112.85900097979794</v>
      </c>
      <c r="I304" s="4">
        <v>121.06045527518469</v>
      </c>
      <c r="J304" s="4">
        <v>129.93316442875437</v>
      </c>
      <c r="K304" s="4">
        <v>139.47647575746299</v>
      </c>
      <c r="L304" s="4">
        <v>149.62280558725439</v>
      </c>
      <c r="M304" s="4">
        <v>160.36382832926967</v>
      </c>
      <c r="N304" s="4">
        <v>171.73537026817473</v>
      </c>
      <c r="O304" s="11">
        <f t="shared" si="4"/>
        <v>5.5820654982661491E-2</v>
      </c>
      <c r="P304"/>
      <c r="Q304" s="11"/>
    </row>
    <row r="305" spans="1:17" x14ac:dyDescent="0.35">
      <c r="A305" s="2" t="s">
        <v>47</v>
      </c>
      <c r="O305" s="11" t="str">
        <f t="shared" si="4"/>
        <v/>
      </c>
      <c r="P305"/>
      <c r="Q305" s="11"/>
    </row>
    <row r="306" spans="1:17" x14ac:dyDescent="0.35">
      <c r="A306" s="3" t="s">
        <v>82</v>
      </c>
      <c r="B306" s="4">
        <v>88.216715119798437</v>
      </c>
      <c r="C306" s="4">
        <v>94.911617367833657</v>
      </c>
      <c r="D306" s="4">
        <v>102.28327792530277</v>
      </c>
      <c r="E306" s="4">
        <v>110.34668890599136</v>
      </c>
      <c r="F306" s="4">
        <v>119.11262027981496</v>
      </c>
      <c r="G306" s="4">
        <v>128.69598019141495</v>
      </c>
      <c r="H306" s="4">
        <v>139.24294031892916</v>
      </c>
      <c r="I306" s="4">
        <v>150.91839268182451</v>
      </c>
      <c r="J306" s="4">
        <v>163.75889184213992</v>
      </c>
      <c r="K306" s="4">
        <v>177.7919814526781</v>
      </c>
      <c r="L306" s="4">
        <v>192.87048026864727</v>
      </c>
      <c r="M306" s="4">
        <v>208.89911766272959</v>
      </c>
      <c r="N306" s="4">
        <v>226.01897180387789</v>
      </c>
      <c r="O306" s="11">
        <f t="shared" si="4"/>
        <v>6.4573241711135765E-2</v>
      </c>
      <c r="P306"/>
      <c r="Q306" s="11"/>
    </row>
    <row r="307" spans="1:17" x14ac:dyDescent="0.35">
      <c r="A307" s="3" t="s">
        <v>83</v>
      </c>
      <c r="B307" s="4">
        <v>143.95313020955933</v>
      </c>
      <c r="C307" s="4">
        <v>152.35675707926811</v>
      </c>
      <c r="D307" s="4">
        <v>161.28960864552431</v>
      </c>
      <c r="E307" s="4">
        <v>170.88409846891915</v>
      </c>
      <c r="F307" s="4">
        <v>181.34349132018505</v>
      </c>
      <c r="G307" s="4">
        <v>192.90387022145899</v>
      </c>
      <c r="H307" s="4">
        <v>205.69440448952554</v>
      </c>
      <c r="I307" s="4">
        <v>219.67515412575858</v>
      </c>
      <c r="J307" s="4">
        <v>234.61486177815965</v>
      </c>
      <c r="K307" s="4">
        <v>250.42296525518992</v>
      </c>
      <c r="L307" s="4">
        <v>266.99779614837968</v>
      </c>
      <c r="M307" s="4">
        <v>284.3745588753755</v>
      </c>
      <c r="N307" s="4">
        <v>302.56644985455978</v>
      </c>
      <c r="O307" s="11">
        <f t="shared" si="4"/>
        <v>5.1283821414630879E-2</v>
      </c>
      <c r="P307"/>
      <c r="Q307" s="11"/>
    </row>
    <row r="308" spans="1:17" x14ac:dyDescent="0.35">
      <c r="A308" s="2" t="s">
        <v>59</v>
      </c>
      <c r="O308" s="11" t="str">
        <f t="shared" si="4"/>
        <v/>
      </c>
      <c r="P308"/>
      <c r="Q308" s="11"/>
    </row>
    <row r="309" spans="1:17" x14ac:dyDescent="0.35">
      <c r="A309" s="3" t="s">
        <v>60</v>
      </c>
      <c r="O309" s="11" t="str">
        <f t="shared" si="4"/>
        <v/>
      </c>
      <c r="P309"/>
      <c r="Q309" s="11"/>
    </row>
    <row r="310" spans="1:17" x14ac:dyDescent="0.35">
      <c r="A310" s="34" t="s">
        <v>61</v>
      </c>
      <c r="B310" s="4">
        <v>47.969791853652893</v>
      </c>
      <c r="C310" s="4">
        <v>51.090285629195428</v>
      </c>
      <c r="D310" s="4">
        <v>54.493588387012785</v>
      </c>
      <c r="E310" s="4">
        <v>58.253090814268504</v>
      </c>
      <c r="F310" s="4">
        <v>62.537187552139955</v>
      </c>
      <c r="G310" s="4">
        <v>67.452774607597746</v>
      </c>
      <c r="H310" s="4">
        <v>73.031688533325706</v>
      </c>
      <c r="I310" s="4">
        <v>79.170915519608258</v>
      </c>
      <c r="J310" s="4">
        <v>85.652174373523394</v>
      </c>
      <c r="K310" s="4">
        <v>92.398497671568009</v>
      </c>
      <c r="L310" s="4">
        <v>99.126074230302606</v>
      </c>
      <c r="M310" s="4">
        <v>105.91073568926717</v>
      </c>
      <c r="N310" s="4">
        <v>112.92852539666856</v>
      </c>
      <c r="O310" s="11">
        <f t="shared" si="4"/>
        <v>5.8929612122388127E-2</v>
      </c>
      <c r="P310"/>
      <c r="Q310" s="11"/>
    </row>
    <row r="311" spans="1:17" x14ac:dyDescent="0.35">
      <c r="A311" s="43" t="s">
        <v>62</v>
      </c>
      <c r="B311" s="4">
        <v>8.6891694439506288</v>
      </c>
      <c r="C311" s="4">
        <v>9.5434584681434238</v>
      </c>
      <c r="D311" s="4">
        <v>10.497436267373731</v>
      </c>
      <c r="E311" s="4">
        <v>11.546500821923996</v>
      </c>
      <c r="F311" s="4">
        <v>12.690309257844049</v>
      </c>
      <c r="G311" s="4">
        <v>13.941356793146706</v>
      </c>
      <c r="H311" s="4">
        <v>15.327689298574404</v>
      </c>
      <c r="I311" s="4">
        <v>16.890003615043391</v>
      </c>
      <c r="J311" s="4">
        <v>18.65683511021151</v>
      </c>
      <c r="K311" s="4">
        <v>20.628708557247293</v>
      </c>
      <c r="L311" s="4">
        <v>22.810641186778472</v>
      </c>
      <c r="M311" s="4">
        <v>25.192892924165442</v>
      </c>
      <c r="N311" s="4">
        <v>27.788561591216361</v>
      </c>
      <c r="O311" s="11">
        <f t="shared" si="4"/>
        <v>7.9653901154363368E-2</v>
      </c>
      <c r="P311"/>
      <c r="Q311" s="11"/>
    </row>
    <row r="312" spans="1:17" x14ac:dyDescent="0.35">
      <c r="A312" s="43" t="s">
        <v>63</v>
      </c>
      <c r="B312" s="4">
        <v>17.413922040761197</v>
      </c>
      <c r="C312" s="4">
        <v>18.639813066176249</v>
      </c>
      <c r="D312" s="4">
        <v>19.984544995006971</v>
      </c>
      <c r="E312" s="4">
        <v>21.451629732163553</v>
      </c>
      <c r="F312" s="4">
        <v>23.042222189535202</v>
      </c>
      <c r="G312" s="4">
        <v>24.786749251487528</v>
      </c>
      <c r="H312" s="4">
        <v>26.702296595276724</v>
      </c>
      <c r="I312" s="4">
        <v>28.814895743880072</v>
      </c>
      <c r="J312" s="4">
        <v>31.117353257299015</v>
      </c>
      <c r="K312" s="4">
        <v>33.604428821364927</v>
      </c>
      <c r="L312" s="4">
        <v>36.243182095384348</v>
      </c>
      <c r="M312" s="4">
        <v>39.015325631940684</v>
      </c>
      <c r="N312" s="4">
        <v>41.950145035514382</v>
      </c>
      <c r="O312" s="11">
        <f t="shared" si="4"/>
        <v>6.0206426966572885E-2</v>
      </c>
      <c r="P312"/>
      <c r="Q312" s="11"/>
    </row>
    <row r="313" spans="1:17" x14ac:dyDescent="0.35">
      <c r="A313" s="43" t="s">
        <v>64</v>
      </c>
      <c r="B313" s="4">
        <v>21.866700368941068</v>
      </c>
      <c r="C313" s="4">
        <v>22.907014094875755</v>
      </c>
      <c r="D313" s="4">
        <v>24.011607124632086</v>
      </c>
      <c r="E313" s="4">
        <v>25.254960260180955</v>
      </c>
      <c r="F313" s="4">
        <v>26.804656104760699</v>
      </c>
      <c r="G313" s="4">
        <v>28.724668562963522</v>
      </c>
      <c r="H313" s="4">
        <v>31.001702639474587</v>
      </c>
      <c r="I313" s="4">
        <v>33.466016160684802</v>
      </c>
      <c r="J313" s="4">
        <v>35.877986006012861</v>
      </c>
      <c r="K313" s="4">
        <v>38.165360292955796</v>
      </c>
      <c r="L313" s="4">
        <v>40.072250948139782</v>
      </c>
      <c r="M313" s="4">
        <v>41.702517133161059</v>
      </c>
      <c r="N313" s="4">
        <v>43.189818769937816</v>
      </c>
      <c r="O313" s="11">
        <f t="shared" si="4"/>
        <v>4.6358980758404306E-2</v>
      </c>
      <c r="P313"/>
      <c r="Q313" s="11"/>
    </row>
    <row r="314" spans="1:17" x14ac:dyDescent="0.35">
      <c r="A314" s="34" t="s">
        <v>65</v>
      </c>
      <c r="B314" s="4">
        <v>41.846614334792058</v>
      </c>
      <c r="C314" s="4">
        <v>44.611298227446106</v>
      </c>
      <c r="D314" s="4">
        <v>47.616517267814785</v>
      </c>
      <c r="E314" s="4">
        <v>50.834548920454417</v>
      </c>
      <c r="F314" s="4">
        <v>54.226114814300303</v>
      </c>
      <c r="G314" s="4">
        <v>57.800396153260309</v>
      </c>
      <c r="H314" s="4">
        <v>61.633104288439682</v>
      </c>
      <c r="I314" s="4">
        <v>65.834226984071819</v>
      </c>
      <c r="J314" s="4">
        <v>70.479083353854122</v>
      </c>
      <c r="K314" s="4">
        <v>75.560045058831165</v>
      </c>
      <c r="L314" s="4">
        <v>81.067456040158049</v>
      </c>
      <c r="M314" s="4">
        <v>86.90845601403467</v>
      </c>
      <c r="N314" s="4">
        <v>93.060572510743569</v>
      </c>
      <c r="O314" s="11">
        <f t="shared" si="4"/>
        <v>5.4342361750380222E-2</v>
      </c>
      <c r="P314"/>
      <c r="Q314" s="11"/>
    </row>
    <row r="315" spans="1:17" x14ac:dyDescent="0.35">
      <c r="A315" s="34" t="s">
        <v>66</v>
      </c>
      <c r="B315" s="4">
        <v>27.141207773093328</v>
      </c>
      <c r="C315" s="4">
        <v>28.729725033446115</v>
      </c>
      <c r="D315" s="4">
        <v>30.335228421785292</v>
      </c>
      <c r="E315" s="4">
        <v>31.999563613924849</v>
      </c>
      <c r="F315" s="4">
        <v>33.796827114659045</v>
      </c>
      <c r="G315" s="4">
        <v>35.797248980536736</v>
      </c>
      <c r="H315" s="4">
        <v>38.050007352342092</v>
      </c>
      <c r="I315" s="4">
        <v>40.516364117706296</v>
      </c>
      <c r="J315" s="4">
        <v>43.121253834584628</v>
      </c>
      <c r="K315" s="4">
        <v>45.856660321425174</v>
      </c>
      <c r="L315" s="4">
        <v>48.75542622900258</v>
      </c>
      <c r="M315" s="4">
        <v>51.861248297702268</v>
      </c>
      <c r="N315" s="4">
        <v>55.141803552497677</v>
      </c>
      <c r="O315" s="11">
        <f t="shared" si="4"/>
        <v>4.917497643960439E-2</v>
      </c>
      <c r="P315"/>
      <c r="Q315" s="11"/>
    </row>
    <row r="316" spans="1:17" x14ac:dyDescent="0.35">
      <c r="A316" s="34" t="s">
        <v>67</v>
      </c>
      <c r="B316" s="4">
        <v>17.109349461994405</v>
      </c>
      <c r="C316" s="4">
        <v>17.981172186992676</v>
      </c>
      <c r="D316" s="4">
        <v>18.898826254983668</v>
      </c>
      <c r="E316" s="4">
        <v>19.859427661923679</v>
      </c>
      <c r="F316" s="4">
        <v>20.867405250226501</v>
      </c>
      <c r="G316" s="4">
        <v>21.949316402564875</v>
      </c>
      <c r="H316" s="4">
        <v>23.124649456900983</v>
      </c>
      <c r="I316" s="4">
        <v>24.411236681843512</v>
      </c>
      <c r="J316" s="4">
        <v>25.802471130522338</v>
      </c>
      <c r="K316" s="4">
        <v>27.273460201452053</v>
      </c>
      <c r="L316" s="4">
        <v>28.831060661302601</v>
      </c>
      <c r="M316" s="4">
        <v>30.464818286027121</v>
      </c>
      <c r="N316" s="4">
        <v>32.159091793732514</v>
      </c>
      <c r="O316" s="11">
        <f t="shared" si="4"/>
        <v>4.3353361475889932E-2</v>
      </c>
      <c r="P316"/>
      <c r="Q316" s="11"/>
    </row>
    <row r="317" spans="1:17" x14ac:dyDescent="0.35">
      <c r="A317" s="34" t="s">
        <v>68</v>
      </c>
      <c r="B317" s="4">
        <v>28.328392315216057</v>
      </c>
      <c r="C317" s="4">
        <v>30.57942397325985</v>
      </c>
      <c r="D317" s="4">
        <v>33.037399219219793</v>
      </c>
      <c r="E317" s="4">
        <v>35.728058962518972</v>
      </c>
      <c r="F317" s="4">
        <v>38.632774738733808</v>
      </c>
      <c r="G317" s="4">
        <v>41.785666850177954</v>
      </c>
      <c r="H317" s="4">
        <v>45.20951752007273</v>
      </c>
      <c r="I317" s="4">
        <v>48.958021118901129</v>
      </c>
      <c r="J317" s="4">
        <v>53.065742492166336</v>
      </c>
      <c r="K317" s="4">
        <v>57.577808387540216</v>
      </c>
      <c r="L317" s="4">
        <v>62.521294933409344</v>
      </c>
      <c r="M317" s="4">
        <v>67.852783864228357</v>
      </c>
      <c r="N317" s="4">
        <v>73.570889268447047</v>
      </c>
      <c r="O317" s="11">
        <f t="shared" si="4"/>
        <v>6.4872544450816055E-2</v>
      </c>
      <c r="P317"/>
      <c r="Q317" s="11"/>
    </row>
    <row r="318" spans="1:17" x14ac:dyDescent="0.35">
      <c r="A318" s="34" t="s">
        <v>69</v>
      </c>
      <c r="B318" s="4">
        <v>32.630867750626415</v>
      </c>
      <c r="C318" s="4">
        <v>33.970423617353241</v>
      </c>
      <c r="D318" s="4">
        <v>35.422729809732267</v>
      </c>
      <c r="E318" s="4">
        <v>36.986656413446028</v>
      </c>
      <c r="F318" s="4">
        <v>38.66390045117317</v>
      </c>
      <c r="G318" s="4">
        <v>40.493847426819173</v>
      </c>
      <c r="H318" s="4">
        <v>42.486459015492365</v>
      </c>
      <c r="I318" s="4">
        <v>44.65881296250376</v>
      </c>
      <c r="J318" s="4">
        <v>46.970532436054462</v>
      </c>
      <c r="K318" s="4">
        <v>49.39089557212489</v>
      </c>
      <c r="L318" s="4">
        <v>51.855404860050257</v>
      </c>
      <c r="M318" s="4">
        <v>54.331349177377035</v>
      </c>
      <c r="N318" s="4">
        <v>56.850211894128037</v>
      </c>
      <c r="O318" s="11">
        <f t="shared" si="4"/>
        <v>3.8416187345117689E-2</v>
      </c>
      <c r="P318"/>
      <c r="Q318" s="11"/>
    </row>
    <row r="319" spans="1:17" x14ac:dyDescent="0.35">
      <c r="A319" s="3" t="s">
        <v>70</v>
      </c>
      <c r="O319" s="11" t="str">
        <f t="shared" si="4"/>
        <v/>
      </c>
      <c r="P319"/>
      <c r="Q319" s="11"/>
    </row>
    <row r="320" spans="1:17" x14ac:dyDescent="0.35">
      <c r="A320" s="34" t="s">
        <v>71</v>
      </c>
      <c r="B320" s="4">
        <v>4.9486811367405847</v>
      </c>
      <c r="C320" s="4">
        <v>5.4672522421514742</v>
      </c>
      <c r="D320" s="4">
        <v>6.0477712315254113</v>
      </c>
      <c r="E320" s="4">
        <v>6.6870931358851262</v>
      </c>
      <c r="F320" s="4">
        <v>7.3812500048300098</v>
      </c>
      <c r="G320" s="4">
        <v>8.1438720828151805</v>
      </c>
      <c r="H320" s="4">
        <v>8.988822912331413</v>
      </c>
      <c r="I320" s="4">
        <v>9.9456120266637544</v>
      </c>
      <c r="J320" s="4">
        <v>11.033194701556567</v>
      </c>
      <c r="K320" s="4">
        <v>12.249350813163192</v>
      </c>
      <c r="L320" s="4">
        <v>13.606216656552863</v>
      </c>
      <c r="M320" s="4">
        <v>15.098630737691767</v>
      </c>
      <c r="N320" s="4">
        <v>16.734812748826101</v>
      </c>
      <c r="O320" s="11">
        <f t="shared" si="4"/>
        <v>8.3314197452123331E-2</v>
      </c>
      <c r="P320"/>
      <c r="Q320" s="11"/>
    </row>
    <row r="321" spans="1:17" x14ac:dyDescent="0.35">
      <c r="A321" s="34" t="s">
        <v>72</v>
      </c>
      <c r="B321" s="4">
        <v>3.8217945391422772</v>
      </c>
      <c r="C321" s="4">
        <v>4.2480786648969469</v>
      </c>
      <c r="D321" s="4">
        <v>4.7293496415237168</v>
      </c>
      <c r="E321" s="4">
        <v>5.27102527315082</v>
      </c>
      <c r="F321" s="4">
        <v>5.8815671306419368</v>
      </c>
      <c r="G321" s="4">
        <v>6.5719289101129119</v>
      </c>
      <c r="H321" s="4">
        <v>7.3561730106457723</v>
      </c>
      <c r="I321" s="4">
        <v>8.2491254342828171</v>
      </c>
      <c r="J321" s="4">
        <v>9.2587904254308278</v>
      </c>
      <c r="K321" s="4">
        <v>10.392543093025793</v>
      </c>
      <c r="L321" s="4">
        <v>11.649535453478119</v>
      </c>
      <c r="M321" s="4">
        <v>13.033955419112889</v>
      </c>
      <c r="N321" s="4">
        <v>14.563368757823115</v>
      </c>
      <c r="O321" s="11">
        <f t="shared" si="4"/>
        <v>9.2437385984492498E-2</v>
      </c>
      <c r="P321"/>
      <c r="Q321" s="11"/>
    </row>
    <row r="322" spans="1:17" x14ac:dyDescent="0.35">
      <c r="A322" s="34" t="s">
        <v>73</v>
      </c>
      <c r="B322" s="4">
        <v>3.6429784839841775</v>
      </c>
      <c r="C322" s="4">
        <v>3.9197692261926602</v>
      </c>
      <c r="D322" s="4">
        <v>4.2224294967260461</v>
      </c>
      <c r="E322" s="4">
        <v>4.5535262513854091</v>
      </c>
      <c r="F322" s="4">
        <v>4.9142016542420075</v>
      </c>
      <c r="G322" s="4">
        <v>5.3090280737807971</v>
      </c>
      <c r="H322" s="4">
        <v>5.7421483157188042</v>
      </c>
      <c r="I322" s="4">
        <v>6.2158264161603149</v>
      </c>
      <c r="J322" s="4">
        <v>6.7308578509591719</v>
      </c>
      <c r="K322" s="4">
        <v>7.2881413550300742</v>
      </c>
      <c r="L322" s="4">
        <v>7.8864193973103616</v>
      </c>
      <c r="M322" s="4">
        <v>8.5279995403769213</v>
      </c>
      <c r="N322" s="4">
        <v>9.2140670913518914</v>
      </c>
      <c r="O322" s="11">
        <f t="shared" si="4"/>
        <v>6.3173244395250489E-2</v>
      </c>
      <c r="P322"/>
      <c r="Q322" s="11"/>
    </row>
    <row r="323" spans="1:17" x14ac:dyDescent="0.35">
      <c r="A323" s="34" t="s">
        <v>74</v>
      </c>
      <c r="B323" s="4">
        <v>4.1461756370810541</v>
      </c>
      <c r="C323" s="4">
        <v>4.4970572411295731</v>
      </c>
      <c r="D323" s="4">
        <v>4.873040728754809</v>
      </c>
      <c r="E323" s="4">
        <v>5.2871414041785307</v>
      </c>
      <c r="F323" s="4">
        <v>5.7459074546005162</v>
      </c>
      <c r="G323" s="4">
        <v>6.255772238551387</v>
      </c>
      <c r="H323" s="4">
        <v>6.8203496166338313</v>
      </c>
      <c r="I323" s="4">
        <v>7.4367299978614128</v>
      </c>
      <c r="J323" s="4">
        <v>8.1024046193547417</v>
      </c>
      <c r="K323" s="4">
        <v>8.8328219330788365</v>
      </c>
      <c r="L323" s="4">
        <v>9.6377575249069718</v>
      </c>
      <c r="M323" s="4">
        <v>10.519255364642618</v>
      </c>
      <c r="N323" s="4">
        <v>11.474589077494088</v>
      </c>
      <c r="O323" s="11">
        <f t="shared" si="4"/>
        <v>6.972688919637389E-2</v>
      </c>
      <c r="P323"/>
      <c r="Q323" s="11"/>
    </row>
    <row r="324" spans="1:17" x14ac:dyDescent="0.35">
      <c r="A324" s="34" t="s">
        <v>75</v>
      </c>
      <c r="B324" s="4">
        <v>3.3428919104846191</v>
      </c>
      <c r="C324" s="4">
        <v>3.6575699546629776</v>
      </c>
      <c r="D324" s="4">
        <v>4.0061858102028749</v>
      </c>
      <c r="E324" s="4">
        <v>4.3889812903307464</v>
      </c>
      <c r="F324" s="4">
        <v>4.8066110286881116</v>
      </c>
      <c r="G324" s="4">
        <v>5.2663331597436738</v>
      </c>
      <c r="H324" s="4">
        <v>5.7754043625278344</v>
      </c>
      <c r="I324" s="4">
        <v>6.3452785547791901</v>
      </c>
      <c r="J324" s="4">
        <v>6.982747404622188</v>
      </c>
      <c r="K324" s="4">
        <v>7.685795228159277</v>
      </c>
      <c r="L324" s="4">
        <v>8.4599427940634992</v>
      </c>
      <c r="M324" s="4">
        <v>9.3056081252493676</v>
      </c>
      <c r="N324" s="4">
        <v>10.224357929360202</v>
      </c>
      <c r="O324" s="11">
        <f t="shared" si="4"/>
        <v>7.6500387552231708E-2</v>
      </c>
      <c r="P324"/>
      <c r="Q324" s="11"/>
    </row>
    <row r="325" spans="1:17" x14ac:dyDescent="0.35">
      <c r="A325" s="3" t="s">
        <v>76</v>
      </c>
      <c r="O325" s="11" t="str">
        <f t="shared" si="4"/>
        <v/>
      </c>
      <c r="P325"/>
      <c r="Q325" s="11"/>
    </row>
    <row r="326" spans="1:17" x14ac:dyDescent="0.35">
      <c r="A326" s="34" t="s">
        <v>77</v>
      </c>
      <c r="B326" s="4">
        <v>5.0612464047844279</v>
      </c>
      <c r="C326" s="4">
        <v>5.465575091766584</v>
      </c>
      <c r="D326" s="4">
        <v>5.893975189468649</v>
      </c>
      <c r="E326" s="4">
        <v>6.3486624526156419</v>
      </c>
      <c r="F326" s="4">
        <v>6.8373910200954855</v>
      </c>
      <c r="G326" s="4">
        <v>7.3752431078106131</v>
      </c>
      <c r="H326" s="4">
        <v>7.9746938546014317</v>
      </c>
      <c r="I326" s="4">
        <v>8.6434048172837254</v>
      </c>
      <c r="J326" s="4">
        <v>9.3779641397149263</v>
      </c>
      <c r="K326" s="4">
        <v>10.17345447058535</v>
      </c>
      <c r="L326" s="4">
        <v>11.039894381093283</v>
      </c>
      <c r="M326" s="4">
        <v>11.979718787313196</v>
      </c>
      <c r="N326" s="4">
        <v>12.989301508586582</v>
      </c>
      <c r="O326" s="11">
        <f t="shared" si="4"/>
        <v>6.4908177275902951E-2</v>
      </c>
      <c r="P326"/>
      <c r="Q326" s="11"/>
    </row>
    <row r="327" spans="1:17" x14ac:dyDescent="0.35">
      <c r="A327" s="34" t="s">
        <v>78</v>
      </c>
      <c r="B327" s="4">
        <v>4.6797148794676229</v>
      </c>
      <c r="C327" s="4">
        <v>4.9747140666917717</v>
      </c>
      <c r="D327" s="4">
        <v>5.2932784758818903</v>
      </c>
      <c r="E327" s="4">
        <v>5.6400410903635603</v>
      </c>
      <c r="F327" s="4">
        <v>6.0154632447005891</v>
      </c>
      <c r="G327" s="4">
        <v>6.4193244884134657</v>
      </c>
      <c r="H327" s="4">
        <v>6.8559735889177214</v>
      </c>
      <c r="I327" s="4">
        <v>7.3259936639197605</v>
      </c>
      <c r="J327" s="4">
        <v>7.8314206842908032</v>
      </c>
      <c r="K327" s="4">
        <v>8.3781247675464332</v>
      </c>
      <c r="L327" s="4">
        <v>8.9644130511249003</v>
      </c>
      <c r="M327" s="4">
        <v>9.5875073772511268</v>
      </c>
      <c r="N327" s="4">
        <v>10.244620229469877</v>
      </c>
      <c r="O327" s="11">
        <f t="shared" si="4"/>
        <v>5.3310180088620332E-2</v>
      </c>
      <c r="P327"/>
      <c r="Q327" s="11"/>
    </row>
    <row r="328" spans="1:17" x14ac:dyDescent="0.35">
      <c r="A328" s="34" t="s">
        <v>79</v>
      </c>
      <c r="B328" s="4">
        <v>2.7498274831477496</v>
      </c>
      <c r="C328" s="4">
        <v>3.0223867281416581</v>
      </c>
      <c r="D328" s="4">
        <v>3.3226116909265118</v>
      </c>
      <c r="E328" s="4">
        <v>3.6618509562651966</v>
      </c>
      <c r="F328" s="4">
        <v>4.0431083484069905</v>
      </c>
      <c r="G328" s="4">
        <v>4.4692473501539043</v>
      </c>
      <c r="H328" s="4">
        <v>4.9413401937014614</v>
      </c>
      <c r="I328" s="4">
        <v>5.4593358838261956</v>
      </c>
      <c r="J328" s="4">
        <v>6.0264802195207627</v>
      </c>
      <c r="K328" s="4">
        <v>6.6606650474611921</v>
      </c>
      <c r="L328" s="4">
        <v>7.3711893971363986</v>
      </c>
      <c r="M328" s="4">
        <v>8.1585708250473417</v>
      </c>
      <c r="N328" s="4">
        <v>9.023615092194877</v>
      </c>
      <c r="O328" s="11">
        <f t="shared" si="4"/>
        <v>8.1197742080437021E-2</v>
      </c>
      <c r="P328"/>
      <c r="Q328" s="11"/>
    </row>
    <row r="329" spans="1:17" x14ac:dyDescent="0.35">
      <c r="A329" s="34" t="s">
        <v>80</v>
      </c>
      <c r="B329" s="4">
        <v>2.2477390083598503</v>
      </c>
      <c r="C329" s="4">
        <v>2.3727960743795746</v>
      </c>
      <c r="D329" s="4">
        <v>2.5045194695200474</v>
      </c>
      <c r="E329" s="4">
        <v>2.6460276986622109</v>
      </c>
      <c r="F329" s="4">
        <v>2.7971502544219367</v>
      </c>
      <c r="G329" s="4">
        <v>2.9601463782904363</v>
      </c>
      <c r="H329" s="4">
        <v>3.1358857812208827</v>
      </c>
      <c r="I329" s="4">
        <v>3.3240267802062182</v>
      </c>
      <c r="J329" s="4">
        <v>3.5233653224670571</v>
      </c>
      <c r="K329" s="4">
        <v>3.7375340522855192</v>
      </c>
      <c r="L329" s="4">
        <v>3.9666179316217276</v>
      </c>
      <c r="M329" s="4">
        <v>4.2084885292234144</v>
      </c>
      <c r="N329" s="4">
        <v>4.4622286333519146</v>
      </c>
      <c r="O329" s="11">
        <f t="shared" si="4"/>
        <v>4.6656783190776333E-2</v>
      </c>
      <c r="P329"/>
      <c r="Q329" s="11"/>
    </row>
    <row r="330" spans="1:17" x14ac:dyDescent="0.35">
      <c r="A330" s="34" t="s">
        <v>81</v>
      </c>
      <c r="B330" s="4">
        <v>2.502572356790262</v>
      </c>
      <c r="C330" s="4">
        <v>2.6808464893951172</v>
      </c>
      <c r="D330" s="4">
        <v>2.875435475748521</v>
      </c>
      <c r="E330" s="4">
        <v>3.0850914355367816</v>
      </c>
      <c r="F330" s="4">
        <v>3.3092515381396472</v>
      </c>
      <c r="G330" s="4">
        <v>3.5497042022447838</v>
      </c>
      <c r="H330" s="4">
        <v>3.8111270055820095</v>
      </c>
      <c r="I330" s="4">
        <v>4.0986358479648963</v>
      </c>
      <c r="J330" s="4">
        <v>4.4152706316772328</v>
      </c>
      <c r="K330" s="4">
        <v>4.7591487345908785</v>
      </c>
      <c r="L330" s="4">
        <v>5.1295728755134471</v>
      </c>
      <c r="M330" s="4">
        <v>5.5245505035598184</v>
      </c>
      <c r="N330" s="4">
        <v>5.9433661737615386</v>
      </c>
      <c r="O330" s="11">
        <f t="shared" si="4"/>
        <v>5.8939496650492314E-2</v>
      </c>
      <c r="P330"/>
      <c r="Q330" s="11"/>
    </row>
    <row r="331" spans="1:17" x14ac:dyDescent="0.35">
      <c r="A331" s="2" t="s">
        <v>84</v>
      </c>
      <c r="O331" s="11" t="str">
        <f t="shared" si="4"/>
        <v/>
      </c>
      <c r="P331"/>
      <c r="Q331" s="11"/>
    </row>
    <row r="332" spans="1:17" x14ac:dyDescent="0.35">
      <c r="A332" s="3" t="s">
        <v>85</v>
      </c>
      <c r="B332" s="4">
        <v>13.952907474486246</v>
      </c>
      <c r="C332" s="4">
        <v>14.640595276828222</v>
      </c>
      <c r="D332" s="4">
        <v>15.384847564354384</v>
      </c>
      <c r="E332" s="4">
        <v>16.17740030157346</v>
      </c>
      <c r="F332" s="4">
        <v>17.000740857313154</v>
      </c>
      <c r="G332" s="4">
        <v>17.847628847489283</v>
      </c>
      <c r="H332" s="4">
        <v>18.74109795312302</v>
      </c>
      <c r="I332" s="4">
        <v>19.701777812031672</v>
      </c>
      <c r="J332" s="4">
        <v>20.747782513844371</v>
      </c>
      <c r="K332" s="4">
        <v>21.889904823537023</v>
      </c>
      <c r="L332" s="4">
        <v>23.103652907624497</v>
      </c>
      <c r="M332" s="4">
        <v>24.360518719854333</v>
      </c>
      <c r="N332" s="4">
        <v>25.661256230466822</v>
      </c>
      <c r="O332" s="11">
        <f t="shared" si="4"/>
        <v>4.1170685516753937E-2</v>
      </c>
      <c r="P332"/>
      <c r="Q332" s="11"/>
    </row>
    <row r="333" spans="1:17" x14ac:dyDescent="0.35">
      <c r="A333" s="3" t="s">
        <v>86</v>
      </c>
      <c r="B333" s="4">
        <v>41.042902742294267</v>
      </c>
      <c r="C333" s="4">
        <v>43.250237683732323</v>
      </c>
      <c r="D333" s="4">
        <v>45.647723680998837</v>
      </c>
      <c r="E333" s="4">
        <v>48.210976479905106</v>
      </c>
      <c r="F333" s="4">
        <v>50.876814857967076</v>
      </c>
      <c r="G333" s="4">
        <v>53.690425066152642</v>
      </c>
      <c r="H333" s="4">
        <v>56.684381794538425</v>
      </c>
      <c r="I333" s="4">
        <v>59.918664359603724</v>
      </c>
      <c r="J333" s="4">
        <v>63.4091749988293</v>
      </c>
      <c r="K333" s="4">
        <v>67.156631223603483</v>
      </c>
      <c r="L333" s="4">
        <v>71.095276905084773</v>
      </c>
      <c r="M333" s="4">
        <v>75.17208563171755</v>
      </c>
      <c r="N333" s="4">
        <v>79.42260015341995</v>
      </c>
      <c r="O333" s="11">
        <f t="shared" si="4"/>
        <v>4.4465597622410508E-2</v>
      </c>
      <c r="P333"/>
      <c r="Q333" s="11"/>
    </row>
    <row r="334" spans="1:17" x14ac:dyDescent="0.35">
      <c r="A334" s="3" t="s">
        <v>87</v>
      </c>
      <c r="B334" s="4">
        <v>75.152716869421056</v>
      </c>
      <c r="C334" s="4">
        <v>80.432482630789167</v>
      </c>
      <c r="D334" s="4">
        <v>86.347617156764954</v>
      </c>
      <c r="E334" s="4">
        <v>92.955720665534528</v>
      </c>
      <c r="F334" s="4">
        <v>100.38241363903313</v>
      </c>
      <c r="G334" s="4">
        <v>108.73633877545787</v>
      </c>
      <c r="H334" s="4">
        <v>118.05466679011241</v>
      </c>
      <c r="I334" s="4">
        <v>128.40895379647071</v>
      </c>
      <c r="J334" s="4">
        <v>139.71069047339293</v>
      </c>
      <c r="K334" s="4">
        <v>151.85878715346803</v>
      </c>
      <c r="L334" s="4">
        <v>164.59789300994407</v>
      </c>
      <c r="M334" s="4">
        <v>177.87311126392353</v>
      </c>
      <c r="N334" s="4">
        <v>191.88372342457347</v>
      </c>
      <c r="O334" s="11">
        <f t="shared" si="4"/>
        <v>6.5140867083919418E-2</v>
      </c>
      <c r="P334"/>
      <c r="Q334" s="11"/>
    </row>
    <row r="335" spans="1:17" x14ac:dyDescent="0.35">
      <c r="A335" s="3" t="s">
        <v>88</v>
      </c>
      <c r="B335" s="4">
        <v>52.639271584587192</v>
      </c>
      <c r="C335" s="4">
        <v>56.468949609722166</v>
      </c>
      <c r="D335" s="4">
        <v>60.45428482097266</v>
      </c>
      <c r="E335" s="4">
        <v>64.679070313520029</v>
      </c>
      <c r="F335" s="4">
        <v>69.286517144060156</v>
      </c>
      <c r="G335" s="4">
        <v>74.420218608147977</v>
      </c>
      <c r="H335" s="4">
        <v>80.191757885180436</v>
      </c>
      <c r="I335" s="4">
        <v>86.549962210704948</v>
      </c>
      <c r="J335" s="4">
        <v>93.373294940108678</v>
      </c>
      <c r="K335" s="4">
        <v>100.66040049061068</v>
      </c>
      <c r="L335" s="4">
        <v>108.48610214910525</v>
      </c>
      <c r="M335" s="4">
        <v>116.95798853824684</v>
      </c>
      <c r="N335" s="4">
        <v>126.03089700490921</v>
      </c>
      <c r="O335" s="11">
        <f t="shared" si="4"/>
        <v>6.0280260730155612E-2</v>
      </c>
      <c r="P335"/>
      <c r="Q335" s="11"/>
    </row>
    <row r="336" spans="1:17" x14ac:dyDescent="0.35">
      <c r="A336" s="3" t="s">
        <v>89</v>
      </c>
      <c r="B336" s="4">
        <v>16.175845267473473</v>
      </c>
      <c r="C336" s="4">
        <v>17.266607011364599</v>
      </c>
      <c r="D336" s="4">
        <v>18.452292292632379</v>
      </c>
      <c r="E336" s="4">
        <v>19.725505374107485</v>
      </c>
      <c r="F336" s="4">
        <v>21.064952001868278</v>
      </c>
      <c r="G336" s="4">
        <v>22.492094328899363</v>
      </c>
      <c r="H336" s="4">
        <v>24.023488725653372</v>
      </c>
      <c r="I336" s="4">
        <v>25.702911343338769</v>
      </c>
      <c r="J336" s="4">
        <v>27.550301777494333</v>
      </c>
      <c r="K336" s="4">
        <v>29.55884358501325</v>
      </c>
      <c r="L336" s="4">
        <v>31.730752359802825</v>
      </c>
      <c r="M336" s="4">
        <v>34.032731732972458</v>
      </c>
      <c r="N336" s="4">
        <v>36.463117205290757</v>
      </c>
      <c r="O336" s="11">
        <f t="shared" si="4"/>
        <v>5.5148938475310876E-2</v>
      </c>
      <c r="P336"/>
      <c r="Q336" s="11"/>
    </row>
    <row r="337" spans="1:17" x14ac:dyDescent="0.35">
      <c r="A337" s="3" t="s">
        <v>90</v>
      </c>
      <c r="B337" s="4">
        <v>33.206201391095561</v>
      </c>
      <c r="C337" s="4">
        <v>35.209502234665258</v>
      </c>
      <c r="D337" s="4">
        <v>37.286121055103891</v>
      </c>
      <c r="E337" s="4">
        <v>39.482114240269894</v>
      </c>
      <c r="F337" s="4">
        <v>41.844673099758239</v>
      </c>
      <c r="G337" s="4">
        <v>44.413144786726832</v>
      </c>
      <c r="H337" s="4">
        <v>47.241951659847068</v>
      </c>
      <c r="I337" s="4">
        <v>50.311277285433206</v>
      </c>
      <c r="J337" s="4">
        <v>53.582508916629962</v>
      </c>
      <c r="K337" s="4">
        <v>57.09037943163554</v>
      </c>
      <c r="L337" s="4">
        <v>60.85459908546558</v>
      </c>
      <c r="M337" s="4">
        <v>64.877240651390409</v>
      </c>
      <c r="N337" s="4">
        <v>69.123827639777431</v>
      </c>
      <c r="O337" s="11">
        <f t="shared" si="4"/>
        <v>5.0379531901874726E-2</v>
      </c>
      <c r="P337"/>
      <c r="Q337" s="11"/>
    </row>
    <row r="338" spans="1:17" x14ac:dyDescent="0.35">
      <c r="A338" s="2" t="s">
        <v>91</v>
      </c>
      <c r="O338" s="11" t="str">
        <f t="shared" si="4"/>
        <v/>
      </c>
      <c r="P338"/>
      <c r="Q338" s="11"/>
    </row>
    <row r="339" spans="1:17" x14ac:dyDescent="0.35">
      <c r="A339" s="3" t="s">
        <v>92</v>
      </c>
      <c r="B339" s="4">
        <v>98.593149907978528</v>
      </c>
      <c r="C339" s="4">
        <v>105.80546462715191</v>
      </c>
      <c r="D339" s="4">
        <v>113.6864476306198</v>
      </c>
      <c r="E339" s="4">
        <v>122.27285500763846</v>
      </c>
      <c r="F339" s="4">
        <v>131.62103690615845</v>
      </c>
      <c r="G339" s="4">
        <v>141.88664304117108</v>
      </c>
      <c r="H339" s="4">
        <v>153.18395907456872</v>
      </c>
      <c r="I339" s="4">
        <v>165.64014026907026</v>
      </c>
      <c r="J339" s="4">
        <v>179.24898250770588</v>
      </c>
      <c r="K339" s="4">
        <v>193.93242086261324</v>
      </c>
      <c r="L339" s="4">
        <v>209.65059182729769</v>
      </c>
      <c r="M339" s="4">
        <v>226.38804857980784</v>
      </c>
      <c r="N339" s="4">
        <v>244.17802728461552</v>
      </c>
      <c r="O339" s="11">
        <f t="shared" si="4"/>
        <v>6.2175105612863525E-2</v>
      </c>
      <c r="P339"/>
      <c r="Q339" s="11"/>
    </row>
    <row r="340" spans="1:17" x14ac:dyDescent="0.35">
      <c r="A340" s="3" t="s">
        <v>93</v>
      </c>
      <c r="B340" s="4">
        <v>133.57669542137927</v>
      </c>
      <c r="C340" s="4">
        <v>141.46290981994986</v>
      </c>
      <c r="D340" s="4">
        <v>149.88643894020728</v>
      </c>
      <c r="E340" s="4">
        <v>158.95793236727201</v>
      </c>
      <c r="F340" s="4">
        <v>168.83507469384153</v>
      </c>
      <c r="G340" s="4">
        <v>179.71320737170288</v>
      </c>
      <c r="H340" s="4">
        <v>191.75338573388601</v>
      </c>
      <c r="I340" s="4">
        <v>204.95340653851281</v>
      </c>
      <c r="J340" s="4">
        <v>219.12477111259369</v>
      </c>
      <c r="K340" s="4">
        <v>234.28252584525478</v>
      </c>
      <c r="L340" s="4">
        <v>250.21768458972929</v>
      </c>
      <c r="M340" s="4">
        <v>266.88562795829728</v>
      </c>
      <c r="N340" s="4">
        <v>284.40739437382206</v>
      </c>
      <c r="O340" s="11">
        <f t="shared" si="4"/>
        <v>5.2328202806771765E-2</v>
      </c>
      <c r="P340"/>
      <c r="Q340" s="11"/>
    </row>
    <row r="341" spans="1:17" x14ac:dyDescent="0.35">
      <c r="A341" s="2" t="s">
        <v>94</v>
      </c>
      <c r="O341" s="11" t="str">
        <f t="shared" si="4"/>
        <v/>
      </c>
      <c r="P341"/>
      <c r="Q341" s="11"/>
    </row>
    <row r="342" spans="1:17" x14ac:dyDescent="0.35">
      <c r="A342" s="3" t="s">
        <v>48</v>
      </c>
      <c r="B342" s="4">
        <v>35.965725001766202</v>
      </c>
      <c r="C342" s="4">
        <v>38.63445889232348</v>
      </c>
      <c r="D342" s="4">
        <v>41.553659220381256</v>
      </c>
      <c r="E342" s="4">
        <v>44.718334737836912</v>
      </c>
      <c r="F342" s="4">
        <v>48.110699114267184</v>
      </c>
      <c r="G342" s="4">
        <v>51.783909376290417</v>
      </c>
      <c r="H342" s="4">
        <v>55.784922205184067</v>
      </c>
      <c r="I342" s="4">
        <v>60.182260135375643</v>
      </c>
      <c r="J342" s="4">
        <v>65.004322375633464</v>
      </c>
      <c r="K342" s="4">
        <v>70.237358522176194</v>
      </c>
      <c r="L342" s="4">
        <v>75.871504080171519</v>
      </c>
      <c r="M342" s="4">
        <v>81.887301132791507</v>
      </c>
      <c r="N342" s="4">
        <v>88.298237415085907</v>
      </c>
      <c r="O342" s="11">
        <f t="shared" ref="O342:O405" si="5">IFERROR(RATE(2035-2026,,-G342,N342),"")</f>
        <v>6.1086526687982277E-2</v>
      </c>
      <c r="P342"/>
      <c r="Q342" s="11"/>
    </row>
    <row r="343" spans="1:17" x14ac:dyDescent="0.35">
      <c r="A343" s="3" t="s">
        <v>95</v>
      </c>
      <c r="B343" s="4">
        <v>18.258235707045436</v>
      </c>
      <c r="C343" s="4">
        <v>19.81034179249454</v>
      </c>
      <c r="D343" s="4">
        <v>21.511613427291955</v>
      </c>
      <c r="E343" s="4">
        <v>23.390046534646199</v>
      </c>
      <c r="F343" s="4">
        <v>25.437476949363067</v>
      </c>
      <c r="G343" s="4">
        <v>27.675352396450219</v>
      </c>
      <c r="H343" s="4">
        <v>30.117387464526303</v>
      </c>
      <c r="I343" s="4">
        <v>32.792207355856483</v>
      </c>
      <c r="J343" s="4">
        <v>35.72331155731483</v>
      </c>
      <c r="K343" s="4">
        <v>38.95953046647498</v>
      </c>
      <c r="L343" s="4">
        <v>42.521119535598274</v>
      </c>
      <c r="M343" s="4">
        <v>46.385976257086412</v>
      </c>
      <c r="N343" s="4">
        <v>50.559996829075025</v>
      </c>
      <c r="O343" s="11">
        <f t="shared" si="5"/>
        <v>6.9250149944521763E-2</v>
      </c>
      <c r="P343"/>
      <c r="Q343" s="11"/>
    </row>
    <row r="344" spans="1:17" x14ac:dyDescent="0.35">
      <c r="A344" s="3" t="s">
        <v>96</v>
      </c>
      <c r="B344" s="4">
        <v>31.12182303528455</v>
      </c>
      <c r="C344" s="4">
        <v>33.123086781847142</v>
      </c>
      <c r="D344" s="4">
        <v>35.261211618018223</v>
      </c>
      <c r="E344" s="4">
        <v>37.620517597845094</v>
      </c>
      <c r="F344" s="4">
        <v>40.461489260840125</v>
      </c>
      <c r="G344" s="4">
        <v>43.859090825540697</v>
      </c>
      <c r="H344" s="4">
        <v>47.879996679366542</v>
      </c>
      <c r="I344" s="4">
        <v>52.411312681143215</v>
      </c>
      <c r="J344" s="4">
        <v>57.252492279742924</v>
      </c>
      <c r="K344" s="4">
        <v>62.291372209765555</v>
      </c>
      <c r="L344" s="4">
        <v>67.411831606966857</v>
      </c>
      <c r="M344" s="4">
        <v>72.735235456911042</v>
      </c>
      <c r="N344" s="4">
        <v>78.314330233817515</v>
      </c>
      <c r="O344" s="11">
        <f t="shared" si="5"/>
        <v>6.6536529336290257E-2</v>
      </c>
      <c r="P344"/>
      <c r="Q344" s="11"/>
    </row>
    <row r="345" spans="1:17" x14ac:dyDescent="0.35">
      <c r="A345" s="3" t="s">
        <v>97</v>
      </c>
      <c r="B345" s="4">
        <v>23.478870250559247</v>
      </c>
      <c r="C345" s="4">
        <v>24.925532735634793</v>
      </c>
      <c r="D345" s="4">
        <v>26.504127962464722</v>
      </c>
      <c r="E345" s="4">
        <v>28.180197023936543</v>
      </c>
      <c r="F345" s="4">
        <v>29.915937965066302</v>
      </c>
      <c r="G345" s="4">
        <v>31.727614626121561</v>
      </c>
      <c r="H345" s="4">
        <v>33.659475859598352</v>
      </c>
      <c r="I345" s="4">
        <v>35.780202381133734</v>
      </c>
      <c r="J345" s="4">
        <v>38.126442362404703</v>
      </c>
      <c r="K345" s="4">
        <v>40.682300273389949</v>
      </c>
      <c r="L345" s="4">
        <v>43.41724904476699</v>
      </c>
      <c r="M345" s="4">
        <v>46.280033413213957</v>
      </c>
      <c r="N345" s="4">
        <v>49.280514079013997</v>
      </c>
      <c r="O345" s="11">
        <f t="shared" si="5"/>
        <v>5.0143492060799107E-2</v>
      </c>
      <c r="P345"/>
      <c r="Q345" s="11"/>
    </row>
    <row r="346" spans="1:17" x14ac:dyDescent="0.35">
      <c r="A346" s="3" t="s">
        <v>98</v>
      </c>
      <c r="B346" s="4">
        <v>70.264252764650536</v>
      </c>
      <c r="C346" s="4">
        <v>74.960730074893945</v>
      </c>
      <c r="D346" s="4">
        <v>80.10817016046488</v>
      </c>
      <c r="E346" s="4">
        <v>85.702256442026084</v>
      </c>
      <c r="F346" s="4">
        <v>91.710513713899388</v>
      </c>
      <c r="G346" s="4">
        <v>98.243831934844877</v>
      </c>
      <c r="H346" s="4">
        <v>105.36578401952974</v>
      </c>
      <c r="I346" s="4">
        <v>113.18868208622828</v>
      </c>
      <c r="J346" s="4">
        <v>121.70232216967773</v>
      </c>
      <c r="K346" s="4">
        <v>130.89523929761043</v>
      </c>
      <c r="L346" s="4">
        <v>140.63531202388941</v>
      </c>
      <c r="M346" s="4">
        <v>150.83501881135629</v>
      </c>
      <c r="N346" s="4">
        <v>161.60800411794838</v>
      </c>
      <c r="O346" s="11">
        <f t="shared" si="5"/>
        <v>5.6860114587685563E-2</v>
      </c>
      <c r="P346"/>
      <c r="Q346" s="11"/>
    </row>
    <row r="347" spans="1:17" x14ac:dyDescent="0.35">
      <c r="A347" s="3" t="s">
        <v>99</v>
      </c>
      <c r="B347" s="4">
        <v>30.491666863947231</v>
      </c>
      <c r="C347" s="4">
        <v>32.02032465419412</v>
      </c>
      <c r="D347" s="4">
        <v>33.54298402430917</v>
      </c>
      <c r="E347" s="4">
        <v>35.12414545959308</v>
      </c>
      <c r="F347" s="4">
        <v>36.831522544288795</v>
      </c>
      <c r="G347" s="4">
        <v>38.725461161990566</v>
      </c>
      <c r="H347" s="4">
        <v>40.839395976329946</v>
      </c>
      <c r="I347" s="4">
        <v>43.123530172631256</v>
      </c>
      <c r="J347" s="4">
        <v>45.503233520978561</v>
      </c>
      <c r="K347" s="4">
        <v>48.000701725491687</v>
      </c>
      <c r="L347" s="4">
        <v>50.653004367861364</v>
      </c>
      <c r="M347" s="4">
        <v>53.481223933564678</v>
      </c>
      <c r="N347" s="4">
        <v>56.443070026943467</v>
      </c>
      <c r="O347" s="11">
        <f t="shared" si="5"/>
        <v>4.2747930526291521E-2</v>
      </c>
      <c r="P347"/>
      <c r="Q347" s="11"/>
    </row>
    <row r="348" spans="1:17" x14ac:dyDescent="0.35">
      <c r="A348" s="3" t="s">
        <v>100</v>
      </c>
      <c r="B348" s="4">
        <v>22.589271706104583</v>
      </c>
      <c r="C348" s="4">
        <v>23.793899515713729</v>
      </c>
      <c r="D348" s="4">
        <v>25.091120157896885</v>
      </c>
      <c r="E348" s="4">
        <v>26.495289579026593</v>
      </c>
      <c r="F348" s="4">
        <v>27.988472052275178</v>
      </c>
      <c r="G348" s="4">
        <v>29.584590091635629</v>
      </c>
      <c r="H348" s="4">
        <v>31.290382603919774</v>
      </c>
      <c r="I348" s="4">
        <v>33.115351995214461</v>
      </c>
      <c r="J348" s="4">
        <v>35.061629354547364</v>
      </c>
      <c r="K348" s="4">
        <v>37.148444212959262</v>
      </c>
      <c r="L348" s="4">
        <v>39.358255757772547</v>
      </c>
      <c r="M348" s="4">
        <v>41.668887533181206</v>
      </c>
      <c r="N348" s="4">
        <v>44.081268956553309</v>
      </c>
      <c r="O348" s="11">
        <f t="shared" si="5"/>
        <v>4.5305342802853261E-2</v>
      </c>
      <c r="P348"/>
      <c r="Q348" s="11"/>
    </row>
    <row r="349" spans="1:17" x14ac:dyDescent="0.35">
      <c r="A349" s="1" t="s">
        <v>35</v>
      </c>
      <c r="O349" s="11" t="str">
        <f t="shared" si="5"/>
        <v/>
      </c>
      <c r="P349"/>
      <c r="Q349" s="11"/>
    </row>
    <row r="350" spans="1:17" x14ac:dyDescent="0.35">
      <c r="A350" s="2" t="s">
        <v>54</v>
      </c>
      <c r="O350" s="11" t="str">
        <f t="shared" si="5"/>
        <v/>
      </c>
      <c r="P350"/>
      <c r="Q350" s="11"/>
    </row>
    <row r="351" spans="1:17" x14ac:dyDescent="0.35">
      <c r="A351" s="3" t="s">
        <v>55</v>
      </c>
      <c r="B351" s="4">
        <v>133.62327459721197</v>
      </c>
      <c r="C351" s="4">
        <v>148.93715299595692</v>
      </c>
      <c r="D351" s="4">
        <v>166.30395078784989</v>
      </c>
      <c r="E351" s="4">
        <v>185.64036717830047</v>
      </c>
      <c r="F351" s="4">
        <v>206.97753798217283</v>
      </c>
      <c r="G351" s="4">
        <v>230.21522482257967</v>
      </c>
      <c r="H351" s="4">
        <v>256.13858094828817</v>
      </c>
      <c r="I351" s="4">
        <v>285.49331045699768</v>
      </c>
      <c r="J351" s="4">
        <v>319.16387937760862</v>
      </c>
      <c r="K351" s="4">
        <v>357.6565984771691</v>
      </c>
      <c r="L351" s="4">
        <v>400.9109459366166</v>
      </c>
      <c r="M351" s="4">
        <v>448.86184866073245</v>
      </c>
      <c r="N351" s="4">
        <v>501.96198914098193</v>
      </c>
      <c r="O351" s="11">
        <f t="shared" si="5"/>
        <v>9.0473707947902715E-2</v>
      </c>
      <c r="P351"/>
      <c r="Q351" s="11"/>
    </row>
    <row r="352" spans="1:17" x14ac:dyDescent="0.35">
      <c r="A352" s="3" t="s">
        <v>56</v>
      </c>
      <c r="B352" s="4">
        <v>321.91061672489474</v>
      </c>
      <c r="C352" s="4">
        <v>350.70579981986299</v>
      </c>
      <c r="D352" s="4">
        <v>382.69669723249285</v>
      </c>
      <c r="E352" s="4">
        <v>417.76539866667662</v>
      </c>
      <c r="F352" s="4">
        <v>455.35058356078019</v>
      </c>
      <c r="G352" s="4">
        <v>496.07471009726424</v>
      </c>
      <c r="H352" s="4">
        <v>540.48957593145667</v>
      </c>
      <c r="I352" s="4">
        <v>589.65961598209901</v>
      </c>
      <c r="J352" s="4">
        <v>644.1997084226407</v>
      </c>
      <c r="K352" s="4">
        <v>704.5481699878552</v>
      </c>
      <c r="L352" s="4">
        <v>770.27236793930877</v>
      </c>
      <c r="M352" s="4">
        <v>840.9094484833804</v>
      </c>
      <c r="N352" s="4">
        <v>917.35191658748852</v>
      </c>
      <c r="O352" s="11">
        <f t="shared" si="5"/>
        <v>7.0694154692450745E-2</v>
      </c>
      <c r="P352"/>
      <c r="Q352" s="11"/>
    </row>
    <row r="353" spans="1:17" x14ac:dyDescent="0.35">
      <c r="A353" s="3" t="s">
        <v>57</v>
      </c>
      <c r="B353" s="4">
        <v>854.81345412144299</v>
      </c>
      <c r="C353" s="4">
        <v>921.00926202636833</v>
      </c>
      <c r="D353" s="4">
        <v>988.85238966681231</v>
      </c>
      <c r="E353" s="4">
        <v>1059.9609032932847</v>
      </c>
      <c r="F353" s="4">
        <v>1137.4765565628975</v>
      </c>
      <c r="G353" s="4">
        <v>1224.543203492959</v>
      </c>
      <c r="H353" s="4">
        <v>1323.5936432180308</v>
      </c>
      <c r="I353" s="4">
        <v>1433.5482489705885</v>
      </c>
      <c r="J353" s="4">
        <v>1551.6194377456357</v>
      </c>
      <c r="K353" s="4">
        <v>1677.8568806639416</v>
      </c>
      <c r="L353" s="4">
        <v>1814.207804234876</v>
      </c>
      <c r="M353" s="4">
        <v>1962.9503867679509</v>
      </c>
      <c r="N353" s="4">
        <v>2123.1953160281005</v>
      </c>
      <c r="O353" s="11">
        <f t="shared" si="5"/>
        <v>6.3058868789757361E-2</v>
      </c>
      <c r="P353"/>
      <c r="Q353" s="11"/>
    </row>
    <row r="354" spans="1:17" x14ac:dyDescent="0.35">
      <c r="A354" s="2" t="s">
        <v>47</v>
      </c>
      <c r="O354" s="11" t="str">
        <f t="shared" si="5"/>
        <v/>
      </c>
      <c r="P354"/>
      <c r="Q354" s="11"/>
    </row>
    <row r="355" spans="1:17" x14ac:dyDescent="0.35">
      <c r="A355" s="3" t="s">
        <v>82</v>
      </c>
      <c r="B355" s="4">
        <v>455.53389132210668</v>
      </c>
      <c r="C355" s="4">
        <v>499.64295281581991</v>
      </c>
      <c r="D355" s="4">
        <v>549.00064802034274</v>
      </c>
      <c r="E355" s="4">
        <v>603.40576584497705</v>
      </c>
      <c r="F355" s="4">
        <v>662.328121542953</v>
      </c>
      <c r="G355" s="4">
        <v>726.28993491984397</v>
      </c>
      <c r="H355" s="4">
        <v>796.62815687974489</v>
      </c>
      <c r="I355" s="4">
        <v>875.15292643909675</v>
      </c>
      <c r="J355" s="4">
        <v>963.36358780024932</v>
      </c>
      <c r="K355" s="4">
        <v>1062.2047684650242</v>
      </c>
      <c r="L355" s="4">
        <v>1171.1833138759253</v>
      </c>
      <c r="M355" s="4">
        <v>1289.7712971441129</v>
      </c>
      <c r="N355" s="4">
        <v>1419.3139057284704</v>
      </c>
      <c r="O355" s="11">
        <f t="shared" si="5"/>
        <v>7.7283047752035317E-2</v>
      </c>
      <c r="P355"/>
      <c r="Q355" s="11"/>
    </row>
    <row r="356" spans="1:17" x14ac:dyDescent="0.35">
      <c r="A356" s="3" t="s">
        <v>83</v>
      </c>
      <c r="B356" s="4">
        <v>854.81345412144299</v>
      </c>
      <c r="C356" s="4">
        <v>921.00926202636833</v>
      </c>
      <c r="D356" s="4">
        <v>988.85238966681231</v>
      </c>
      <c r="E356" s="4">
        <v>1059.9609032932847</v>
      </c>
      <c r="F356" s="4">
        <v>1137.4765565628975</v>
      </c>
      <c r="G356" s="4">
        <v>1224.543203492959</v>
      </c>
      <c r="H356" s="4">
        <v>1323.5936432180308</v>
      </c>
      <c r="I356" s="4">
        <v>1433.5482489705885</v>
      </c>
      <c r="J356" s="4">
        <v>1551.6194377456357</v>
      </c>
      <c r="K356" s="4">
        <v>1677.8568806639416</v>
      </c>
      <c r="L356" s="4">
        <v>1814.207804234876</v>
      </c>
      <c r="M356" s="4">
        <v>1962.9503867679509</v>
      </c>
      <c r="N356" s="4">
        <v>2123.1953160281005</v>
      </c>
      <c r="O356" s="11">
        <f t="shared" si="5"/>
        <v>6.3058868789757361E-2</v>
      </c>
      <c r="P356"/>
      <c r="Q356" s="11"/>
    </row>
    <row r="357" spans="1:17" x14ac:dyDescent="0.35">
      <c r="A357" s="2" t="s">
        <v>59</v>
      </c>
      <c r="O357" s="11" t="str">
        <f t="shared" si="5"/>
        <v/>
      </c>
      <c r="P357"/>
      <c r="Q357" s="11"/>
    </row>
    <row r="358" spans="1:17" x14ac:dyDescent="0.35">
      <c r="A358" s="3" t="s">
        <v>60</v>
      </c>
      <c r="O358" s="11" t="str">
        <f t="shared" si="5"/>
        <v/>
      </c>
      <c r="P358"/>
      <c r="Q358" s="11"/>
    </row>
    <row r="359" spans="1:17" x14ac:dyDescent="0.35">
      <c r="A359" s="34" t="s">
        <v>61</v>
      </c>
      <c r="B359" s="4">
        <v>271.97844448296792</v>
      </c>
      <c r="C359" s="4">
        <v>296.44244969378701</v>
      </c>
      <c r="D359" s="4">
        <v>318.73788607390406</v>
      </c>
      <c r="E359" s="4">
        <v>340.68239480565785</v>
      </c>
      <c r="F359" s="4">
        <v>365.69151371625912</v>
      </c>
      <c r="G359" s="4">
        <v>396.15118398671098</v>
      </c>
      <c r="H359" s="4">
        <v>433.50210295926286</v>
      </c>
      <c r="I359" s="4">
        <v>475.53276425443346</v>
      </c>
      <c r="J359" s="4">
        <v>518.98705462904445</v>
      </c>
      <c r="K359" s="4">
        <v>564.14929378533702</v>
      </c>
      <c r="L359" s="4">
        <v>613.18504711024184</v>
      </c>
      <c r="M359" s="4">
        <v>668.67554793071577</v>
      </c>
      <c r="N359" s="4">
        <v>729.51766915231201</v>
      </c>
      <c r="O359" s="11">
        <f t="shared" si="5"/>
        <v>7.0197354276511179E-2</v>
      </c>
      <c r="P359"/>
      <c r="Q359" s="11"/>
    </row>
    <row r="360" spans="1:17" x14ac:dyDescent="0.35">
      <c r="A360" s="43" t="s">
        <v>62</v>
      </c>
      <c r="B360" s="4">
        <v>52.150972669949034</v>
      </c>
      <c r="C360" s="4">
        <v>58.194146486375544</v>
      </c>
      <c r="D360" s="4">
        <v>65.040466630600292</v>
      </c>
      <c r="E360" s="4">
        <v>72.719361392952749</v>
      </c>
      <c r="F360" s="4">
        <v>81.183516045009526</v>
      </c>
      <c r="G360" s="4">
        <v>90.58962072099051</v>
      </c>
      <c r="H360" s="4">
        <v>101.09441111991083</v>
      </c>
      <c r="I360" s="4">
        <v>112.96296932298397</v>
      </c>
      <c r="J360" s="4">
        <v>126.39672676115046</v>
      </c>
      <c r="K360" s="4">
        <v>141.57789943190249</v>
      </c>
      <c r="L360" s="4">
        <v>158.52664037539301</v>
      </c>
      <c r="M360" s="4">
        <v>177.25364828747266</v>
      </c>
      <c r="N360" s="4">
        <v>198.05119140761795</v>
      </c>
      <c r="O360" s="11">
        <f t="shared" si="5"/>
        <v>9.0798005890353375E-2</v>
      </c>
      <c r="P360"/>
      <c r="Q360" s="11"/>
    </row>
    <row r="361" spans="1:17" x14ac:dyDescent="0.35">
      <c r="A361" s="43" t="s">
        <v>63</v>
      </c>
      <c r="B361" s="4">
        <v>84.296200301181997</v>
      </c>
      <c r="C361" s="4">
        <v>91.78730666504589</v>
      </c>
      <c r="D361" s="4">
        <v>99.597424819598544</v>
      </c>
      <c r="E361" s="4">
        <v>107.89764749230611</v>
      </c>
      <c r="F361" s="4">
        <v>117.02128438920295</v>
      </c>
      <c r="G361" s="4">
        <v>127.31579523028088</v>
      </c>
      <c r="H361" s="4">
        <v>139.06898448010602</v>
      </c>
      <c r="I361" s="4">
        <v>152.21105435035867</v>
      </c>
      <c r="J361" s="4">
        <v>166.48700254466436</v>
      </c>
      <c r="K361" s="4">
        <v>181.93468091008845</v>
      </c>
      <c r="L361" s="4">
        <v>198.79866401953223</v>
      </c>
      <c r="M361" s="4">
        <v>217.36948202042188</v>
      </c>
      <c r="N361" s="4">
        <v>237.5983894737698</v>
      </c>
      <c r="O361" s="11">
        <f t="shared" si="5"/>
        <v>7.178284297616204E-2</v>
      </c>
      <c r="P361"/>
      <c r="Q361" s="11"/>
    </row>
    <row r="362" spans="1:17" x14ac:dyDescent="0.35">
      <c r="A362" s="43" t="s">
        <v>64</v>
      </c>
      <c r="B362" s="4">
        <v>135.53127151183688</v>
      </c>
      <c r="C362" s="4">
        <v>146.46099654236559</v>
      </c>
      <c r="D362" s="4">
        <v>154.09999462370524</v>
      </c>
      <c r="E362" s="4">
        <v>160.065385920399</v>
      </c>
      <c r="F362" s="4">
        <v>167.48671328204665</v>
      </c>
      <c r="G362" s="4">
        <v>178.2457680354396</v>
      </c>
      <c r="H362" s="4">
        <v>193.338707359246</v>
      </c>
      <c r="I362" s="4">
        <v>210.35874058109084</v>
      </c>
      <c r="J362" s="4">
        <v>226.10332532322963</v>
      </c>
      <c r="K362" s="4">
        <v>240.63671344334608</v>
      </c>
      <c r="L362" s="4">
        <v>255.8597427153166</v>
      </c>
      <c r="M362" s="4">
        <v>274.05241762282122</v>
      </c>
      <c r="N362" s="4">
        <v>293.86808827092426</v>
      </c>
      <c r="O362" s="11">
        <f t="shared" si="5"/>
        <v>5.7123947339137914E-2</v>
      </c>
      <c r="P362"/>
      <c r="Q362" s="11"/>
    </row>
    <row r="363" spans="1:17" x14ac:dyDescent="0.35">
      <c r="A363" s="34" t="s">
        <v>65</v>
      </c>
      <c r="B363" s="4">
        <v>235.07051926379057</v>
      </c>
      <c r="C363" s="4">
        <v>254.55279925908152</v>
      </c>
      <c r="D363" s="4">
        <v>276.09972618765187</v>
      </c>
      <c r="E363" s="4">
        <v>299.58569122641404</v>
      </c>
      <c r="F363" s="4">
        <v>324.56957643089663</v>
      </c>
      <c r="G363" s="4">
        <v>351.4641411922039</v>
      </c>
      <c r="H363" s="4">
        <v>380.62167610367089</v>
      </c>
      <c r="I363" s="4">
        <v>412.746425448764</v>
      </c>
      <c r="J363" s="4">
        <v>448.21033320265877</v>
      </c>
      <c r="K363" s="4">
        <v>487.25273611961006</v>
      </c>
      <c r="L363" s="4">
        <v>529.50397165648701</v>
      </c>
      <c r="M363" s="4">
        <v>574.58149945829075</v>
      </c>
      <c r="N363" s="4">
        <v>623.03716501116787</v>
      </c>
      <c r="O363" s="11">
        <f t="shared" si="5"/>
        <v>6.5677708180898686E-2</v>
      </c>
      <c r="P363"/>
      <c r="Q363" s="11"/>
    </row>
    <row r="364" spans="1:17" x14ac:dyDescent="0.35">
      <c r="A364" s="34" t="s">
        <v>66</v>
      </c>
      <c r="B364" s="4">
        <v>147.19458409870401</v>
      </c>
      <c r="C364" s="4">
        <v>158.40931606586034</v>
      </c>
      <c r="D364" s="4">
        <v>170.75852479567794</v>
      </c>
      <c r="E364" s="4">
        <v>184.14167855390625</v>
      </c>
      <c r="F364" s="4">
        <v>198.2664833401405</v>
      </c>
      <c r="G364" s="4">
        <v>213.36916313311528</v>
      </c>
      <c r="H364" s="4">
        <v>229.6431686194702</v>
      </c>
      <c r="I364" s="4">
        <v>247.48922783860675</v>
      </c>
      <c r="J364" s="4">
        <v>267.09858457431699</v>
      </c>
      <c r="K364" s="4">
        <v>288.57830998082829</v>
      </c>
      <c r="L364" s="4">
        <v>311.67166658430494</v>
      </c>
      <c r="M364" s="4">
        <v>336.12012912096282</v>
      </c>
      <c r="N364" s="4">
        <v>362.21767039735352</v>
      </c>
      <c r="O364" s="11">
        <f t="shared" si="5"/>
        <v>6.0565641043235037E-2</v>
      </c>
      <c r="P364"/>
      <c r="Q364" s="11"/>
    </row>
    <row r="365" spans="1:17" x14ac:dyDescent="0.35">
      <c r="A365" s="34" t="s">
        <v>67</v>
      </c>
      <c r="B365" s="4">
        <v>96.486116601974345</v>
      </c>
      <c r="C365" s="4">
        <v>103.09756475707361</v>
      </c>
      <c r="D365" s="4">
        <v>110.34429512806776</v>
      </c>
      <c r="E365" s="4">
        <v>118.14642753621605</v>
      </c>
      <c r="F365" s="4">
        <v>126.30309309075615</v>
      </c>
      <c r="G365" s="4">
        <v>134.95562208867875</v>
      </c>
      <c r="H365" s="4">
        <v>144.21412083247154</v>
      </c>
      <c r="I365" s="4">
        <v>154.31553560207908</v>
      </c>
      <c r="J365" s="4">
        <v>165.35922042817913</v>
      </c>
      <c r="K365" s="4">
        <v>177.38929388166613</v>
      </c>
      <c r="L365" s="4">
        <v>190.22465248989226</v>
      </c>
      <c r="M365" s="4">
        <v>203.68788591467373</v>
      </c>
      <c r="N365" s="4">
        <v>217.94113464342803</v>
      </c>
      <c r="O365" s="11">
        <f t="shared" si="5"/>
        <v>5.4696684253788243E-2</v>
      </c>
      <c r="P365"/>
      <c r="Q365" s="11"/>
    </row>
    <row r="366" spans="1:17" x14ac:dyDescent="0.35">
      <c r="A366" s="34" t="s">
        <v>68</v>
      </c>
      <c r="B366" s="4">
        <v>158.8317672808069</v>
      </c>
      <c r="C366" s="4">
        <v>173.48884464198744</v>
      </c>
      <c r="D366" s="4">
        <v>189.68023487586044</v>
      </c>
      <c r="E366" s="4">
        <v>207.65145102193816</v>
      </c>
      <c r="F366" s="4">
        <v>227.63929568682795</v>
      </c>
      <c r="G366" s="4">
        <v>249.91424331501702</v>
      </c>
      <c r="H366" s="4">
        <v>274.74965957663483</v>
      </c>
      <c r="I366" s="4">
        <v>302.24478464075156</v>
      </c>
      <c r="J366" s="4">
        <v>332.48640218797465</v>
      </c>
      <c r="K366" s="4">
        <v>365.60111095197487</v>
      </c>
      <c r="L366" s="4">
        <v>401.71102476208614</v>
      </c>
      <c r="M366" s="4">
        <v>441.17226225811214</v>
      </c>
      <c r="N366" s="4">
        <v>484.08195971021257</v>
      </c>
      <c r="O366" s="11">
        <f t="shared" si="5"/>
        <v>7.622505610396671E-2</v>
      </c>
      <c r="P366"/>
      <c r="Q366" s="11"/>
    </row>
    <row r="367" spans="1:17" x14ac:dyDescent="0.35">
      <c r="A367" s="34" t="s">
        <v>69</v>
      </c>
      <c r="B367" s="4">
        <v>177.60577148828281</v>
      </c>
      <c r="C367" s="4">
        <v>188.49202904874349</v>
      </c>
      <c r="D367" s="4">
        <v>200.42253841811629</v>
      </c>
      <c r="E367" s="4">
        <v>213.04137594026537</v>
      </c>
      <c r="F367" s="4">
        <v>226.17065506949359</v>
      </c>
      <c r="G367" s="4">
        <v>239.50594152218486</v>
      </c>
      <c r="H367" s="4">
        <v>253.70732738084985</v>
      </c>
      <c r="I367" s="4">
        <v>269.25819201604702</v>
      </c>
      <c r="J367" s="4">
        <v>286.65976648287898</v>
      </c>
      <c r="K367" s="4">
        <v>305.95039310682978</v>
      </c>
      <c r="L367" s="4">
        <v>326.64115633366083</v>
      </c>
      <c r="M367" s="4">
        <v>348.29566957565294</v>
      </c>
      <c r="N367" s="4">
        <v>370.93110867250658</v>
      </c>
      <c r="O367" s="11">
        <f t="shared" si="5"/>
        <v>4.9804794256415638E-2</v>
      </c>
      <c r="P367"/>
      <c r="Q367" s="11"/>
    </row>
    <row r="368" spans="1:17" x14ac:dyDescent="0.35">
      <c r="A368" s="3" t="s">
        <v>70</v>
      </c>
      <c r="O368" s="11" t="str">
        <f t="shared" si="5"/>
        <v/>
      </c>
      <c r="P368"/>
      <c r="Q368" s="11"/>
    </row>
    <row r="369" spans="1:17" x14ac:dyDescent="0.35">
      <c r="A369" s="34" t="s">
        <v>71</v>
      </c>
      <c r="B369" s="4">
        <v>34.403545264336337</v>
      </c>
      <c r="C369" s="4">
        <v>38.509622095020305</v>
      </c>
      <c r="D369" s="4">
        <v>43.153897858569692</v>
      </c>
      <c r="E369" s="4">
        <v>48.32590970568544</v>
      </c>
      <c r="F369" s="4">
        <v>54.021137413347112</v>
      </c>
      <c r="G369" s="4">
        <v>60.360539406134286</v>
      </c>
      <c r="H369" s="4">
        <v>67.474053017545444</v>
      </c>
      <c r="I369" s="4">
        <v>75.628319200520252</v>
      </c>
      <c r="J369" s="4">
        <v>85.013823737060918</v>
      </c>
      <c r="K369" s="4">
        <v>95.627833492759208</v>
      </c>
      <c r="L369" s="4">
        <v>107.63872746927596</v>
      </c>
      <c r="M369" s="4">
        <v>121.0505557858713</v>
      </c>
      <c r="N369" s="4">
        <v>135.95192741914354</v>
      </c>
      <c r="O369" s="11">
        <f t="shared" si="5"/>
        <v>9.4413299116710717E-2</v>
      </c>
      <c r="P369"/>
      <c r="Q369" s="11"/>
    </row>
    <row r="370" spans="1:17" x14ac:dyDescent="0.35">
      <c r="A370" s="34" t="s">
        <v>72</v>
      </c>
      <c r="B370" s="4">
        <v>27.18781919174366</v>
      </c>
      <c r="C370" s="4">
        <v>30.792748392772616</v>
      </c>
      <c r="D370" s="4">
        <v>34.930101809597332</v>
      </c>
      <c r="E370" s="4">
        <v>39.637926165117769</v>
      </c>
      <c r="F370" s="4">
        <v>44.914125742131503</v>
      </c>
      <c r="G370" s="4">
        <v>50.868721044793936</v>
      </c>
      <c r="H370" s="4">
        <v>57.6177433627822</v>
      </c>
      <c r="I370" s="4">
        <v>65.345194656727571</v>
      </c>
      <c r="J370" s="4">
        <v>74.208412460955955</v>
      </c>
      <c r="K370" s="4">
        <v>84.361786741494186</v>
      </c>
      <c r="L370" s="4">
        <v>95.871119720747544</v>
      </c>
      <c r="M370" s="4">
        <v>108.79902438606969</v>
      </c>
      <c r="N370" s="4">
        <v>123.38322825331539</v>
      </c>
      <c r="O370" s="11">
        <f t="shared" si="5"/>
        <v>0.10345885876246834</v>
      </c>
      <c r="P370"/>
      <c r="Q370" s="11"/>
    </row>
    <row r="371" spans="1:17" x14ac:dyDescent="0.35">
      <c r="A371" s="34" t="s">
        <v>73</v>
      </c>
      <c r="B371" s="4">
        <v>23.795209851273714</v>
      </c>
      <c r="C371" s="4">
        <v>26.020887772685459</v>
      </c>
      <c r="D371" s="4">
        <v>28.50678559628324</v>
      </c>
      <c r="E371" s="4">
        <v>31.220670671953513</v>
      </c>
      <c r="F371" s="4">
        <v>34.151293767058519</v>
      </c>
      <c r="G371" s="4">
        <v>37.265938584951094</v>
      </c>
      <c r="H371" s="4">
        <v>40.677065260389917</v>
      </c>
      <c r="I371" s="4">
        <v>44.481782538520093</v>
      </c>
      <c r="J371" s="4">
        <v>48.790645531341191</v>
      </c>
      <c r="K371" s="4">
        <v>53.647008015554846</v>
      </c>
      <c r="L371" s="4">
        <v>59.004629440474027</v>
      </c>
      <c r="M371" s="4">
        <v>64.818633165177573</v>
      </c>
      <c r="N371" s="4">
        <v>71.120906729250535</v>
      </c>
      <c r="O371" s="11">
        <f t="shared" si="5"/>
        <v>7.4452564465389864E-2</v>
      </c>
      <c r="P371"/>
      <c r="Q371" s="11"/>
    </row>
    <row r="372" spans="1:17" x14ac:dyDescent="0.35">
      <c r="A372" s="34" t="s">
        <v>74</v>
      </c>
      <c r="B372" s="4">
        <v>29.3719297806092</v>
      </c>
      <c r="C372" s="4">
        <v>32.355065074960187</v>
      </c>
      <c r="D372" s="4">
        <v>35.681623822725122</v>
      </c>
      <c r="E372" s="4">
        <v>39.323438686746542</v>
      </c>
      <c r="F372" s="4">
        <v>43.258305438274121</v>
      </c>
      <c r="G372" s="4">
        <v>47.565282162381784</v>
      </c>
      <c r="H372" s="4">
        <v>52.324862035310474</v>
      </c>
      <c r="I372" s="4">
        <v>57.717679843092846</v>
      </c>
      <c r="J372" s="4">
        <v>63.853886332812806</v>
      </c>
      <c r="K372" s="4">
        <v>70.690348858818837</v>
      </c>
      <c r="L372" s="4">
        <v>78.311769245242075</v>
      </c>
      <c r="M372" s="4">
        <v>86.676574878268667</v>
      </c>
      <c r="N372" s="4">
        <v>95.804845313052283</v>
      </c>
      <c r="O372" s="11">
        <f t="shared" si="5"/>
        <v>8.0907672655883708E-2</v>
      </c>
      <c r="P372"/>
      <c r="Q372" s="11"/>
    </row>
    <row r="373" spans="1:17" x14ac:dyDescent="0.35">
      <c r="A373" s="34" t="s">
        <v>75</v>
      </c>
      <c r="B373" s="4">
        <v>20.228037750971755</v>
      </c>
      <c r="C373" s="4">
        <v>22.401569039939577</v>
      </c>
      <c r="D373" s="4">
        <v>24.832117652945964</v>
      </c>
      <c r="E373" s="4">
        <v>27.561557277206862</v>
      </c>
      <c r="F373" s="4">
        <v>30.632675621361578</v>
      </c>
      <c r="G373" s="4">
        <v>34.094867741360765</v>
      </c>
      <c r="H373" s="4">
        <v>38.000320745633609</v>
      </c>
      <c r="I373" s="4">
        <v>42.379640069855981</v>
      </c>
      <c r="J373" s="4">
        <v>47.262944536899695</v>
      </c>
      <c r="K373" s="4">
        <v>52.68722203857179</v>
      </c>
      <c r="L373" s="4">
        <v>58.690378339375314</v>
      </c>
      <c r="M373" s="4">
        <v>65.346090057818387</v>
      </c>
      <c r="N373" s="4">
        <v>72.693199844763924</v>
      </c>
      <c r="O373" s="11">
        <f t="shared" si="5"/>
        <v>8.7761952333944959E-2</v>
      </c>
      <c r="P373"/>
      <c r="Q373" s="11"/>
    </row>
    <row r="374" spans="1:17" x14ac:dyDescent="0.35">
      <c r="A374" s="3" t="s">
        <v>76</v>
      </c>
      <c r="O374" s="11" t="str">
        <f t="shared" si="5"/>
        <v/>
      </c>
      <c r="P374"/>
      <c r="Q374" s="11"/>
    </row>
    <row r="375" spans="1:17" x14ac:dyDescent="0.35">
      <c r="A375" s="34" t="s">
        <v>77</v>
      </c>
      <c r="B375" s="4">
        <v>25.016435722913219</v>
      </c>
      <c r="C375" s="4">
        <v>27.400759009807121</v>
      </c>
      <c r="D375" s="4">
        <v>30.046583745870006</v>
      </c>
      <c r="E375" s="4">
        <v>32.925355099632831</v>
      </c>
      <c r="F375" s="4">
        <v>36.014091608898077</v>
      </c>
      <c r="G375" s="4">
        <v>39.374576283648132</v>
      </c>
      <c r="H375" s="4">
        <v>43.068315984742803</v>
      </c>
      <c r="I375" s="4">
        <v>47.237771358914316</v>
      </c>
      <c r="J375" s="4">
        <v>51.964395597813116</v>
      </c>
      <c r="K375" s="4">
        <v>57.202940439200766</v>
      </c>
      <c r="L375" s="4">
        <v>63.012486614937309</v>
      </c>
      <c r="M375" s="4">
        <v>69.349039392393863</v>
      </c>
      <c r="N375" s="4">
        <v>76.21877408000249</v>
      </c>
      <c r="O375" s="11">
        <f t="shared" si="5"/>
        <v>7.6147460319945001E-2</v>
      </c>
      <c r="P375"/>
      <c r="Q375" s="11"/>
    </row>
    <row r="376" spans="1:17" x14ac:dyDescent="0.35">
      <c r="A376" s="34" t="s">
        <v>78</v>
      </c>
      <c r="B376" s="4">
        <v>24.170812812933189</v>
      </c>
      <c r="C376" s="4">
        <v>26.092723307147335</v>
      </c>
      <c r="D376" s="4">
        <v>28.068895291574684</v>
      </c>
      <c r="E376" s="4">
        <v>30.145570700762658</v>
      </c>
      <c r="F376" s="4">
        <v>32.412682448008269</v>
      </c>
      <c r="G376" s="4">
        <v>34.960918288911188</v>
      </c>
      <c r="H376" s="4">
        <v>37.861362078883353</v>
      </c>
      <c r="I376" s="4">
        <v>41.085165336425341</v>
      </c>
      <c r="J376" s="4">
        <v>44.554301959312689</v>
      </c>
      <c r="K376" s="4">
        <v>48.271614579970297</v>
      </c>
      <c r="L376" s="4">
        <v>52.29455774499548</v>
      </c>
      <c r="M376" s="4">
        <v>56.69056466888442</v>
      </c>
      <c r="N376" s="4">
        <v>61.436105077484527</v>
      </c>
      <c r="O376" s="11">
        <f t="shared" si="5"/>
        <v>6.4644311918397562E-2</v>
      </c>
      <c r="P376"/>
      <c r="Q376" s="11"/>
    </row>
    <row r="377" spans="1:17" x14ac:dyDescent="0.35">
      <c r="A377" s="34" t="s">
        <v>79</v>
      </c>
      <c r="B377" s="4">
        <v>13.898337613645992</v>
      </c>
      <c r="C377" s="4">
        <v>15.518650033639787</v>
      </c>
      <c r="D377" s="4">
        <v>17.347261943522799</v>
      </c>
      <c r="E377" s="4">
        <v>19.378334566470265</v>
      </c>
      <c r="F377" s="4">
        <v>21.608454965338844</v>
      </c>
      <c r="G377" s="4">
        <v>24.084420487905586</v>
      </c>
      <c r="H377" s="4">
        <v>26.85613222818802</v>
      </c>
      <c r="I377" s="4">
        <v>30.027389771112418</v>
      </c>
      <c r="J377" s="4">
        <v>33.670708511600829</v>
      </c>
      <c r="K377" s="4">
        <v>37.78133573837512</v>
      </c>
      <c r="L377" s="4">
        <v>42.422137417773925</v>
      </c>
      <c r="M377" s="4">
        <v>47.590561395892649</v>
      </c>
      <c r="N377" s="4">
        <v>53.31728506978957</v>
      </c>
      <c r="O377" s="11">
        <f t="shared" si="5"/>
        <v>9.2315209032161255E-2</v>
      </c>
      <c r="P377"/>
      <c r="Q377" s="11"/>
    </row>
    <row r="378" spans="1:17" x14ac:dyDescent="0.35">
      <c r="A378" s="34" t="s">
        <v>80</v>
      </c>
      <c r="B378" s="4">
        <v>12.177746518396223</v>
      </c>
      <c r="C378" s="4">
        <v>13.054939517821069</v>
      </c>
      <c r="D378" s="4">
        <v>14.021428763075903</v>
      </c>
      <c r="E378" s="4">
        <v>15.054795771993778</v>
      </c>
      <c r="F378" s="4">
        <v>16.144247962609484</v>
      </c>
      <c r="G378" s="4">
        <v>17.26948789385915</v>
      </c>
      <c r="H378" s="4">
        <v>18.478912557917369</v>
      </c>
      <c r="I378" s="4">
        <v>19.809994027572046</v>
      </c>
      <c r="J378" s="4">
        <v>21.302989879048429</v>
      </c>
      <c r="K378" s="4">
        <v>22.965314515476457</v>
      </c>
      <c r="L378" s="4">
        <v>24.765009532043056</v>
      </c>
      <c r="M378" s="4">
        <v>26.672719057786384</v>
      </c>
      <c r="N378" s="4">
        <v>28.692566779165492</v>
      </c>
      <c r="O378" s="11">
        <f t="shared" si="5"/>
        <v>5.8032193350418405E-2</v>
      </c>
      <c r="P378"/>
      <c r="Q378" s="11"/>
    </row>
    <row r="379" spans="1:17" x14ac:dyDescent="0.35">
      <c r="A379" s="34" t="s">
        <v>81</v>
      </c>
      <c r="B379" s="4">
        <v>12.930267720199865</v>
      </c>
      <c r="C379" s="4">
        <v>14.022247131861445</v>
      </c>
      <c r="D379" s="4">
        <v>15.221135723711742</v>
      </c>
      <c r="E379" s="4">
        <v>16.544091408294413</v>
      </c>
      <c r="F379" s="4">
        <v>18.007045804449035</v>
      </c>
      <c r="G379" s="4">
        <v>19.628091280946226</v>
      </c>
      <c r="H379" s="4">
        <v>21.42497735402198</v>
      </c>
      <c r="I379" s="4">
        <v>23.401308806262332</v>
      </c>
      <c r="J379" s="4">
        <v>25.559555493986576</v>
      </c>
      <c r="K379" s="4">
        <v>27.905106882498103</v>
      </c>
      <c r="L379" s="4">
        <v>30.442783649263895</v>
      </c>
      <c r="M379" s="4">
        <v>33.194926865492711</v>
      </c>
      <c r="N379" s="4">
        <v>36.163675603622337</v>
      </c>
      <c r="O379" s="11">
        <f t="shared" si="5"/>
        <v>7.0257493624010528E-2</v>
      </c>
      <c r="P379"/>
      <c r="Q379" s="11"/>
    </row>
    <row r="380" spans="1:17" x14ac:dyDescent="0.35">
      <c r="A380" s="2" t="s">
        <v>84</v>
      </c>
      <c r="O380" s="11" t="str">
        <f t="shared" si="5"/>
        <v/>
      </c>
      <c r="P380"/>
      <c r="Q380" s="11"/>
    </row>
    <row r="381" spans="1:17" x14ac:dyDescent="0.35">
      <c r="A381" s="3" t="s">
        <v>85</v>
      </c>
      <c r="B381" s="4">
        <v>93.621391979088358</v>
      </c>
      <c r="C381" s="4">
        <v>99.681592210324737</v>
      </c>
      <c r="D381" s="4">
        <v>105.75756035185145</v>
      </c>
      <c r="E381" s="4">
        <v>112.01863862602298</v>
      </c>
      <c r="F381" s="4">
        <v>118.78710875498615</v>
      </c>
      <c r="G381" s="4">
        <v>126.36997011740128</v>
      </c>
      <c r="H381" s="4">
        <v>134.98583752764975</v>
      </c>
      <c r="I381" s="4">
        <v>144.48409212652089</v>
      </c>
      <c r="J381" s="4">
        <v>154.54812288993611</v>
      </c>
      <c r="K381" s="4">
        <v>165.15793650949936</v>
      </c>
      <c r="L381" s="4">
        <v>176.48066462661151</v>
      </c>
      <c r="M381" s="4">
        <v>188.70718558713696</v>
      </c>
      <c r="N381" s="4">
        <v>201.71416308836066</v>
      </c>
      <c r="O381" s="11">
        <f t="shared" si="5"/>
        <v>5.3333349180256652E-2</v>
      </c>
      <c r="P381"/>
      <c r="Q381" s="11"/>
    </row>
    <row r="382" spans="1:17" x14ac:dyDescent="0.35">
      <c r="A382" s="3" t="s">
        <v>86</v>
      </c>
      <c r="B382" s="4">
        <v>239.82090742282668</v>
      </c>
      <c r="C382" s="4">
        <v>256.44196094124442</v>
      </c>
      <c r="D382" s="4">
        <v>273.24632958860633</v>
      </c>
      <c r="E382" s="4">
        <v>290.6732573971675</v>
      </c>
      <c r="F382" s="4">
        <v>309.56640463420626</v>
      </c>
      <c r="G382" s="4">
        <v>330.74412054529068</v>
      </c>
      <c r="H382" s="4">
        <v>354.8073687784476</v>
      </c>
      <c r="I382" s="4">
        <v>381.39663140864536</v>
      </c>
      <c r="J382" s="4">
        <v>409.70774616911581</v>
      </c>
      <c r="K382" s="4">
        <v>439.70889175751603</v>
      </c>
      <c r="L382" s="4">
        <v>471.86574610564782</v>
      </c>
      <c r="M382" s="4">
        <v>506.71531302957857</v>
      </c>
      <c r="N382" s="4">
        <v>543.95987466138558</v>
      </c>
      <c r="O382" s="11">
        <f t="shared" si="5"/>
        <v>5.6837715474696578E-2</v>
      </c>
      <c r="P382"/>
      <c r="Q382" s="11"/>
    </row>
    <row r="383" spans="1:17" x14ac:dyDescent="0.35">
      <c r="A383" s="3" t="s">
        <v>87</v>
      </c>
      <c r="B383" s="4">
        <v>392.71466924928689</v>
      </c>
      <c r="C383" s="4">
        <v>434.03208528182472</v>
      </c>
      <c r="D383" s="4">
        <v>477.34782159915608</v>
      </c>
      <c r="E383" s="4">
        <v>523.16543769347913</v>
      </c>
      <c r="F383" s="4">
        <v>572.33788763766051</v>
      </c>
      <c r="G383" s="4">
        <v>626.13213562392889</v>
      </c>
      <c r="H383" s="4">
        <v>686.71631011294403</v>
      </c>
      <c r="I383" s="4">
        <v>754.21915378560379</v>
      </c>
      <c r="J383" s="4">
        <v>828.71404896580725</v>
      </c>
      <c r="K383" s="4">
        <v>911.73029541149845</v>
      </c>
      <c r="L383" s="4">
        <v>1004.7985966935221</v>
      </c>
      <c r="M383" s="4">
        <v>1109.3679623095504</v>
      </c>
      <c r="N383" s="4">
        <v>1225.3814022704851</v>
      </c>
      <c r="O383" s="11">
        <f t="shared" si="5"/>
        <v>7.7458589867122465E-2</v>
      </c>
      <c r="P383"/>
      <c r="Q383" s="11"/>
    </row>
    <row r="384" spans="1:17" x14ac:dyDescent="0.35">
      <c r="A384" s="3" t="s">
        <v>88</v>
      </c>
      <c r="B384" s="4">
        <v>293.3769781532917</v>
      </c>
      <c r="C384" s="4">
        <v>317.94283409156969</v>
      </c>
      <c r="D384" s="4">
        <v>345.09561123015106</v>
      </c>
      <c r="E384" s="4">
        <v>375.14243409683206</v>
      </c>
      <c r="F384" s="4">
        <v>408.55566193002812</v>
      </c>
      <c r="G384" s="4">
        <v>446.03442460250778</v>
      </c>
      <c r="H384" s="4">
        <v>487.99204021394536</v>
      </c>
      <c r="I384" s="4">
        <v>534.87251353415456</v>
      </c>
      <c r="J384" s="4">
        <v>586.43499619090232</v>
      </c>
      <c r="K384" s="4">
        <v>642.5772199674866</v>
      </c>
      <c r="L384" s="4">
        <v>702.8090525959808</v>
      </c>
      <c r="M384" s="4">
        <v>767.04681485446088</v>
      </c>
      <c r="N384" s="4">
        <v>835.9532202009367</v>
      </c>
      <c r="O384" s="11">
        <f t="shared" si="5"/>
        <v>7.2290903643498119E-2</v>
      </c>
      <c r="P384"/>
      <c r="Q384" s="11"/>
    </row>
    <row r="385" spans="1:17" x14ac:dyDescent="0.35">
      <c r="A385" s="3" t="s">
        <v>89</v>
      </c>
      <c r="B385" s="4">
        <v>99.400610830840051</v>
      </c>
      <c r="C385" s="4">
        <v>107.65312902923083</v>
      </c>
      <c r="D385" s="4">
        <v>116.72536090355291</v>
      </c>
      <c r="E385" s="4">
        <v>126.47459124587057</v>
      </c>
      <c r="F385" s="4">
        <v>136.78515553604464</v>
      </c>
      <c r="G385" s="4">
        <v>147.86787343986038</v>
      </c>
      <c r="H385" s="4">
        <v>159.92247824652179</v>
      </c>
      <c r="I385" s="4">
        <v>173.43957576599936</v>
      </c>
      <c r="J385" s="4">
        <v>188.66285499542803</v>
      </c>
      <c r="K385" s="4">
        <v>205.36382138774991</v>
      </c>
      <c r="L385" s="4">
        <v>223.69722714969103</v>
      </c>
      <c r="M385" s="4">
        <v>243.44361036535213</v>
      </c>
      <c r="N385" s="4">
        <v>264.56789693331734</v>
      </c>
      <c r="O385" s="11">
        <f t="shared" si="5"/>
        <v>6.6777143415764476E-2</v>
      </c>
      <c r="P385"/>
      <c r="Q385" s="11"/>
    </row>
    <row r="386" spans="1:17" x14ac:dyDescent="0.35">
      <c r="A386" s="3" t="s">
        <v>90</v>
      </c>
      <c r="B386" s="4">
        <v>191.41278780821608</v>
      </c>
      <c r="C386" s="4">
        <v>204.90061328799374</v>
      </c>
      <c r="D386" s="4">
        <v>219.6803540138371</v>
      </c>
      <c r="E386" s="4">
        <v>235.89231007888958</v>
      </c>
      <c r="F386" s="4">
        <v>253.77245961292496</v>
      </c>
      <c r="G386" s="4">
        <v>273.68461408381404</v>
      </c>
      <c r="H386" s="4">
        <v>295.79776521826722</v>
      </c>
      <c r="I386" s="4">
        <v>320.28920878876158</v>
      </c>
      <c r="J386" s="4">
        <v>346.91525633469575</v>
      </c>
      <c r="K386" s="4">
        <v>375.52348409521517</v>
      </c>
      <c r="L386" s="4">
        <v>405.73983093934828</v>
      </c>
      <c r="M386" s="4">
        <v>437.4407977659846</v>
      </c>
      <c r="N386" s="4">
        <v>470.93266460208537</v>
      </c>
      <c r="O386" s="11">
        <f t="shared" si="5"/>
        <v>6.2159715080555358E-2</v>
      </c>
      <c r="P386"/>
      <c r="Q386" s="11"/>
    </row>
    <row r="387" spans="1:17" x14ac:dyDescent="0.35">
      <c r="A387" s="2" t="s">
        <v>91</v>
      </c>
      <c r="O387" s="11" t="str">
        <f t="shared" si="5"/>
        <v/>
      </c>
      <c r="P387"/>
      <c r="Q387" s="11"/>
    </row>
    <row r="388" spans="1:17" x14ac:dyDescent="0.35">
      <c r="A388" s="3" t="s">
        <v>92</v>
      </c>
      <c r="B388" s="4">
        <v>522.35514748849459</v>
      </c>
      <c r="C388" s="4">
        <v>569.19358638188248</v>
      </c>
      <c r="D388" s="4">
        <v>620.82822326843461</v>
      </c>
      <c r="E388" s="4">
        <v>678.0264247247942</v>
      </c>
      <c r="F388" s="4">
        <v>741.51952737961039</v>
      </c>
      <c r="G388" s="4">
        <v>812.14127797620949</v>
      </c>
      <c r="H388" s="4">
        <v>890.72653850437041</v>
      </c>
      <c r="I388" s="4">
        <v>977.53733569102326</v>
      </c>
      <c r="J388" s="4">
        <v>1072.79247826194</v>
      </c>
      <c r="K388" s="4">
        <v>1176.8366887165141</v>
      </c>
      <c r="L388" s="4">
        <v>1289.9964785736645</v>
      </c>
      <c r="M388" s="4">
        <v>1413.3461802205327</v>
      </c>
      <c r="N388" s="4">
        <v>1547.1196746167689</v>
      </c>
      <c r="O388" s="11">
        <f t="shared" si="5"/>
        <v>7.4234626518131133E-2</v>
      </c>
      <c r="P388"/>
      <c r="Q388" s="11"/>
    </row>
    <row r="389" spans="1:17" x14ac:dyDescent="0.35">
      <c r="A389" s="3" t="s">
        <v>93</v>
      </c>
      <c r="B389" s="4">
        <v>787.99219795505519</v>
      </c>
      <c r="C389" s="4">
        <v>851.4586284603057</v>
      </c>
      <c r="D389" s="4">
        <v>917.02481441872033</v>
      </c>
      <c r="E389" s="4">
        <v>985.34024441346764</v>
      </c>
      <c r="F389" s="4">
        <v>1058.2851507262403</v>
      </c>
      <c r="G389" s="4">
        <v>1138.6918604365935</v>
      </c>
      <c r="H389" s="4">
        <v>1229.4952615934051</v>
      </c>
      <c r="I389" s="4">
        <v>1331.1638397186621</v>
      </c>
      <c r="J389" s="4">
        <v>1442.1905472839451</v>
      </c>
      <c r="K389" s="4">
        <v>1563.2249604124515</v>
      </c>
      <c r="L389" s="4">
        <v>1695.394639537137</v>
      </c>
      <c r="M389" s="4">
        <v>1839.3755036915311</v>
      </c>
      <c r="N389" s="4">
        <v>1995.3895471398018</v>
      </c>
      <c r="O389" s="11">
        <f t="shared" si="5"/>
        <v>6.4312230738332005E-2</v>
      </c>
      <c r="P389"/>
      <c r="Q389" s="11"/>
    </row>
    <row r="390" spans="1:17" x14ac:dyDescent="0.35">
      <c r="A390" s="2" t="s">
        <v>94</v>
      </c>
      <c r="O390" s="11" t="str">
        <f t="shared" si="5"/>
        <v/>
      </c>
      <c r="P390"/>
      <c r="Q390" s="11"/>
    </row>
    <row r="391" spans="1:17" x14ac:dyDescent="0.35">
      <c r="A391" s="3" t="s">
        <v>48</v>
      </c>
      <c r="B391" s="4">
        <v>80.720577631842062</v>
      </c>
      <c r="C391" s="4">
        <v>88.143872643956854</v>
      </c>
      <c r="D391" s="4">
        <v>96.426122825869555</v>
      </c>
      <c r="E391" s="4">
        <v>105.45445486395535</v>
      </c>
      <c r="F391" s="4">
        <v>115.18749939877443</v>
      </c>
      <c r="G391" s="4">
        <v>125.51170020840956</v>
      </c>
      <c r="H391" s="4">
        <v>136.80309146176995</v>
      </c>
      <c r="I391" s="4">
        <v>149.38389472511827</v>
      </c>
      <c r="J391" s="4">
        <v>163.61961092726517</v>
      </c>
      <c r="K391" s="4">
        <v>179.64825562573697</v>
      </c>
      <c r="L391" s="4">
        <v>197.30699491935783</v>
      </c>
      <c r="M391" s="4">
        <v>216.43844503468148</v>
      </c>
      <c r="N391" s="4">
        <v>237.1424063145202</v>
      </c>
      <c r="O391" s="11">
        <f t="shared" si="5"/>
        <v>7.3254650179197009E-2</v>
      </c>
      <c r="P391"/>
      <c r="Q391" s="11"/>
    </row>
    <row r="392" spans="1:17" x14ac:dyDescent="0.35">
      <c r="A392" s="3" t="s">
        <v>95</v>
      </c>
      <c r="B392" s="4">
        <v>83.818770278644152</v>
      </c>
      <c r="C392" s="4">
        <v>92.714683921855141</v>
      </c>
      <c r="D392" s="4">
        <v>102.71864144154664</v>
      </c>
      <c r="E392" s="4">
        <v>113.84487883498862</v>
      </c>
      <c r="F392" s="4">
        <v>125.98632746740955</v>
      </c>
      <c r="G392" s="4">
        <v>139.35555736340825</v>
      </c>
      <c r="H392" s="4">
        <v>154.15713326473394</v>
      </c>
      <c r="I392" s="4">
        <v>170.75291965537883</v>
      </c>
      <c r="J392" s="4">
        <v>189.39504834989918</v>
      </c>
      <c r="K392" s="4">
        <v>210.29698711470817</v>
      </c>
      <c r="L392" s="4">
        <v>233.42281026653413</v>
      </c>
      <c r="M392" s="4">
        <v>258.72254700895235</v>
      </c>
      <c r="N392" s="4">
        <v>286.55756613841601</v>
      </c>
      <c r="O392" s="11">
        <f t="shared" si="5"/>
        <v>8.339670321647788E-2</v>
      </c>
      <c r="P392"/>
      <c r="Q392" s="11"/>
    </row>
    <row r="393" spans="1:17" x14ac:dyDescent="0.35">
      <c r="A393" s="3" t="s">
        <v>96</v>
      </c>
      <c r="B393" s="4">
        <v>317.83600088772778</v>
      </c>
      <c r="C393" s="4">
        <v>351.53167952157287</v>
      </c>
      <c r="D393" s="4">
        <v>384.38120768351178</v>
      </c>
      <c r="E393" s="4">
        <v>417.58429597038344</v>
      </c>
      <c r="F393" s="4">
        <v>453.55077888267442</v>
      </c>
      <c r="G393" s="4">
        <v>494.97227608903017</v>
      </c>
      <c r="H393" s="4">
        <v>543.88640809759522</v>
      </c>
      <c r="I393" s="4">
        <v>599.49864709047915</v>
      </c>
      <c r="J393" s="4">
        <v>659.76194160077466</v>
      </c>
      <c r="K393" s="4">
        <v>725.31841984955781</v>
      </c>
      <c r="L393" s="4">
        <v>798.72294297023336</v>
      </c>
      <c r="M393" s="4">
        <v>882.0256609697135</v>
      </c>
      <c r="N393" s="4">
        <v>974.61547758094821</v>
      </c>
      <c r="O393" s="11">
        <f t="shared" si="5"/>
        <v>7.8188547399155622E-2</v>
      </c>
      <c r="P393"/>
      <c r="Q393" s="11"/>
    </row>
    <row r="394" spans="1:17" x14ac:dyDescent="0.35">
      <c r="A394" s="3" t="s">
        <v>97</v>
      </c>
      <c r="B394" s="4">
        <v>103.1794794434424</v>
      </c>
      <c r="C394" s="4">
        <v>111.33272144290545</v>
      </c>
      <c r="D394" s="4">
        <v>120.3528980312161</v>
      </c>
      <c r="E394" s="4">
        <v>130.06377165328206</v>
      </c>
      <c r="F394" s="4">
        <v>140.38476489225636</v>
      </c>
      <c r="G394" s="4">
        <v>151.15040392837849</v>
      </c>
      <c r="H394" s="4">
        <v>162.79200735605511</v>
      </c>
      <c r="I394" s="4">
        <v>175.65583104184751</v>
      </c>
      <c r="J394" s="4">
        <v>190.1216734539795</v>
      </c>
      <c r="K394" s="4">
        <v>206.28581727208024</v>
      </c>
      <c r="L394" s="4">
        <v>223.89299846365807</v>
      </c>
      <c r="M394" s="4">
        <v>242.70448718304146</v>
      </c>
      <c r="N394" s="4">
        <v>262.77970168644867</v>
      </c>
      <c r="O394" s="11">
        <f t="shared" si="5"/>
        <v>6.3376221769522442E-2</v>
      </c>
      <c r="P394"/>
      <c r="Q394" s="11"/>
    </row>
    <row r="395" spans="1:17" x14ac:dyDescent="0.35">
      <c r="A395" s="3" t="s">
        <v>98</v>
      </c>
      <c r="B395" s="4">
        <v>349.47883417063571</v>
      </c>
      <c r="C395" s="4">
        <v>378.14240494127375</v>
      </c>
      <c r="D395" s="4">
        <v>409.55305493726081</v>
      </c>
      <c r="E395" s="4">
        <v>444.15305159656765</v>
      </c>
      <c r="F395" s="4">
        <v>482.34765373236797</v>
      </c>
      <c r="G395" s="4">
        <v>524.59623083305917</v>
      </c>
      <c r="H395" s="4">
        <v>571.34472329663026</v>
      </c>
      <c r="I395" s="4">
        <v>622.65770836819922</v>
      </c>
      <c r="J395" s="4">
        <v>678.56878129560528</v>
      </c>
      <c r="K395" s="4">
        <v>739.18852776346944</v>
      </c>
      <c r="L395" s="4">
        <v>804.61125131291806</v>
      </c>
      <c r="M395" s="4">
        <v>875.39324587013868</v>
      </c>
      <c r="N395" s="4">
        <v>951.55284189740917</v>
      </c>
      <c r="O395" s="11">
        <f t="shared" si="5"/>
        <v>6.84007737246108E-2</v>
      </c>
      <c r="P395"/>
      <c r="Q395" s="11"/>
    </row>
    <row r="396" spans="1:17" x14ac:dyDescent="0.35">
      <c r="A396" s="3" t="s">
        <v>99</v>
      </c>
      <c r="B396" s="4">
        <v>262.91319974732016</v>
      </c>
      <c r="C396" s="4">
        <v>278.2277492678603</v>
      </c>
      <c r="D396" s="4">
        <v>294.89807580425139</v>
      </c>
      <c r="E396" s="4">
        <v>313.05872037833552</v>
      </c>
      <c r="F396" s="4">
        <v>332.96386544958233</v>
      </c>
      <c r="G396" s="4">
        <v>355.02253870629426</v>
      </c>
      <c r="H396" s="4">
        <v>379.3709728775691</v>
      </c>
      <c r="I396" s="4">
        <v>406.14803240187018</v>
      </c>
      <c r="J396" s="4">
        <v>434.95047401853674</v>
      </c>
      <c r="K396" s="4">
        <v>465.50550598851709</v>
      </c>
      <c r="L396" s="4">
        <v>497.2760011647477</v>
      </c>
      <c r="M396" s="4">
        <v>530.05450452230116</v>
      </c>
      <c r="N396" s="4">
        <v>564.16247834685259</v>
      </c>
      <c r="O396" s="11">
        <f t="shared" si="5"/>
        <v>5.2809531522538866E-2</v>
      </c>
      <c r="P396"/>
      <c r="Q396" s="11"/>
    </row>
    <row r="397" spans="1:17" x14ac:dyDescent="0.35">
      <c r="A397" s="3" t="s">
        <v>100</v>
      </c>
      <c r="B397" s="4">
        <v>112.40048328393759</v>
      </c>
      <c r="C397" s="4">
        <v>120.55910310276374</v>
      </c>
      <c r="D397" s="4">
        <v>129.52303696349867</v>
      </c>
      <c r="E397" s="4">
        <v>139.20749584074932</v>
      </c>
      <c r="F397" s="4">
        <v>149.38378828278553</v>
      </c>
      <c r="G397" s="4">
        <v>160.2244312842231</v>
      </c>
      <c r="H397" s="4">
        <v>171.86746374342201</v>
      </c>
      <c r="I397" s="4">
        <v>184.6041421267918</v>
      </c>
      <c r="J397" s="4">
        <v>198.5654958998247</v>
      </c>
      <c r="K397" s="4">
        <v>213.81813551489586</v>
      </c>
      <c r="L397" s="4">
        <v>230.15811901335249</v>
      </c>
      <c r="M397" s="4">
        <v>247.38279332323503</v>
      </c>
      <c r="N397" s="4">
        <v>265.69874979197573</v>
      </c>
      <c r="O397" s="11">
        <f t="shared" si="5"/>
        <v>5.7807769301099557E-2</v>
      </c>
      <c r="P397"/>
      <c r="Q397" s="11"/>
    </row>
    <row r="398" spans="1:17" x14ac:dyDescent="0.35">
      <c r="A398" s="1" t="s">
        <v>36</v>
      </c>
      <c r="O398" s="11" t="str">
        <f t="shared" si="5"/>
        <v/>
      </c>
      <c r="P398"/>
      <c r="Q398" s="11"/>
    </row>
    <row r="399" spans="1:17" x14ac:dyDescent="0.35">
      <c r="A399" s="2" t="s">
        <v>54</v>
      </c>
      <c r="O399" s="11" t="str">
        <f t="shared" si="5"/>
        <v/>
      </c>
      <c r="P399"/>
      <c r="Q399" s="11"/>
    </row>
    <row r="400" spans="1:17" x14ac:dyDescent="0.35">
      <c r="A400" s="3" t="s">
        <v>55</v>
      </c>
      <c r="B400" s="4">
        <v>18.866920523450556</v>
      </c>
      <c r="C400" s="4">
        <v>20.743290842558803</v>
      </c>
      <c r="D400" s="4">
        <v>22.840843818482316</v>
      </c>
      <c r="E400" s="4">
        <v>25.188568555332612</v>
      </c>
      <c r="F400" s="4">
        <v>27.827984256568147</v>
      </c>
      <c r="G400" s="4">
        <v>30.818182395574787</v>
      </c>
      <c r="H400" s="4">
        <v>34.201595145343241</v>
      </c>
      <c r="I400" s="4">
        <v>38.024863291387753</v>
      </c>
      <c r="J400" s="4">
        <v>42.288195209677816</v>
      </c>
      <c r="K400" s="4">
        <v>47.00133800618152</v>
      </c>
      <c r="L400" s="4">
        <v>52.145771649134439</v>
      </c>
      <c r="M400" s="4">
        <v>57.731605103868119</v>
      </c>
      <c r="N400" s="4">
        <v>63.825263673355543</v>
      </c>
      <c r="O400" s="11">
        <f t="shared" si="5"/>
        <v>8.4255747430984393E-2</v>
      </c>
      <c r="P400"/>
      <c r="Q400" s="11"/>
    </row>
    <row r="401" spans="1:17" x14ac:dyDescent="0.35">
      <c r="A401" s="3" t="s">
        <v>56</v>
      </c>
      <c r="B401" s="4">
        <v>55.756540372668738</v>
      </c>
      <c r="C401" s="4">
        <v>60.287476581725116</v>
      </c>
      <c r="D401" s="4">
        <v>65.293182852958338</v>
      </c>
      <c r="E401" s="4">
        <v>70.741752489276479</v>
      </c>
      <c r="F401" s="4">
        <v>76.526956705562426</v>
      </c>
      <c r="G401" s="4">
        <v>82.744516659679206</v>
      </c>
      <c r="H401" s="4">
        <v>89.475337477998963</v>
      </c>
      <c r="I401" s="4">
        <v>96.882566842533009</v>
      </c>
      <c r="J401" s="4">
        <v>105.05036756869137</v>
      </c>
      <c r="K401" s="4">
        <v>114.03130634045809</v>
      </c>
      <c r="L401" s="4">
        <v>123.73509670302582</v>
      </c>
      <c r="M401" s="4">
        <v>134.06896078448344</v>
      </c>
      <c r="N401" s="4">
        <v>145.15867839374278</v>
      </c>
      <c r="O401" s="11">
        <f t="shared" si="5"/>
        <v>6.4443568984234353E-2</v>
      </c>
      <c r="P401"/>
      <c r="Q401" s="11"/>
    </row>
    <row r="402" spans="1:17" x14ac:dyDescent="0.35">
      <c r="A402" s="3" t="s">
        <v>57</v>
      </c>
      <c r="B402" s="4">
        <v>115.92592146699096</v>
      </c>
      <c r="C402" s="4">
        <v>124.18713474993837</v>
      </c>
      <c r="D402" s="4">
        <v>133.25659760435332</v>
      </c>
      <c r="E402" s="4">
        <v>143.04399576271629</v>
      </c>
      <c r="F402" s="4">
        <v>153.31157993201896</v>
      </c>
      <c r="G402" s="4">
        <v>164.23451858623238</v>
      </c>
      <c r="H402" s="4">
        <v>175.95176701952769</v>
      </c>
      <c r="I402" s="4">
        <v>188.75844303068254</v>
      </c>
      <c r="J402" s="4">
        <v>202.78436500612963</v>
      </c>
      <c r="K402" s="4">
        <v>218.09290968237073</v>
      </c>
      <c r="L402" s="4">
        <v>234.4711635243228</v>
      </c>
      <c r="M402" s="4">
        <v>251.70855267893828</v>
      </c>
      <c r="N402" s="4">
        <v>270.01192218298894</v>
      </c>
      <c r="O402" s="11">
        <f t="shared" si="5"/>
        <v>5.6795473212480886E-2</v>
      </c>
      <c r="P402"/>
      <c r="Q402" s="11"/>
    </row>
    <row r="403" spans="1:17" x14ac:dyDescent="0.35">
      <c r="A403" s="2" t="s">
        <v>47</v>
      </c>
      <c r="O403" s="11" t="str">
        <f t="shared" si="5"/>
        <v/>
      </c>
      <c r="P403"/>
      <c r="Q403" s="11"/>
    </row>
    <row r="404" spans="1:17" x14ac:dyDescent="0.35">
      <c r="A404" s="3" t="s">
        <v>82</v>
      </c>
      <c r="B404" s="4">
        <v>74.623460896119298</v>
      </c>
      <c r="C404" s="4">
        <v>81.030767424283923</v>
      </c>
      <c r="D404" s="4">
        <v>88.134026671440651</v>
      </c>
      <c r="E404" s="4">
        <v>95.930321044609087</v>
      </c>
      <c r="F404" s="4">
        <v>104.35494096213057</v>
      </c>
      <c r="G404" s="4">
        <v>113.562699055254</v>
      </c>
      <c r="H404" s="4">
        <v>123.6769326233422</v>
      </c>
      <c r="I404" s="4">
        <v>134.90743013392077</v>
      </c>
      <c r="J404" s="4">
        <v>147.33856277836918</v>
      </c>
      <c r="K404" s="4">
        <v>161.03264434663961</v>
      </c>
      <c r="L404" s="4">
        <v>175.88086835216026</v>
      </c>
      <c r="M404" s="4">
        <v>191.80056588835157</v>
      </c>
      <c r="N404" s="4">
        <v>208.98394206709833</v>
      </c>
      <c r="O404" s="11">
        <f t="shared" si="5"/>
        <v>7.0115861301582594E-2</v>
      </c>
      <c r="P404"/>
      <c r="Q404" s="11"/>
    </row>
    <row r="405" spans="1:17" x14ac:dyDescent="0.35">
      <c r="A405" s="3" t="s">
        <v>83</v>
      </c>
      <c r="B405" s="4">
        <v>115.92592146699096</v>
      </c>
      <c r="C405" s="4">
        <v>124.18713474993837</v>
      </c>
      <c r="D405" s="4">
        <v>133.25659760435332</v>
      </c>
      <c r="E405" s="4">
        <v>143.04399576271629</v>
      </c>
      <c r="F405" s="4">
        <v>153.31157993201896</v>
      </c>
      <c r="G405" s="4">
        <v>164.23451858623238</v>
      </c>
      <c r="H405" s="4">
        <v>175.95176701952769</v>
      </c>
      <c r="I405" s="4">
        <v>188.75844303068254</v>
      </c>
      <c r="J405" s="4">
        <v>202.78436500612963</v>
      </c>
      <c r="K405" s="4">
        <v>218.09290968237073</v>
      </c>
      <c r="L405" s="4">
        <v>234.4711635243228</v>
      </c>
      <c r="M405" s="4">
        <v>251.70855267893828</v>
      </c>
      <c r="N405" s="4">
        <v>270.01192218298894</v>
      </c>
      <c r="O405" s="11">
        <f t="shared" si="5"/>
        <v>5.6795473212480886E-2</v>
      </c>
      <c r="P405"/>
      <c r="Q405" s="11"/>
    </row>
    <row r="406" spans="1:17" x14ac:dyDescent="0.35">
      <c r="A406" s="2" t="s">
        <v>59</v>
      </c>
      <c r="O406" s="11" t="str">
        <f t="shared" ref="O406:O469" si="6">IFERROR(RATE(2035-2026,,-G406,N406),"")</f>
        <v/>
      </c>
      <c r="P406"/>
      <c r="Q406" s="11"/>
    </row>
    <row r="407" spans="1:17" x14ac:dyDescent="0.35">
      <c r="A407" s="3" t="s">
        <v>60</v>
      </c>
      <c r="O407" s="11" t="str">
        <f t="shared" si="6"/>
        <v/>
      </c>
      <c r="P407"/>
      <c r="Q407" s="11"/>
    </row>
    <row r="408" spans="1:17" x14ac:dyDescent="0.35">
      <c r="A408" s="34" t="s">
        <v>61</v>
      </c>
      <c r="B408" s="4">
        <v>36.93604703264532</v>
      </c>
      <c r="C408" s="4">
        <v>40.362037748056139</v>
      </c>
      <c r="D408" s="4">
        <v>44.360278823888905</v>
      </c>
      <c r="E408" s="4">
        <v>48.809187651433518</v>
      </c>
      <c r="F408" s="4">
        <v>53.309141840832382</v>
      </c>
      <c r="G408" s="4">
        <v>58.024863045273491</v>
      </c>
      <c r="H408" s="4">
        <v>62.880520913531939</v>
      </c>
      <c r="I408" s="4">
        <v>68.169008598592939</v>
      </c>
      <c r="J408" s="4">
        <v>74.00592192574004</v>
      </c>
      <c r="K408" s="4">
        <v>80.504089813192707</v>
      </c>
      <c r="L408" s="4">
        <v>87.337512824085024</v>
      </c>
      <c r="M408" s="4">
        <v>94.226763967822933</v>
      </c>
      <c r="N408" s="4">
        <v>101.57436153883373</v>
      </c>
      <c r="O408" s="11">
        <f t="shared" si="6"/>
        <v>6.4189296062900081E-2</v>
      </c>
      <c r="P408"/>
      <c r="Q408" s="11"/>
    </row>
    <row r="409" spans="1:17" x14ac:dyDescent="0.35">
      <c r="A409" s="43" t="s">
        <v>62</v>
      </c>
      <c r="B409" s="4">
        <v>7.2450862243482614</v>
      </c>
      <c r="C409" s="4">
        <v>7.9959756347919342</v>
      </c>
      <c r="D409" s="4">
        <v>8.8330648591128149</v>
      </c>
      <c r="E409" s="4">
        <v>9.770301472010603</v>
      </c>
      <c r="F409" s="4">
        <v>10.821755793688974</v>
      </c>
      <c r="G409" s="4">
        <v>12.003628159875282</v>
      </c>
      <c r="H409" s="4">
        <v>13.33286715346442</v>
      </c>
      <c r="I409" s="4">
        <v>14.818602597006141</v>
      </c>
      <c r="J409" s="4">
        <v>16.469652588061344</v>
      </c>
      <c r="K409" s="4">
        <v>18.297090058620256</v>
      </c>
      <c r="L409" s="4">
        <v>20.312135641298212</v>
      </c>
      <c r="M409" s="4">
        <v>22.538215267083761</v>
      </c>
      <c r="N409" s="4">
        <v>24.986397131166427</v>
      </c>
      <c r="O409" s="11">
        <f t="shared" si="6"/>
        <v>8.4867725870433466E-2</v>
      </c>
      <c r="P409"/>
      <c r="Q409" s="11"/>
    </row>
    <row r="410" spans="1:17" x14ac:dyDescent="0.35">
      <c r="A410" s="43" t="s">
        <v>63</v>
      </c>
      <c r="B410" s="4">
        <v>14.9410581554126</v>
      </c>
      <c r="C410" s="4">
        <v>16.152124434618401</v>
      </c>
      <c r="D410" s="4">
        <v>17.400345864043629</v>
      </c>
      <c r="E410" s="4">
        <v>18.714550581520555</v>
      </c>
      <c r="F410" s="4">
        <v>20.150855615834633</v>
      </c>
      <c r="G410" s="4">
        <v>21.766169367563492</v>
      </c>
      <c r="H410" s="4">
        <v>23.605520164242414</v>
      </c>
      <c r="I410" s="4">
        <v>25.651886184509934</v>
      </c>
      <c r="J410" s="4">
        <v>27.857442131366724</v>
      </c>
      <c r="K410" s="4">
        <v>30.224652622142493</v>
      </c>
      <c r="L410" s="4">
        <v>32.790190550352051</v>
      </c>
      <c r="M410" s="4">
        <v>35.597194385964109</v>
      </c>
      <c r="N410" s="4">
        <v>38.631929886249928</v>
      </c>
      <c r="O410" s="11">
        <f t="shared" si="6"/>
        <v>6.5822620684575381E-2</v>
      </c>
      <c r="P410"/>
      <c r="Q410" s="11"/>
    </row>
    <row r="411" spans="1:17" x14ac:dyDescent="0.35">
      <c r="A411" s="43" t="s">
        <v>64</v>
      </c>
      <c r="B411" s="4">
        <v>14.749902652884458</v>
      </c>
      <c r="C411" s="4">
        <v>16.213937678645806</v>
      </c>
      <c r="D411" s="4">
        <v>18.126868100732459</v>
      </c>
      <c r="E411" s="4">
        <v>20.324335597902362</v>
      </c>
      <c r="F411" s="4">
        <v>22.336530431308773</v>
      </c>
      <c r="G411" s="4">
        <v>24.255065517834716</v>
      </c>
      <c r="H411" s="4">
        <v>25.942133595825105</v>
      </c>
      <c r="I411" s="4">
        <v>27.698519817076864</v>
      </c>
      <c r="J411" s="4">
        <v>29.678827206311972</v>
      </c>
      <c r="K411" s="4">
        <v>31.982347132429958</v>
      </c>
      <c r="L411" s="4">
        <v>34.235186632434761</v>
      </c>
      <c r="M411" s="4">
        <v>36.09135431477506</v>
      </c>
      <c r="N411" s="4">
        <v>37.956034521417372</v>
      </c>
      <c r="O411" s="11">
        <f t="shared" si="6"/>
        <v>5.1014503160429006E-2</v>
      </c>
      <c r="P411"/>
      <c r="Q411" s="11"/>
    </row>
    <row r="412" spans="1:17" x14ac:dyDescent="0.35">
      <c r="A412" s="34" t="s">
        <v>65</v>
      </c>
      <c r="B412" s="4">
        <v>34.345391745424493</v>
      </c>
      <c r="C412" s="4">
        <v>36.894583603147687</v>
      </c>
      <c r="D412" s="4">
        <v>39.706771354139576</v>
      </c>
      <c r="E412" s="4">
        <v>42.720074760160848</v>
      </c>
      <c r="F412" s="4">
        <v>45.905094362939003</v>
      </c>
      <c r="G412" s="4">
        <v>49.205161338555079</v>
      </c>
      <c r="H412" s="4">
        <v>52.758868236492027</v>
      </c>
      <c r="I412" s="4">
        <v>56.674749538066457</v>
      </c>
      <c r="J412" s="4">
        <v>61.070192147362491</v>
      </c>
      <c r="K412" s="4">
        <v>65.969379667437323</v>
      </c>
      <c r="L412" s="4">
        <v>71.283580770457448</v>
      </c>
      <c r="M412" s="4">
        <v>76.930825607841854</v>
      </c>
      <c r="N412" s="4">
        <v>82.925035817321884</v>
      </c>
      <c r="O412" s="11">
        <f t="shared" si="6"/>
        <v>5.9707753587776038E-2</v>
      </c>
      <c r="P412"/>
      <c r="Q412" s="11"/>
    </row>
    <row r="413" spans="1:17" x14ac:dyDescent="0.35">
      <c r="A413" s="34" t="s">
        <v>66</v>
      </c>
      <c r="B413" s="4">
        <v>22.184215452411372</v>
      </c>
      <c r="C413" s="4">
        <v>23.672429254064181</v>
      </c>
      <c r="D413" s="4">
        <v>25.290069456400701</v>
      </c>
      <c r="E413" s="4">
        <v>26.999282507722096</v>
      </c>
      <c r="F413" s="4">
        <v>28.770013056957165</v>
      </c>
      <c r="G413" s="4">
        <v>30.642490821958834</v>
      </c>
      <c r="H413" s="4">
        <v>32.65215884138042</v>
      </c>
      <c r="I413" s="4">
        <v>34.891586119670187</v>
      </c>
      <c r="J413" s="4">
        <v>37.398000730000426</v>
      </c>
      <c r="K413" s="4">
        <v>40.11251051967718</v>
      </c>
      <c r="L413" s="4">
        <v>43.054135636529978</v>
      </c>
      <c r="M413" s="4">
        <v>46.168428800576322</v>
      </c>
      <c r="N413" s="4">
        <v>49.438739711089006</v>
      </c>
      <c r="O413" s="11">
        <f t="shared" si="6"/>
        <v>5.45874332038025E-2</v>
      </c>
      <c r="P413"/>
      <c r="Q413" s="11"/>
    </row>
    <row r="414" spans="1:17" x14ac:dyDescent="0.35">
      <c r="A414" s="34" t="s">
        <v>67</v>
      </c>
      <c r="B414" s="4">
        <v>14.173648586373046</v>
      </c>
      <c r="C414" s="4">
        <v>14.971412720499695</v>
      </c>
      <c r="D414" s="4">
        <v>15.829763364256403</v>
      </c>
      <c r="E414" s="4">
        <v>16.759751016167815</v>
      </c>
      <c r="F414" s="4">
        <v>17.76971394694413</v>
      </c>
      <c r="G414" s="4">
        <v>18.86888539394285</v>
      </c>
      <c r="H414" s="4">
        <v>20.064800273390652</v>
      </c>
      <c r="I414" s="4">
        <v>21.350510136787655</v>
      </c>
      <c r="J414" s="4">
        <v>22.718249720642859</v>
      </c>
      <c r="K414" s="4">
        <v>24.163168785055714</v>
      </c>
      <c r="L414" s="4">
        <v>25.679966231857666</v>
      </c>
      <c r="M414" s="4">
        <v>27.27822065909087</v>
      </c>
      <c r="N414" s="4">
        <v>28.949486751917991</v>
      </c>
      <c r="O414" s="11">
        <f t="shared" si="6"/>
        <v>4.870891029980335E-2</v>
      </c>
      <c r="P414"/>
      <c r="Q414" s="11"/>
    </row>
    <row r="415" spans="1:17" x14ac:dyDescent="0.35">
      <c r="A415" s="34" t="s">
        <v>68</v>
      </c>
      <c r="B415" s="4">
        <v>23.695212205172329</v>
      </c>
      <c r="C415" s="4">
        <v>25.696753823455897</v>
      </c>
      <c r="D415" s="4">
        <v>27.89428666595402</v>
      </c>
      <c r="E415" s="4">
        <v>30.319264844239999</v>
      </c>
      <c r="F415" s="4">
        <v>33.000897330039095</v>
      </c>
      <c r="G415" s="4">
        <v>35.972355079167407</v>
      </c>
      <c r="H415" s="4">
        <v>39.266183029484999</v>
      </c>
      <c r="I415" s="4">
        <v>42.889004936604792</v>
      </c>
      <c r="J415" s="4">
        <v>46.845365003916434</v>
      </c>
      <c r="K415" s="4">
        <v>51.14515883101771</v>
      </c>
      <c r="L415" s="4">
        <v>55.797240261642933</v>
      </c>
      <c r="M415" s="4">
        <v>60.842576162192444</v>
      </c>
      <c r="N415" s="4">
        <v>66.28510829228982</v>
      </c>
      <c r="O415" s="11">
        <f t="shared" si="6"/>
        <v>7.0271897254809909E-2</v>
      </c>
      <c r="P415"/>
      <c r="Q415" s="11"/>
    </row>
    <row r="416" spans="1:17" x14ac:dyDescent="0.35">
      <c r="A416" s="34" t="s">
        <v>69</v>
      </c>
      <c r="B416" s="4">
        <v>27.087904544791506</v>
      </c>
      <c r="C416" s="4">
        <v>28.505097812856238</v>
      </c>
      <c r="D416" s="4">
        <v>29.888767574824893</v>
      </c>
      <c r="E416" s="4">
        <v>31.287249622438395</v>
      </c>
      <c r="F416" s="4">
        <v>32.789353116385001</v>
      </c>
      <c r="G416" s="4">
        <v>34.475483201651222</v>
      </c>
      <c r="H416" s="4">
        <v>36.39808011711515</v>
      </c>
      <c r="I416" s="4">
        <v>38.507428714805471</v>
      </c>
      <c r="J416" s="4">
        <v>40.711682911628728</v>
      </c>
      <c r="K416" s="4">
        <v>43.001223301217664</v>
      </c>
      <c r="L416" s="4">
        <v>45.415498740958213</v>
      </c>
      <c r="M416" s="4">
        <v>47.998143434753743</v>
      </c>
      <c r="N416" s="4">
        <v>50.710717449167888</v>
      </c>
      <c r="O416" s="11">
        <f t="shared" si="6"/>
        <v>4.3809015706054812E-2</v>
      </c>
      <c r="P416"/>
      <c r="Q416" s="11"/>
    </row>
    <row r="417" spans="1:17" x14ac:dyDescent="0.35">
      <c r="A417" s="3" t="s">
        <v>70</v>
      </c>
      <c r="O417" s="11" t="str">
        <f t="shared" si="6"/>
        <v/>
      </c>
      <c r="P417"/>
      <c r="Q417" s="11"/>
    </row>
    <row r="418" spans="1:17" x14ac:dyDescent="0.35">
      <c r="A418" s="34" t="s">
        <v>71</v>
      </c>
      <c r="B418" s="4">
        <v>4.7418365252346115</v>
      </c>
      <c r="C418" s="4">
        <v>5.2585195040228756</v>
      </c>
      <c r="D418" s="4">
        <v>5.8324656548830021</v>
      </c>
      <c r="E418" s="4">
        <v>6.4850065372161705</v>
      </c>
      <c r="F418" s="4">
        <v>7.223423246746588</v>
      </c>
      <c r="G418" s="4">
        <v>8.0549606330883066</v>
      </c>
      <c r="H418" s="4">
        <v>8.9838445973003171</v>
      </c>
      <c r="I418" s="4">
        <v>10.012358896781201</v>
      </c>
      <c r="J418" s="4">
        <v>11.14886412909622</v>
      </c>
      <c r="K418" s="4">
        <v>12.429057783796601</v>
      </c>
      <c r="L418" s="4">
        <v>13.873790294855795</v>
      </c>
      <c r="M418" s="4">
        <v>15.488032518791178</v>
      </c>
      <c r="N418" s="4">
        <v>17.277391420830885</v>
      </c>
      <c r="O418" s="11">
        <f t="shared" si="6"/>
        <v>8.8488540330230681E-2</v>
      </c>
      <c r="P418"/>
      <c r="Q418" s="11"/>
    </row>
    <row r="419" spans="1:17" x14ac:dyDescent="0.35">
      <c r="A419" s="34" t="s">
        <v>72</v>
      </c>
      <c r="B419" s="4">
        <v>3.5634633147664543</v>
      </c>
      <c r="C419" s="4">
        <v>3.9923485345918022</v>
      </c>
      <c r="D419" s="4">
        <v>4.477035248164281</v>
      </c>
      <c r="E419" s="4">
        <v>5.0269072894458198</v>
      </c>
      <c r="F419" s="4">
        <v>5.6519151358131694</v>
      </c>
      <c r="G419" s="4">
        <v>6.3636479076195345</v>
      </c>
      <c r="H419" s="4">
        <v>7.1747045500427422</v>
      </c>
      <c r="I419" s="4">
        <v>8.0941368104930742</v>
      </c>
      <c r="J419" s="4">
        <v>9.1312586275884087</v>
      </c>
      <c r="K419" s="4">
        <v>10.297073403664967</v>
      </c>
      <c r="L419" s="4">
        <v>11.603199336904881</v>
      </c>
      <c r="M419" s="4">
        <v>13.068784009972564</v>
      </c>
      <c r="N419" s="4">
        <v>14.706808172793332</v>
      </c>
      <c r="O419" s="11">
        <f t="shared" si="6"/>
        <v>9.7548163084101844E-2</v>
      </c>
      <c r="P419"/>
      <c r="Q419" s="11"/>
    </row>
    <row r="420" spans="1:17" x14ac:dyDescent="0.35">
      <c r="A420" s="34" t="s">
        <v>73</v>
      </c>
      <c r="B420" s="4">
        <v>3.3380452987382632</v>
      </c>
      <c r="C420" s="4">
        <v>3.6226978166712946</v>
      </c>
      <c r="D420" s="4">
        <v>3.9361525104680166</v>
      </c>
      <c r="E420" s="4">
        <v>4.2737768234725397</v>
      </c>
      <c r="F420" s="4">
        <v>4.6318133795932326</v>
      </c>
      <c r="G420" s="4">
        <v>5.0175286171398943</v>
      </c>
      <c r="H420" s="4">
        <v>5.4378731368750461</v>
      </c>
      <c r="I420" s="4">
        <v>5.909745726949474</v>
      </c>
      <c r="J420" s="4">
        <v>6.4417718343121209</v>
      </c>
      <c r="K420" s="4">
        <v>7.0265250332437574</v>
      </c>
      <c r="L420" s="4">
        <v>7.6696292210986305</v>
      </c>
      <c r="M420" s="4">
        <v>8.363924026366373</v>
      </c>
      <c r="N420" s="4">
        <v>9.1085241294947856</v>
      </c>
      <c r="O420" s="11">
        <f t="shared" si="6"/>
        <v>6.8496560085346908E-2</v>
      </c>
      <c r="P420"/>
      <c r="Q420" s="11"/>
    </row>
    <row r="421" spans="1:17" x14ac:dyDescent="0.35">
      <c r="A421" s="34" t="s">
        <v>74</v>
      </c>
      <c r="B421" s="4">
        <v>4.0261376762979619</v>
      </c>
      <c r="C421" s="4">
        <v>4.3773749483887148</v>
      </c>
      <c r="D421" s="4">
        <v>4.7665495251432546</v>
      </c>
      <c r="E421" s="4">
        <v>5.1982682775412332</v>
      </c>
      <c r="F421" s="4">
        <v>5.6794854535488435</v>
      </c>
      <c r="G421" s="4">
        <v>6.2203954461048436</v>
      </c>
      <c r="H421" s="4">
        <v>6.8273355621936078</v>
      </c>
      <c r="I421" s="4">
        <v>7.5071510706148485</v>
      </c>
      <c r="J421" s="4">
        <v>8.2571599559812885</v>
      </c>
      <c r="K421" s="4">
        <v>9.0765944008474122</v>
      </c>
      <c r="L421" s="4">
        <v>9.9591957249512948</v>
      </c>
      <c r="M421" s="4">
        <v>10.904382425448935</v>
      </c>
      <c r="N421" s="4">
        <v>11.922174138640525</v>
      </c>
      <c r="O421" s="11">
        <f t="shared" si="6"/>
        <v>7.4961850562814902E-2</v>
      </c>
      <c r="P421"/>
      <c r="Q421" s="11"/>
    </row>
    <row r="422" spans="1:17" x14ac:dyDescent="0.35">
      <c r="A422" s="34" t="s">
        <v>75</v>
      </c>
      <c r="B422" s="4">
        <v>2.9777048099489125</v>
      </c>
      <c r="C422" s="4">
        <v>3.2744068822581016</v>
      </c>
      <c r="D422" s="4">
        <v>3.6041030352971259</v>
      </c>
      <c r="E422" s="4">
        <v>3.9721017163556249</v>
      </c>
      <c r="F422" s="4">
        <v>4.3836805199721658</v>
      </c>
      <c r="G422" s="4">
        <v>4.8448990582241871</v>
      </c>
      <c r="H422" s="4">
        <v>5.3620263132883075</v>
      </c>
      <c r="I422" s="4">
        <v>5.9380905398658772</v>
      </c>
      <c r="J422" s="4">
        <v>6.5759447137175293</v>
      </c>
      <c r="K422" s="4">
        <v>7.2792937135061084</v>
      </c>
      <c r="L422" s="4">
        <v>8.0518400051061612</v>
      </c>
      <c r="M422" s="4">
        <v>8.9020626023281011</v>
      </c>
      <c r="N422" s="4">
        <v>9.8334283539719767</v>
      </c>
      <c r="O422" s="11">
        <f t="shared" si="6"/>
        <v>8.1826966333468268E-2</v>
      </c>
      <c r="P422"/>
      <c r="Q422" s="11"/>
    </row>
    <row r="423" spans="1:17" x14ac:dyDescent="0.35">
      <c r="A423" s="3" t="s">
        <v>76</v>
      </c>
      <c r="O423" s="11" t="str">
        <f t="shared" si="6"/>
        <v/>
      </c>
      <c r="P423"/>
      <c r="Q423" s="11"/>
    </row>
    <row r="424" spans="1:17" x14ac:dyDescent="0.35">
      <c r="A424" s="34" t="s">
        <v>77</v>
      </c>
      <c r="B424" s="4">
        <v>3.8910904630909044</v>
      </c>
      <c r="C424" s="4">
        <v>4.2193751009820515</v>
      </c>
      <c r="D424" s="4">
        <v>4.5797768492261648</v>
      </c>
      <c r="E424" s="4">
        <v>4.9774506566295091</v>
      </c>
      <c r="F424" s="4">
        <v>5.4171809352785978</v>
      </c>
      <c r="G424" s="4">
        <v>5.9044006491304311</v>
      </c>
      <c r="H424" s="4">
        <v>6.444437947528395</v>
      </c>
      <c r="I424" s="4">
        <v>7.038364723717117</v>
      </c>
      <c r="J424" s="4">
        <v>7.6869111652039894</v>
      </c>
      <c r="K424" s="4">
        <v>8.391685261118301</v>
      </c>
      <c r="L424" s="4">
        <v>9.1541234268905995</v>
      </c>
      <c r="M424" s="4">
        <v>9.9809299715799806</v>
      </c>
      <c r="N424" s="4">
        <v>10.872732855815141</v>
      </c>
      <c r="O424" s="11">
        <f t="shared" si="6"/>
        <v>7.0194079971645382E-2</v>
      </c>
      <c r="P424"/>
      <c r="Q424" s="11"/>
    </row>
    <row r="425" spans="1:17" x14ac:dyDescent="0.35">
      <c r="A425" s="34" t="s">
        <v>78</v>
      </c>
      <c r="B425" s="4">
        <v>3.6697083524915066</v>
      </c>
      <c r="C425" s="4">
        <v>3.940222527133471</v>
      </c>
      <c r="D425" s="4">
        <v>4.2376431034002424</v>
      </c>
      <c r="E425" s="4">
        <v>4.5592816309737518</v>
      </c>
      <c r="F425" s="4">
        <v>4.8977252291559941</v>
      </c>
      <c r="G425" s="4">
        <v>5.2586838644431833</v>
      </c>
      <c r="H425" s="4">
        <v>5.646759967608074</v>
      </c>
      <c r="I425" s="4">
        <v>6.0716093633096264</v>
      </c>
      <c r="J425" s="4">
        <v>6.5376586545505688</v>
      </c>
      <c r="K425" s="4">
        <v>7.0472319999596076</v>
      </c>
      <c r="L425" s="4">
        <v>7.593746084027253</v>
      </c>
      <c r="M425" s="4">
        <v>8.1706324014904901</v>
      </c>
      <c r="N425" s="4">
        <v>8.784811448546856</v>
      </c>
      <c r="O425" s="11">
        <f t="shared" si="6"/>
        <v>5.8672687739145281E-2</v>
      </c>
      <c r="P425"/>
      <c r="Q425" s="11"/>
    </row>
    <row r="426" spans="1:17" x14ac:dyDescent="0.35">
      <c r="A426" s="34" t="s">
        <v>79</v>
      </c>
      <c r="B426" s="4">
        <v>2.2426575307465533</v>
      </c>
      <c r="C426" s="4">
        <v>2.4849907136811584</v>
      </c>
      <c r="D426" s="4">
        <v>2.7441232765084664</v>
      </c>
      <c r="E426" s="4">
        <v>3.0254713907590034</v>
      </c>
      <c r="F426" s="4">
        <v>3.3393581107881771</v>
      </c>
      <c r="G426" s="4">
        <v>3.6972072334536499</v>
      </c>
      <c r="H426" s="4">
        <v>4.1094644371548776</v>
      </c>
      <c r="I426" s="4">
        <v>4.5766700543628431</v>
      </c>
      <c r="J426" s="4">
        <v>5.0937434454553188</v>
      </c>
      <c r="K426" s="4">
        <v>5.6641198193735081</v>
      </c>
      <c r="L426" s="4">
        <v>6.2978345529272897</v>
      </c>
      <c r="M426" s="4">
        <v>7.0070021308535635</v>
      </c>
      <c r="N426" s="4">
        <v>7.7935528199387933</v>
      </c>
      <c r="O426" s="11">
        <f t="shared" si="6"/>
        <v>8.6387180216524945E-2</v>
      </c>
      <c r="P426"/>
      <c r="Q426" s="11"/>
    </row>
    <row r="427" spans="1:17" x14ac:dyDescent="0.35">
      <c r="A427" s="34" t="s">
        <v>80</v>
      </c>
      <c r="B427" s="4">
        <v>1.5993853854229809</v>
      </c>
      <c r="C427" s="4">
        <v>1.7021014951091993</v>
      </c>
      <c r="D427" s="4">
        <v>1.8148184662803495</v>
      </c>
      <c r="E427" s="4">
        <v>1.9343948681113499</v>
      </c>
      <c r="F427" s="4">
        <v>2.0592708349860427</v>
      </c>
      <c r="G427" s="4">
        <v>2.1867168524180696</v>
      </c>
      <c r="H427" s="4">
        <v>2.3227792699550998</v>
      </c>
      <c r="I427" s="4">
        <v>2.471953354227781</v>
      </c>
      <c r="J427" s="4">
        <v>2.6389475766336825</v>
      </c>
      <c r="K427" s="4">
        <v>2.824260382765829</v>
      </c>
      <c r="L427" s="4">
        <v>3.0235276890960581</v>
      </c>
      <c r="M427" s="4">
        <v>3.2328230439212433</v>
      </c>
      <c r="N427" s="4">
        <v>3.4523863113595707</v>
      </c>
      <c r="O427" s="11">
        <f t="shared" si="6"/>
        <v>5.204984058378144E-2</v>
      </c>
      <c r="P427"/>
      <c r="Q427" s="11"/>
    </row>
    <row r="428" spans="1:17" x14ac:dyDescent="0.35">
      <c r="A428" s="34" t="s">
        <v>81</v>
      </c>
      <c r="B428" s="4">
        <v>2.0769334395540286</v>
      </c>
      <c r="C428" s="4">
        <v>2.2435496893037623</v>
      </c>
      <c r="D428" s="4">
        <v>2.4280193669585617</v>
      </c>
      <c r="E428" s="4">
        <v>2.6268472146576989</v>
      </c>
      <c r="F428" s="4">
        <v>2.8384543941699509</v>
      </c>
      <c r="G428" s="4">
        <v>3.0595384993154098</v>
      </c>
      <c r="H428" s="4">
        <v>3.2988624495282446</v>
      </c>
      <c r="I428" s="4">
        <v>3.5635045797539679</v>
      </c>
      <c r="J428" s="4">
        <v>3.8612552426686699</v>
      </c>
      <c r="K428" s="4">
        <v>4.1941813131359735</v>
      </c>
      <c r="L428" s="4">
        <v>4.5572110750938064</v>
      </c>
      <c r="M428" s="4">
        <v>4.9455868042592677</v>
      </c>
      <c r="N428" s="4">
        <v>5.360605038075124</v>
      </c>
      <c r="O428" s="11">
        <f t="shared" si="6"/>
        <v>6.4294915850965625E-2</v>
      </c>
      <c r="P428"/>
      <c r="Q428" s="11"/>
    </row>
    <row r="429" spans="1:17" x14ac:dyDescent="0.35">
      <c r="A429" s="2" t="s">
        <v>84</v>
      </c>
      <c r="O429" s="11" t="str">
        <f t="shared" si="6"/>
        <v/>
      </c>
      <c r="P429"/>
      <c r="Q429" s="11"/>
    </row>
    <row r="430" spans="1:17" x14ac:dyDescent="0.35">
      <c r="A430" s="3" t="s">
        <v>85</v>
      </c>
      <c r="B430" s="4">
        <v>12.877971305567094</v>
      </c>
      <c r="C430" s="4">
        <v>13.63098411664817</v>
      </c>
      <c r="D430" s="4">
        <v>14.452123975067492</v>
      </c>
      <c r="E430" s="4">
        <v>15.328758443445945</v>
      </c>
      <c r="F430" s="4">
        <v>16.232990816331419</v>
      </c>
      <c r="G430" s="4">
        <v>17.18191848737338</v>
      </c>
      <c r="H430" s="4">
        <v>18.188000349263408</v>
      </c>
      <c r="I430" s="4">
        <v>19.279193504562251</v>
      </c>
      <c r="J430" s="4">
        <v>20.465177561114061</v>
      </c>
      <c r="K430" s="4">
        <v>21.748381300350072</v>
      </c>
      <c r="L430" s="4">
        <v>23.103472295940566</v>
      </c>
      <c r="M430" s="4">
        <v>24.506456130233488</v>
      </c>
      <c r="N430" s="4">
        <v>25.975044493027024</v>
      </c>
      <c r="O430" s="11">
        <f t="shared" si="6"/>
        <v>4.6990493605615635E-2</v>
      </c>
      <c r="P430"/>
      <c r="Q430" s="11"/>
    </row>
    <row r="431" spans="1:17" x14ac:dyDescent="0.35">
      <c r="A431" s="3" t="s">
        <v>86</v>
      </c>
      <c r="B431" s="4">
        <v>36.768272674380007</v>
      </c>
      <c r="C431" s="4">
        <v>39.086442765812151</v>
      </c>
      <c r="D431" s="4">
        <v>41.619864170688309</v>
      </c>
      <c r="E431" s="4">
        <v>44.334852833806728</v>
      </c>
      <c r="F431" s="4">
        <v>47.152973323629361</v>
      </c>
      <c r="G431" s="4">
        <v>50.125115249312316</v>
      </c>
      <c r="H431" s="4">
        <v>53.289506729566305</v>
      </c>
      <c r="I431" s="4">
        <v>56.730431297337404</v>
      </c>
      <c r="J431" s="4">
        <v>60.479827274513866</v>
      </c>
      <c r="K431" s="4">
        <v>64.54872773203013</v>
      </c>
      <c r="L431" s="4">
        <v>68.865930198806524</v>
      </c>
      <c r="M431" s="4">
        <v>73.36296325217927</v>
      </c>
      <c r="N431" s="4">
        <v>78.095003709704741</v>
      </c>
      <c r="O431" s="11">
        <f t="shared" si="6"/>
        <v>5.0500901705657929E-2</v>
      </c>
      <c r="P431"/>
      <c r="Q431" s="11"/>
    </row>
    <row r="432" spans="1:17" x14ac:dyDescent="0.35">
      <c r="A432" s="3" t="s">
        <v>87</v>
      </c>
      <c r="B432" s="4">
        <v>60.655036568034717</v>
      </c>
      <c r="C432" s="4">
        <v>66.435306475874313</v>
      </c>
      <c r="D432" s="4">
        <v>73.026875155343163</v>
      </c>
      <c r="E432" s="4">
        <v>80.287818774301655</v>
      </c>
      <c r="F432" s="4">
        <v>87.864283624904999</v>
      </c>
      <c r="G432" s="4">
        <v>95.832548931675348</v>
      </c>
      <c r="H432" s="4">
        <v>104.28523850895365</v>
      </c>
      <c r="I432" s="4">
        <v>113.60847944855283</v>
      </c>
      <c r="J432" s="4">
        <v>124.11096504513208</v>
      </c>
      <c r="K432" s="4">
        <v>135.93686161917674</v>
      </c>
      <c r="L432" s="4">
        <v>148.89269962303496</v>
      </c>
      <c r="M432" s="4">
        <v>162.73078435725148</v>
      </c>
      <c r="N432" s="4">
        <v>177.73706762597448</v>
      </c>
      <c r="O432" s="11">
        <f t="shared" si="6"/>
        <v>7.1043769141874324E-2</v>
      </c>
      <c r="P432"/>
      <c r="Q432" s="11"/>
    </row>
    <row r="433" spans="1:17" x14ac:dyDescent="0.35">
      <c r="A433" s="3" t="s">
        <v>88</v>
      </c>
      <c r="B433" s="4">
        <v>42.159996656952622</v>
      </c>
      <c r="C433" s="4">
        <v>45.341592723110118</v>
      </c>
      <c r="D433" s="4">
        <v>48.838856647732044</v>
      </c>
      <c r="E433" s="4">
        <v>52.687267791663125</v>
      </c>
      <c r="F433" s="4">
        <v>56.944301117607047</v>
      </c>
      <c r="G433" s="4">
        <v>61.697146294857042</v>
      </c>
      <c r="H433" s="4">
        <v>66.990646791784826</v>
      </c>
      <c r="I433" s="4">
        <v>72.872301087732012</v>
      </c>
      <c r="J433" s="4">
        <v>79.294644467693729</v>
      </c>
      <c r="K433" s="4">
        <v>86.230135346240061</v>
      </c>
      <c r="L433" s="4">
        <v>93.599777334336579</v>
      </c>
      <c r="M433" s="4">
        <v>101.3808648818281</v>
      </c>
      <c r="N433" s="4">
        <v>109.64983368003305</v>
      </c>
      <c r="O433" s="11">
        <f t="shared" si="6"/>
        <v>6.5980379598286967E-2</v>
      </c>
      <c r="P433"/>
      <c r="Q433" s="11"/>
    </row>
    <row r="434" spans="1:17" x14ac:dyDescent="0.35">
      <c r="A434" s="3" t="s">
        <v>89</v>
      </c>
      <c r="B434" s="4">
        <v>12.611769044015928</v>
      </c>
      <c r="C434" s="4">
        <v>13.515037518966384</v>
      </c>
      <c r="D434" s="4">
        <v>14.497157665155973</v>
      </c>
      <c r="E434" s="4">
        <v>15.571184841222898</v>
      </c>
      <c r="F434" s="4">
        <v>16.748323858119718</v>
      </c>
      <c r="G434" s="4">
        <v>18.041168931743378</v>
      </c>
      <c r="H434" s="4">
        <v>19.461303260251633</v>
      </c>
      <c r="I434" s="4">
        <v>21.006801905113999</v>
      </c>
      <c r="J434" s="4">
        <v>22.67468456337194</v>
      </c>
      <c r="K434" s="4">
        <v>24.464572988829321</v>
      </c>
      <c r="L434" s="4">
        <v>26.375480520843457</v>
      </c>
      <c r="M434" s="4">
        <v>28.421517735660171</v>
      </c>
      <c r="N434" s="4">
        <v>30.598704606506359</v>
      </c>
      <c r="O434" s="11">
        <f t="shared" si="6"/>
        <v>6.0457216824527475E-2</v>
      </c>
      <c r="P434"/>
      <c r="Q434" s="11"/>
    </row>
    <row r="435" spans="1:17" x14ac:dyDescent="0.35">
      <c r="A435" s="3" t="s">
        <v>90</v>
      </c>
      <c r="B435" s="4">
        <v>25.476336114159878</v>
      </c>
      <c r="C435" s="4">
        <v>27.208538573811147</v>
      </c>
      <c r="D435" s="4">
        <v>28.955746661807005</v>
      </c>
      <c r="E435" s="4">
        <v>30.764434122885028</v>
      </c>
      <c r="F435" s="4">
        <v>32.723648153556994</v>
      </c>
      <c r="G435" s="4">
        <v>34.919319746524906</v>
      </c>
      <c r="H435" s="4">
        <v>37.41400400305006</v>
      </c>
      <c r="I435" s="4">
        <v>40.168665921304836</v>
      </c>
      <c r="J435" s="4">
        <v>43.097628872673141</v>
      </c>
      <c r="K435" s="4">
        <v>46.196875042384015</v>
      </c>
      <c r="L435" s="4">
        <v>49.514671903520977</v>
      </c>
      <c r="M435" s="4">
        <v>53.106532210137352</v>
      </c>
      <c r="N435" s="4">
        <v>56.940210134841585</v>
      </c>
      <c r="O435" s="11">
        <f t="shared" si="6"/>
        <v>5.5831974940913486E-2</v>
      </c>
      <c r="P435"/>
      <c r="Q435" s="11"/>
    </row>
    <row r="436" spans="1:17" x14ac:dyDescent="0.35">
      <c r="A436" s="2" t="s">
        <v>91</v>
      </c>
      <c r="O436" s="11" t="str">
        <f t="shared" si="6"/>
        <v/>
      </c>
      <c r="P436"/>
      <c r="Q436" s="11"/>
    </row>
    <row r="437" spans="1:17" x14ac:dyDescent="0.35">
      <c r="A437" s="3" t="s">
        <v>92</v>
      </c>
      <c r="B437" s="4">
        <v>81.54573496676214</v>
      </c>
      <c r="C437" s="4">
        <v>88.466450721922826</v>
      </c>
      <c r="D437" s="4">
        <v>96.15145451835474</v>
      </c>
      <c r="E437" s="4">
        <v>104.471997440124</v>
      </c>
      <c r="F437" s="4">
        <v>113.3732691934258</v>
      </c>
      <c r="G437" s="4">
        <v>122.73062252797834</v>
      </c>
      <c r="H437" s="4">
        <v>132.90120270208755</v>
      </c>
      <c r="I437" s="4">
        <v>144.18041243384161</v>
      </c>
      <c r="J437" s="4">
        <v>156.89748028137001</v>
      </c>
      <c r="K437" s="4">
        <v>171.15461814720729</v>
      </c>
      <c r="L437" s="4">
        <v>186.7643412968884</v>
      </c>
      <c r="M437" s="4">
        <v>203.54869056122027</v>
      </c>
      <c r="N437" s="4">
        <v>221.5757315123725</v>
      </c>
      <c r="O437" s="11">
        <f t="shared" si="6"/>
        <v>6.7843712753228314E-2</v>
      </c>
      <c r="P437"/>
      <c r="Q437" s="11"/>
    </row>
    <row r="438" spans="1:17" x14ac:dyDescent="0.35">
      <c r="A438" s="3" t="s">
        <v>93</v>
      </c>
      <c r="B438" s="4">
        <v>109.00364739634811</v>
      </c>
      <c r="C438" s="4">
        <v>116.75145145229945</v>
      </c>
      <c r="D438" s="4">
        <v>125.23916975743924</v>
      </c>
      <c r="E438" s="4">
        <v>134.50231936720138</v>
      </c>
      <c r="F438" s="4">
        <v>144.29325170072372</v>
      </c>
      <c r="G438" s="4">
        <v>155.06659511350804</v>
      </c>
      <c r="H438" s="4">
        <v>166.72749694078234</v>
      </c>
      <c r="I438" s="4">
        <v>179.48546073076173</v>
      </c>
      <c r="J438" s="4">
        <v>193.22544750312881</v>
      </c>
      <c r="K438" s="4">
        <v>207.97093588180306</v>
      </c>
      <c r="L438" s="4">
        <v>223.58769057959466</v>
      </c>
      <c r="M438" s="4">
        <v>239.96042800606961</v>
      </c>
      <c r="N438" s="4">
        <v>257.42013273771477</v>
      </c>
      <c r="O438" s="11">
        <f t="shared" si="6"/>
        <v>5.79332113260956E-2</v>
      </c>
      <c r="P438"/>
      <c r="Q438" s="11"/>
    </row>
    <row r="439" spans="1:17" x14ac:dyDescent="0.35">
      <c r="A439" s="2" t="s">
        <v>94</v>
      </c>
      <c r="O439" s="11" t="str">
        <f t="shared" si="6"/>
        <v/>
      </c>
      <c r="P439"/>
      <c r="Q439" s="11"/>
    </row>
    <row r="440" spans="1:17" x14ac:dyDescent="0.35">
      <c r="A440" s="3" t="s">
        <v>48</v>
      </c>
      <c r="B440" s="4">
        <v>25.840816569352121</v>
      </c>
      <c r="C440" s="4">
        <v>27.961657379660455</v>
      </c>
      <c r="D440" s="4">
        <v>30.312485885805138</v>
      </c>
      <c r="E440" s="4">
        <v>32.850852114739766</v>
      </c>
      <c r="F440" s="4">
        <v>35.55797988339264</v>
      </c>
      <c r="G440" s="4">
        <v>38.393371628416645</v>
      </c>
      <c r="H440" s="4">
        <v>41.467655176469947</v>
      </c>
      <c r="I440" s="4">
        <v>44.871042030365174</v>
      </c>
      <c r="J440" s="4">
        <v>48.703326177729075</v>
      </c>
      <c r="K440" s="4">
        <v>52.992788307010429</v>
      </c>
      <c r="L440" s="4">
        <v>57.677701737494161</v>
      </c>
      <c r="M440" s="4">
        <v>62.699888938702443</v>
      </c>
      <c r="N440" s="4">
        <v>68.077528911273987</v>
      </c>
      <c r="O440" s="11">
        <f t="shared" si="6"/>
        <v>6.5708953542004983E-2</v>
      </c>
      <c r="P440"/>
      <c r="Q440" s="11"/>
    </row>
    <row r="441" spans="1:17" x14ac:dyDescent="0.35">
      <c r="A441" s="3" t="s">
        <v>95</v>
      </c>
      <c r="B441" s="4">
        <v>21.576067270208036</v>
      </c>
      <c r="C441" s="4">
        <v>23.634362682586627</v>
      </c>
      <c r="D441" s="4">
        <v>25.936282344790058</v>
      </c>
      <c r="E441" s="4">
        <v>28.45375700341123</v>
      </c>
      <c r="F441" s="4">
        <v>31.177649028192093</v>
      </c>
      <c r="G441" s="4">
        <v>34.079160166576479</v>
      </c>
      <c r="H441" s="4">
        <v>37.262056737300085</v>
      </c>
      <c r="I441" s="4">
        <v>40.816750902722752</v>
      </c>
      <c r="J441" s="4">
        <v>44.846608611257032</v>
      </c>
      <c r="K441" s="4">
        <v>49.393927091589411</v>
      </c>
      <c r="L441" s="4">
        <v>54.418795366583694</v>
      </c>
      <c r="M441" s="4">
        <v>59.882287546223957</v>
      </c>
      <c r="N441" s="4">
        <v>65.816131173547873</v>
      </c>
      <c r="O441" s="11">
        <f t="shared" si="6"/>
        <v>7.5871455398603835E-2</v>
      </c>
      <c r="P441"/>
      <c r="Q441" s="11"/>
    </row>
    <row r="442" spans="1:17" x14ac:dyDescent="0.35">
      <c r="A442" s="3" t="s">
        <v>96</v>
      </c>
      <c r="B442" s="4">
        <v>35.673034143289641</v>
      </c>
      <c r="C442" s="4">
        <v>39.308165035798083</v>
      </c>
      <c r="D442" s="4">
        <v>43.373911923227894</v>
      </c>
      <c r="E442" s="4">
        <v>47.814912381696047</v>
      </c>
      <c r="F442" s="4">
        <v>52.306303741512352</v>
      </c>
      <c r="G442" s="4">
        <v>57.195413861781788</v>
      </c>
      <c r="H442" s="4">
        <v>62.391442366121453</v>
      </c>
      <c r="I442" s="4">
        <v>68.169454587370012</v>
      </c>
      <c r="J442" s="4">
        <v>74.531853007309053</v>
      </c>
      <c r="K442" s="4">
        <v>81.555513526785035</v>
      </c>
      <c r="L442" s="4">
        <v>89.127556508943428</v>
      </c>
      <c r="M442" s="4">
        <v>97.052780200573579</v>
      </c>
      <c r="N442" s="4">
        <v>105.6811677879258</v>
      </c>
      <c r="O442" s="11">
        <f t="shared" si="6"/>
        <v>7.0597602055658015E-2</v>
      </c>
      <c r="P442"/>
      <c r="Q442" s="11"/>
    </row>
    <row r="443" spans="1:17" x14ac:dyDescent="0.35">
      <c r="A443" s="3" t="s">
        <v>97</v>
      </c>
      <c r="B443" s="4">
        <v>20.433606747494736</v>
      </c>
      <c r="C443" s="4">
        <v>21.846190701291416</v>
      </c>
      <c r="D443" s="4">
        <v>23.400119567988501</v>
      </c>
      <c r="E443" s="4">
        <v>25.056780018203717</v>
      </c>
      <c r="F443" s="4">
        <v>26.797318172991549</v>
      </c>
      <c r="G443" s="4">
        <v>28.587301137391904</v>
      </c>
      <c r="H443" s="4">
        <v>30.506378861397422</v>
      </c>
      <c r="I443" s="4">
        <v>32.615297849638971</v>
      </c>
      <c r="J443" s="4">
        <v>34.978724966945457</v>
      </c>
      <c r="K443" s="4">
        <v>37.606691499685851</v>
      </c>
      <c r="L443" s="4">
        <v>40.444633843259041</v>
      </c>
      <c r="M443" s="4">
        <v>43.442811808423158</v>
      </c>
      <c r="N443" s="4">
        <v>46.606537712285196</v>
      </c>
      <c r="O443" s="11">
        <f t="shared" si="6"/>
        <v>5.5810471456806218E-2</v>
      </c>
      <c r="P443"/>
      <c r="Q443" s="11"/>
    </row>
    <row r="444" spans="1:17" x14ac:dyDescent="0.35">
      <c r="A444" s="3" t="s">
        <v>98</v>
      </c>
      <c r="B444" s="4">
        <v>41.249752727064369</v>
      </c>
      <c r="C444" s="4">
        <v>44.2250345390093</v>
      </c>
      <c r="D444" s="4">
        <v>47.461249883176876</v>
      </c>
      <c r="E444" s="4">
        <v>51.001515600601735</v>
      </c>
      <c r="F444" s="4">
        <v>54.882968950453851</v>
      </c>
      <c r="G444" s="4">
        <v>59.147370416952391</v>
      </c>
      <c r="H444" s="4">
        <v>63.833244798080052</v>
      </c>
      <c r="I444" s="4">
        <v>68.934882840311474</v>
      </c>
      <c r="J444" s="4">
        <v>74.443101682905592</v>
      </c>
      <c r="K444" s="4">
        <v>80.357244538968104</v>
      </c>
      <c r="L444" s="4">
        <v>86.674655602850649</v>
      </c>
      <c r="M444" s="4">
        <v>93.442287014355117</v>
      </c>
      <c r="N444" s="4">
        <v>100.64770301209552</v>
      </c>
      <c r="O444" s="11">
        <f t="shared" si="6"/>
        <v>6.0845277442981301E-2</v>
      </c>
      <c r="P444"/>
      <c r="Q444" s="11"/>
    </row>
    <row r="445" spans="1:17" x14ac:dyDescent="0.35">
      <c r="A445" s="3" t="s">
        <v>99</v>
      </c>
      <c r="B445" s="4">
        <v>20.277541426864456</v>
      </c>
      <c r="C445" s="4">
        <v>21.258160940298151</v>
      </c>
      <c r="D445" s="4">
        <v>22.321633366056687</v>
      </c>
      <c r="E445" s="4">
        <v>23.475510369300675</v>
      </c>
      <c r="F445" s="4">
        <v>24.735986005838356</v>
      </c>
      <c r="G445" s="4">
        <v>26.130103261672808</v>
      </c>
      <c r="H445" s="4">
        <v>27.663763042675313</v>
      </c>
      <c r="I445" s="4">
        <v>29.342765773747914</v>
      </c>
      <c r="J445" s="4">
        <v>31.133453501277565</v>
      </c>
      <c r="K445" s="4">
        <v>33.012665085136128</v>
      </c>
      <c r="L445" s="4">
        <v>34.939280328536825</v>
      </c>
      <c r="M445" s="4">
        <v>36.896807623032707</v>
      </c>
      <c r="N445" s="4">
        <v>38.906151733067802</v>
      </c>
      <c r="O445" s="11">
        <f t="shared" si="6"/>
        <v>4.5222072187415786E-2</v>
      </c>
      <c r="P445"/>
      <c r="Q445" s="11"/>
    </row>
    <row r="446" spans="1:17" x14ac:dyDescent="0.35">
      <c r="A446" s="3" t="s">
        <v>100</v>
      </c>
      <c r="B446" s="4">
        <v>25.498563478836914</v>
      </c>
      <c r="C446" s="4">
        <v>26.984330895578239</v>
      </c>
      <c r="D446" s="4">
        <v>28.584941304748831</v>
      </c>
      <c r="E446" s="4">
        <v>30.320989319372199</v>
      </c>
      <c r="F446" s="4">
        <v>32.208315111768691</v>
      </c>
      <c r="G446" s="4">
        <v>34.264497168694348</v>
      </c>
      <c r="H446" s="4">
        <v>36.504158660825624</v>
      </c>
      <c r="I446" s="4">
        <v>38.915679180447036</v>
      </c>
      <c r="J446" s="4">
        <v>41.485859837074997</v>
      </c>
      <c r="K446" s="4">
        <v>44.206723979835367</v>
      </c>
      <c r="L446" s="4">
        <v>47.069408488815291</v>
      </c>
      <c r="M446" s="4">
        <v>50.092255435978942</v>
      </c>
      <c r="N446" s="4">
        <v>53.260643919891031</v>
      </c>
      <c r="O446" s="11">
        <f t="shared" si="6"/>
        <v>5.0230610309144511E-2</v>
      </c>
      <c r="P446"/>
      <c r="Q446" s="11"/>
    </row>
    <row r="447" spans="1:17" x14ac:dyDescent="0.35">
      <c r="A447" s="1" t="s">
        <v>101</v>
      </c>
      <c r="O447" s="11" t="str">
        <f t="shared" si="6"/>
        <v/>
      </c>
      <c r="P447"/>
      <c r="Q447" s="11"/>
    </row>
    <row r="448" spans="1:17" x14ac:dyDescent="0.35">
      <c r="A448" s="2" t="s">
        <v>54</v>
      </c>
      <c r="O448" s="11" t="str">
        <f t="shared" si="6"/>
        <v/>
      </c>
      <c r="P448"/>
      <c r="Q448" s="11"/>
    </row>
    <row r="449" spans="1:17" x14ac:dyDescent="0.35">
      <c r="A449" s="3" t="s">
        <v>55</v>
      </c>
      <c r="B449" s="4">
        <v>29.328513413667434</v>
      </c>
      <c r="C449" s="4">
        <v>32.553095654261128</v>
      </c>
      <c r="D449" s="4">
        <v>36.138178963939865</v>
      </c>
      <c r="E449" s="4">
        <v>40.216920638965547</v>
      </c>
      <c r="F449" s="4">
        <v>44.835817810960918</v>
      </c>
      <c r="G449" s="4">
        <v>50.041309092866385</v>
      </c>
      <c r="H449" s="4">
        <v>55.861244750890272</v>
      </c>
      <c r="I449" s="4">
        <v>62.311500679914758</v>
      </c>
      <c r="J449" s="4">
        <v>69.445831843124481</v>
      </c>
      <c r="K449" s="4">
        <v>77.488468082190565</v>
      </c>
      <c r="L449" s="4">
        <v>86.571873444805476</v>
      </c>
      <c r="M449" s="4">
        <v>96.7298969473608</v>
      </c>
      <c r="N449" s="4">
        <v>108.00048606928658</v>
      </c>
      <c r="O449" s="11">
        <f t="shared" si="6"/>
        <v>8.9235768127963105E-2</v>
      </c>
      <c r="P449"/>
      <c r="Q449" s="11"/>
    </row>
    <row r="450" spans="1:17" x14ac:dyDescent="0.35">
      <c r="A450" s="3" t="s">
        <v>56</v>
      </c>
      <c r="B450" s="4">
        <v>69.445443292893799</v>
      </c>
      <c r="C450" s="4">
        <v>75.404407582418628</v>
      </c>
      <c r="D450" s="4">
        <v>81.589882380066953</v>
      </c>
      <c r="E450" s="4">
        <v>88.1398445481057</v>
      </c>
      <c r="F450" s="4">
        <v>95.323209295572383</v>
      </c>
      <c r="G450" s="4">
        <v>103.41735493033984</v>
      </c>
      <c r="H450" s="4">
        <v>112.64803875410976</v>
      </c>
      <c r="I450" s="4">
        <v>122.9487714129536</v>
      </c>
      <c r="J450" s="4">
        <v>134.10414171091634</v>
      </c>
      <c r="K450" s="4">
        <v>146.13696659667215</v>
      </c>
      <c r="L450" s="4">
        <v>159.23579126485433</v>
      </c>
      <c r="M450" s="4">
        <v>173.62379271002899</v>
      </c>
      <c r="N450" s="4">
        <v>189.25057480745627</v>
      </c>
      <c r="O450" s="11">
        <f t="shared" si="6"/>
        <v>6.9449840806204158E-2</v>
      </c>
      <c r="P450"/>
      <c r="Q450" s="11"/>
    </row>
    <row r="451" spans="1:17" x14ac:dyDescent="0.35">
      <c r="A451" s="3" t="s">
        <v>57</v>
      </c>
      <c r="B451" s="4">
        <v>178.77243485056786</v>
      </c>
      <c r="C451" s="4">
        <v>191.28827106825415</v>
      </c>
      <c r="D451" s="4">
        <v>204.99915322820351</v>
      </c>
      <c r="E451" s="4">
        <v>220.03444929066242</v>
      </c>
      <c r="F451" s="4">
        <v>236.6125511368358</v>
      </c>
      <c r="G451" s="4">
        <v>255.07066720433409</v>
      </c>
      <c r="H451" s="4">
        <v>275.56386353047293</v>
      </c>
      <c r="I451" s="4">
        <v>298.25467677141313</v>
      </c>
      <c r="J451" s="4">
        <v>322.91334265071026</v>
      </c>
      <c r="K451" s="4">
        <v>349.3954262404763</v>
      </c>
      <c r="L451" s="4">
        <v>377.35051140200301</v>
      </c>
      <c r="M451" s="4">
        <v>406.66179496891726</v>
      </c>
      <c r="N451" s="4">
        <v>437.61220461781585</v>
      </c>
      <c r="O451" s="11">
        <f t="shared" si="6"/>
        <v>6.1812066489145986E-2</v>
      </c>
      <c r="P451"/>
      <c r="Q451" s="11"/>
    </row>
    <row r="452" spans="1:17" x14ac:dyDescent="0.35">
      <c r="A452" s="2" t="s">
        <v>47</v>
      </c>
      <c r="O452" s="11" t="str">
        <f t="shared" si="6"/>
        <v/>
      </c>
      <c r="P452"/>
      <c r="Q452" s="11"/>
    </row>
    <row r="453" spans="1:17" x14ac:dyDescent="0.35">
      <c r="A453" s="3" t="s">
        <v>82</v>
      </c>
      <c r="B453" s="4">
        <v>98.773956706561236</v>
      </c>
      <c r="C453" s="4">
        <v>107.95750323667976</v>
      </c>
      <c r="D453" s="4">
        <v>117.72806134400682</v>
      </c>
      <c r="E453" s="4">
        <v>128.35676518707123</v>
      </c>
      <c r="F453" s="4">
        <v>140.1590271065333</v>
      </c>
      <c r="G453" s="4">
        <v>153.45866402320621</v>
      </c>
      <c r="H453" s="4">
        <v>168.50928350500004</v>
      </c>
      <c r="I453" s="4">
        <v>185.26027209286838</v>
      </c>
      <c r="J453" s="4">
        <v>203.54997355404083</v>
      </c>
      <c r="K453" s="4">
        <v>223.62543467886272</v>
      </c>
      <c r="L453" s="4">
        <v>245.8076647096598</v>
      </c>
      <c r="M453" s="4">
        <v>270.35368965738979</v>
      </c>
      <c r="N453" s="4">
        <v>297.25106087674283</v>
      </c>
      <c r="O453" s="11">
        <f t="shared" si="6"/>
        <v>7.6226187955525077E-2</v>
      </c>
      <c r="P453"/>
      <c r="Q453" s="11"/>
    </row>
    <row r="454" spans="1:17" x14ac:dyDescent="0.35">
      <c r="A454" s="3" t="s">
        <v>83</v>
      </c>
      <c r="B454" s="4">
        <v>178.77243485056786</v>
      </c>
      <c r="C454" s="4">
        <v>191.28827106825415</v>
      </c>
      <c r="D454" s="4">
        <v>204.99915322820351</v>
      </c>
      <c r="E454" s="4">
        <v>220.03444929066242</v>
      </c>
      <c r="F454" s="4">
        <v>236.6125511368358</v>
      </c>
      <c r="G454" s="4">
        <v>255.07066720433409</v>
      </c>
      <c r="H454" s="4">
        <v>275.56386353047293</v>
      </c>
      <c r="I454" s="4">
        <v>298.25467677141313</v>
      </c>
      <c r="J454" s="4">
        <v>322.91334265071026</v>
      </c>
      <c r="K454" s="4">
        <v>349.3954262404763</v>
      </c>
      <c r="L454" s="4">
        <v>377.35051140200301</v>
      </c>
      <c r="M454" s="4">
        <v>406.66179496891726</v>
      </c>
      <c r="N454" s="4">
        <v>437.61220461781585</v>
      </c>
      <c r="O454" s="11">
        <f t="shared" si="6"/>
        <v>6.1812066489145986E-2</v>
      </c>
      <c r="P454"/>
      <c r="Q454" s="11"/>
    </row>
    <row r="455" spans="1:17" x14ac:dyDescent="0.35">
      <c r="A455" s="2" t="s">
        <v>59</v>
      </c>
      <c r="O455" s="11" t="str">
        <f t="shared" si="6"/>
        <v/>
      </c>
      <c r="P455"/>
      <c r="Q455" s="11"/>
    </row>
    <row r="456" spans="1:17" x14ac:dyDescent="0.35">
      <c r="A456" s="3" t="s">
        <v>60</v>
      </c>
      <c r="O456" s="11" t="str">
        <f t="shared" si="6"/>
        <v/>
      </c>
      <c r="P456"/>
      <c r="Q456" s="11"/>
    </row>
    <row r="457" spans="1:17" x14ac:dyDescent="0.35">
      <c r="A457" s="34" t="s">
        <v>61</v>
      </c>
      <c r="B457" s="4">
        <v>56.390649549247257</v>
      </c>
      <c r="C457" s="4">
        <v>60.868203422059793</v>
      </c>
      <c r="D457" s="4">
        <v>65.672106714274378</v>
      </c>
      <c r="E457" s="4">
        <v>70.949589026620515</v>
      </c>
      <c r="F457" s="4">
        <v>76.955594856208165</v>
      </c>
      <c r="G457" s="4">
        <v>83.846640843659486</v>
      </c>
      <c r="H457" s="4">
        <v>91.678104782096511</v>
      </c>
      <c r="I457" s="4">
        <v>100.35677646039744</v>
      </c>
      <c r="J457" s="4">
        <v>109.65571572127499</v>
      </c>
      <c r="K457" s="4">
        <v>119.55251216084991</v>
      </c>
      <c r="L457" s="4">
        <v>130.04853687827409</v>
      </c>
      <c r="M457" s="4">
        <v>141.24133969242814</v>
      </c>
      <c r="N457" s="4">
        <v>153.15754741880073</v>
      </c>
      <c r="O457" s="11">
        <f t="shared" si="6"/>
        <v>6.9233423687039483E-2</v>
      </c>
      <c r="P457"/>
      <c r="Q457" s="11"/>
    </row>
    <row r="458" spans="1:17" x14ac:dyDescent="0.35">
      <c r="A458" s="43" t="s">
        <v>62</v>
      </c>
      <c r="B458" s="4">
        <v>11.328845664153922</v>
      </c>
      <c r="C458" s="4">
        <v>12.609625736532175</v>
      </c>
      <c r="D458" s="4">
        <v>14.050966141140181</v>
      </c>
      <c r="E458" s="4">
        <v>15.646520408584292</v>
      </c>
      <c r="F458" s="4">
        <v>17.391964437503045</v>
      </c>
      <c r="G458" s="4">
        <v>19.323425096242762</v>
      </c>
      <c r="H458" s="4">
        <v>21.479045392113225</v>
      </c>
      <c r="I458" s="4">
        <v>23.939572556457755</v>
      </c>
      <c r="J458" s="4">
        <v>26.759768461832078</v>
      </c>
      <c r="K458" s="4">
        <v>29.932266731369943</v>
      </c>
      <c r="L458" s="4">
        <v>33.503329012434477</v>
      </c>
      <c r="M458" s="4">
        <v>37.466932738498855</v>
      </c>
      <c r="N458" s="4">
        <v>41.843249303642672</v>
      </c>
      <c r="O458" s="11">
        <f t="shared" si="6"/>
        <v>8.9638315098298782E-2</v>
      </c>
      <c r="P458"/>
      <c r="Q458" s="11"/>
    </row>
    <row r="459" spans="1:17" x14ac:dyDescent="0.35">
      <c r="A459" s="43" t="s">
        <v>63</v>
      </c>
      <c r="B459" s="4">
        <v>18.062428912806645</v>
      </c>
      <c r="C459" s="4">
        <v>19.639966561953777</v>
      </c>
      <c r="D459" s="4">
        <v>21.281099770690254</v>
      </c>
      <c r="E459" s="4">
        <v>23.022091960011526</v>
      </c>
      <c r="F459" s="4">
        <v>24.933612733411451</v>
      </c>
      <c r="G459" s="4">
        <v>27.08894551900816</v>
      </c>
      <c r="H459" s="4">
        <v>29.548265263573636</v>
      </c>
      <c r="I459" s="4">
        <v>32.295425298694852</v>
      </c>
      <c r="J459" s="4">
        <v>35.275068194823263</v>
      </c>
      <c r="K459" s="4">
        <v>38.494189193444178</v>
      </c>
      <c r="L459" s="4">
        <v>42.003477532270644</v>
      </c>
      <c r="M459" s="4">
        <v>45.86304251489026</v>
      </c>
      <c r="N459" s="4">
        <v>50.061065990602224</v>
      </c>
      <c r="O459" s="11">
        <f t="shared" si="6"/>
        <v>7.0617212888767295E-2</v>
      </c>
      <c r="P459"/>
      <c r="Q459" s="11"/>
    </row>
    <row r="460" spans="1:17" x14ac:dyDescent="0.35">
      <c r="A460" s="43" t="s">
        <v>64</v>
      </c>
      <c r="B460" s="4">
        <v>26.999374972286688</v>
      </c>
      <c r="C460" s="4">
        <v>28.618611123573842</v>
      </c>
      <c r="D460" s="4">
        <v>30.340040802443944</v>
      </c>
      <c r="E460" s="4">
        <v>32.280976658024699</v>
      </c>
      <c r="F460" s="4">
        <v>34.630017685293666</v>
      </c>
      <c r="G460" s="4">
        <v>37.434270228408565</v>
      </c>
      <c r="H460" s="4">
        <v>40.65079412640965</v>
      </c>
      <c r="I460" s="4">
        <v>44.121778605244835</v>
      </c>
      <c r="J460" s="4">
        <v>47.620879064619643</v>
      </c>
      <c r="K460" s="4">
        <v>51.126056236035794</v>
      </c>
      <c r="L460" s="4">
        <v>54.541730333568978</v>
      </c>
      <c r="M460" s="4">
        <v>57.911364439039033</v>
      </c>
      <c r="N460" s="4">
        <v>61.253232124555836</v>
      </c>
      <c r="O460" s="11">
        <f t="shared" si="6"/>
        <v>5.6238958625617418E-2</v>
      </c>
      <c r="P460"/>
      <c r="Q460" s="11"/>
    </row>
    <row r="461" spans="1:17" x14ac:dyDescent="0.35">
      <c r="A461" s="34" t="s">
        <v>65</v>
      </c>
      <c r="B461" s="4">
        <v>50.498381548346316</v>
      </c>
      <c r="C461" s="4">
        <v>54.212037270747132</v>
      </c>
      <c r="D461" s="4">
        <v>58.28914897924988</v>
      </c>
      <c r="E461" s="4">
        <v>62.770035633573748</v>
      </c>
      <c r="F461" s="4">
        <v>67.720923473463159</v>
      </c>
      <c r="G461" s="4">
        <v>73.242893934545791</v>
      </c>
      <c r="H461" s="4">
        <v>79.386026471553507</v>
      </c>
      <c r="I461" s="4">
        <v>86.203176641518795</v>
      </c>
      <c r="J461" s="4">
        <v>93.634473252964682</v>
      </c>
      <c r="K461" s="4">
        <v>101.64397489015097</v>
      </c>
      <c r="L461" s="4">
        <v>110.13532209993792</v>
      </c>
      <c r="M461" s="4">
        <v>119.07905483499329</v>
      </c>
      <c r="N461" s="4">
        <v>128.5623551435099</v>
      </c>
      <c r="O461" s="11">
        <f t="shared" si="6"/>
        <v>6.4510167260374646E-2</v>
      </c>
      <c r="P461"/>
      <c r="Q461" s="11"/>
    </row>
    <row r="462" spans="1:17" x14ac:dyDescent="0.35">
      <c r="A462" s="34" t="s">
        <v>66</v>
      </c>
      <c r="B462" s="4">
        <v>31.792653930057501</v>
      </c>
      <c r="C462" s="4">
        <v>34.1023730861967</v>
      </c>
      <c r="D462" s="4">
        <v>36.451081565068009</v>
      </c>
      <c r="E462" s="4">
        <v>38.897703930848202</v>
      </c>
      <c r="F462" s="4">
        <v>41.556021222352399</v>
      </c>
      <c r="G462" s="4">
        <v>44.537842436631571</v>
      </c>
      <c r="H462" s="4">
        <v>47.927093484993648</v>
      </c>
      <c r="I462" s="4">
        <v>51.67898686311181</v>
      </c>
      <c r="J462" s="4">
        <v>55.687904970560467</v>
      </c>
      <c r="K462" s="4">
        <v>59.95187636904911</v>
      </c>
      <c r="L462" s="4">
        <v>64.536725977799847</v>
      </c>
      <c r="M462" s="4">
        <v>69.518844316791004</v>
      </c>
      <c r="N462" s="4">
        <v>74.861040723635512</v>
      </c>
      <c r="O462" s="11">
        <f t="shared" si="6"/>
        <v>5.9396467953633951E-2</v>
      </c>
      <c r="P462"/>
      <c r="Q462" s="11"/>
    </row>
    <row r="463" spans="1:17" x14ac:dyDescent="0.35">
      <c r="A463" s="34" t="s">
        <v>67</v>
      </c>
      <c r="B463" s="4">
        <v>20.568578521328806</v>
      </c>
      <c r="C463" s="4">
        <v>21.866888759142491</v>
      </c>
      <c r="D463" s="4">
        <v>23.251158521314924</v>
      </c>
      <c r="E463" s="4">
        <v>24.786646690351962</v>
      </c>
      <c r="F463" s="4">
        <v>26.472724630535598</v>
      </c>
      <c r="G463" s="4">
        <v>28.306628470632862</v>
      </c>
      <c r="H463" s="4">
        <v>30.273278707737916</v>
      </c>
      <c r="I463" s="4">
        <v>32.35133616820864</v>
      </c>
      <c r="J463" s="4">
        <v>34.540507586578372</v>
      </c>
      <c r="K463" s="4">
        <v>36.923308347807627</v>
      </c>
      <c r="L463" s="4">
        <v>39.522587975700993</v>
      </c>
      <c r="M463" s="4">
        <v>42.309339267100199</v>
      </c>
      <c r="N463" s="4">
        <v>45.257882604473636</v>
      </c>
      <c r="O463" s="11">
        <f t="shared" si="6"/>
        <v>5.3525666969476776E-2</v>
      </c>
      <c r="P463"/>
      <c r="Q463" s="11"/>
    </row>
    <row r="464" spans="1:17" x14ac:dyDescent="0.35">
      <c r="A464" s="34" t="s">
        <v>68</v>
      </c>
      <c r="B464" s="4">
        <v>33.588718841143596</v>
      </c>
      <c r="C464" s="4">
        <v>36.523338131450636</v>
      </c>
      <c r="D464" s="4">
        <v>39.775224973863622</v>
      </c>
      <c r="E464" s="4">
        <v>43.382938401478377</v>
      </c>
      <c r="F464" s="4">
        <v>47.404646431424212</v>
      </c>
      <c r="G464" s="4">
        <v>51.925589350146844</v>
      </c>
      <c r="H464" s="4">
        <v>56.998850659317277</v>
      </c>
      <c r="I464" s="4">
        <v>62.681780121181838</v>
      </c>
      <c r="J464" s="4">
        <v>68.952205939363139</v>
      </c>
      <c r="K464" s="4">
        <v>75.803931063283642</v>
      </c>
      <c r="L464" s="4">
        <v>83.184898727674522</v>
      </c>
      <c r="M464" s="4">
        <v>91.090447166942582</v>
      </c>
      <c r="N464" s="4">
        <v>99.604470240622604</v>
      </c>
      <c r="O464" s="11">
        <f t="shared" si="6"/>
        <v>7.5060843326679116E-2</v>
      </c>
      <c r="P464"/>
      <c r="Q464" s="11"/>
    </row>
    <row r="465" spans="1:17" x14ac:dyDescent="0.35">
      <c r="A465" s="34" t="s">
        <v>69</v>
      </c>
      <c r="B465" s="4">
        <v>37.547172515772147</v>
      </c>
      <c r="C465" s="4">
        <v>39.822984982460866</v>
      </c>
      <c r="D465" s="4">
        <v>42.307136284930529</v>
      </c>
      <c r="E465" s="4">
        <v>44.963896600797391</v>
      </c>
      <c r="F465" s="4">
        <v>47.712468810849046</v>
      </c>
      <c r="G465" s="4">
        <v>50.603648119034965</v>
      </c>
      <c r="H465" s="4">
        <v>53.674977645749976</v>
      </c>
      <c r="I465" s="4">
        <v>57.010038726677919</v>
      </c>
      <c r="J465" s="4">
        <v>60.639036578702154</v>
      </c>
      <c r="K465" s="4">
        <v>64.57093005170735</v>
      </c>
      <c r="L465" s="4">
        <v>68.732321182063913</v>
      </c>
      <c r="M465" s="4">
        <v>73.053195859789625</v>
      </c>
      <c r="N465" s="4">
        <v>77.587296486514447</v>
      </c>
      <c r="O465" s="11">
        <f t="shared" si="6"/>
        <v>4.8632223670415572E-2</v>
      </c>
      <c r="P465"/>
      <c r="Q465" s="11"/>
    </row>
    <row r="466" spans="1:17" x14ac:dyDescent="0.35">
      <c r="A466" s="3" t="s">
        <v>70</v>
      </c>
      <c r="O466" s="11" t="str">
        <f t="shared" si="6"/>
        <v/>
      </c>
      <c r="P466"/>
      <c r="Q466" s="11"/>
    </row>
    <row r="467" spans="1:17" x14ac:dyDescent="0.35">
      <c r="A467" s="34" t="s">
        <v>71</v>
      </c>
      <c r="B467" s="4">
        <v>7.3530649137751505</v>
      </c>
      <c r="C467" s="4">
        <v>8.1715147932340404</v>
      </c>
      <c r="D467" s="4">
        <v>9.0946833188737859</v>
      </c>
      <c r="E467" s="4">
        <v>10.137303669978417</v>
      </c>
      <c r="F467" s="4">
        <v>11.319725296743783</v>
      </c>
      <c r="G467" s="4">
        <v>12.670251277458094</v>
      </c>
      <c r="H467" s="4">
        <v>14.211468800334556</v>
      </c>
      <c r="I467" s="4">
        <v>15.968583952576283</v>
      </c>
      <c r="J467" s="4">
        <v>17.948272814841953</v>
      </c>
      <c r="K467" s="4">
        <v>20.161426063698535</v>
      </c>
      <c r="L467" s="4">
        <v>22.607154435260941</v>
      </c>
      <c r="M467" s="4">
        <v>25.296817510767088</v>
      </c>
      <c r="N467" s="4">
        <v>28.266813383524244</v>
      </c>
      <c r="O467" s="11">
        <f t="shared" si="6"/>
        <v>9.3254545033829087E-2</v>
      </c>
      <c r="P467"/>
      <c r="Q467" s="11"/>
    </row>
    <row r="468" spans="1:17" x14ac:dyDescent="0.35">
      <c r="A468" s="34" t="s">
        <v>72</v>
      </c>
      <c r="B468" s="4">
        <v>5.7796851333587638</v>
      </c>
      <c r="C468" s="4">
        <v>6.5148166611175737</v>
      </c>
      <c r="D468" s="4">
        <v>7.3446456199168502</v>
      </c>
      <c r="E468" s="4">
        <v>8.3002609664652773</v>
      </c>
      <c r="F468" s="4">
        <v>9.3966831613896264</v>
      </c>
      <c r="G468" s="4">
        <v>10.649697846936087</v>
      </c>
      <c r="H468" s="4">
        <v>12.071942995116107</v>
      </c>
      <c r="I468" s="4">
        <v>13.674065553818805</v>
      </c>
      <c r="J468" s="4">
        <v>15.475485874544272</v>
      </c>
      <c r="K468" s="4">
        <v>17.534606922822128</v>
      </c>
      <c r="L468" s="4">
        <v>19.892450119243207</v>
      </c>
      <c r="M468" s="4">
        <v>22.56960809144379</v>
      </c>
      <c r="N468" s="4">
        <v>25.588550367652815</v>
      </c>
      <c r="O468" s="11">
        <f t="shared" si="6"/>
        <v>0.10230285688578694</v>
      </c>
      <c r="P468"/>
      <c r="Q468" s="11"/>
    </row>
    <row r="469" spans="1:17" x14ac:dyDescent="0.35">
      <c r="A469" s="34" t="s">
        <v>73</v>
      </c>
      <c r="B469" s="4">
        <v>5.0477232571547423</v>
      </c>
      <c r="C469" s="4">
        <v>5.5098777588950565</v>
      </c>
      <c r="D469" s="4">
        <v>6.0212330970246049</v>
      </c>
      <c r="E469" s="4">
        <v>6.5755298756806333</v>
      </c>
      <c r="F469" s="4">
        <v>7.1677025045018548</v>
      </c>
      <c r="G469" s="4">
        <v>7.8096205846449003</v>
      </c>
      <c r="H469" s="4">
        <v>8.5129317457438081</v>
      </c>
      <c r="I469" s="4">
        <v>9.3051198097338403</v>
      </c>
      <c r="J469" s="4">
        <v>10.20126817401713</v>
      </c>
      <c r="K469" s="4">
        <v>11.191372868322189</v>
      </c>
      <c r="L469" s="4">
        <v>12.28596770389211</v>
      </c>
      <c r="M469" s="4">
        <v>13.475335631281366</v>
      </c>
      <c r="N469" s="4">
        <v>14.759629720554086</v>
      </c>
      <c r="O469" s="11">
        <f t="shared" si="6"/>
        <v>7.328774294417785E-2</v>
      </c>
      <c r="P469"/>
      <c r="Q469" s="11"/>
    </row>
    <row r="470" spans="1:17" x14ac:dyDescent="0.35">
      <c r="A470" s="34" t="s">
        <v>74</v>
      </c>
      <c r="B470" s="4">
        <v>6.2719308483052183</v>
      </c>
      <c r="C470" s="4">
        <v>6.8948530225103104</v>
      </c>
      <c r="D470" s="4">
        <v>7.5536001857715069</v>
      </c>
      <c r="E470" s="4">
        <v>8.2620545394733949</v>
      </c>
      <c r="F470" s="4">
        <v>9.0470391367797784</v>
      </c>
      <c r="G470" s="4">
        <v>9.9374834250325108</v>
      </c>
      <c r="H470" s="4">
        <v>10.958736881392035</v>
      </c>
      <c r="I470" s="4">
        <v>12.10888844879528</v>
      </c>
      <c r="J470" s="4">
        <v>13.371155898042661</v>
      </c>
      <c r="K470" s="4">
        <v>14.751576098147424</v>
      </c>
      <c r="L470" s="4">
        <v>16.27312861478638</v>
      </c>
      <c r="M470" s="4">
        <v>17.963382223425945</v>
      </c>
      <c r="N470" s="4">
        <v>19.822859626163314</v>
      </c>
      <c r="O470" s="11">
        <f t="shared" ref="O470:O533" si="7">IFERROR(RATE(2035-2026,,-G470,N470),"")</f>
        <v>7.9744744093952283E-2</v>
      </c>
      <c r="P470"/>
      <c r="Q470" s="11"/>
    </row>
    <row r="471" spans="1:17" x14ac:dyDescent="0.35">
      <c r="A471" s="34" t="s">
        <v>75</v>
      </c>
      <c r="B471" s="4">
        <v>4.544903506093342</v>
      </c>
      <c r="C471" s="4">
        <v>5.0372895723260598</v>
      </c>
      <c r="D471" s="4">
        <v>5.563993084807386</v>
      </c>
      <c r="E471" s="4">
        <v>6.1360234011183339</v>
      </c>
      <c r="F471" s="4">
        <v>6.7743529768157771</v>
      </c>
      <c r="G471" s="4">
        <v>7.5022088327915748</v>
      </c>
      <c r="H471" s="4">
        <v>8.3408570462340155</v>
      </c>
      <c r="I471" s="4">
        <v>9.2914808433535754</v>
      </c>
      <c r="J471" s="4">
        <v>10.343853227689126</v>
      </c>
      <c r="K471" s="4">
        <v>11.50503022651918</v>
      </c>
      <c r="L471" s="4">
        <v>12.795481654828889</v>
      </c>
      <c r="M471" s="4">
        <v>14.239922585568094</v>
      </c>
      <c r="N471" s="4">
        <v>15.842396711802486</v>
      </c>
      <c r="O471" s="11">
        <f t="shared" si="7"/>
        <v>8.660123125852795E-2</v>
      </c>
      <c r="P471"/>
      <c r="Q471" s="11"/>
    </row>
    <row r="472" spans="1:17" x14ac:dyDescent="0.35">
      <c r="A472" s="3" t="s">
        <v>76</v>
      </c>
      <c r="O472" s="11" t="str">
        <f t="shared" si="7"/>
        <v/>
      </c>
      <c r="P472"/>
      <c r="Q472" s="11"/>
    </row>
    <row r="473" spans="1:17" x14ac:dyDescent="0.35">
      <c r="A473" s="34" t="s">
        <v>77</v>
      </c>
      <c r="B473" s="4">
        <v>5.0816692786650517</v>
      </c>
      <c r="C473" s="4">
        <v>5.5251322462800037</v>
      </c>
      <c r="D473" s="4">
        <v>6.0165035319999491</v>
      </c>
      <c r="E473" s="4">
        <v>6.5616018641184892</v>
      </c>
      <c r="F473" s="4">
        <v>7.1692095908148286</v>
      </c>
      <c r="G473" s="4">
        <v>7.8521999995388914</v>
      </c>
      <c r="H473" s="4">
        <v>8.6185787811525216</v>
      </c>
      <c r="I473" s="4">
        <v>9.4769936858339321</v>
      </c>
      <c r="J473" s="4">
        <v>10.424066156943825</v>
      </c>
      <c r="K473" s="4">
        <v>11.458833849448288</v>
      </c>
      <c r="L473" s="4">
        <v>12.573402349110975</v>
      </c>
      <c r="M473" s="4">
        <v>13.767043849218839</v>
      </c>
      <c r="N473" s="4">
        <v>15.052414679852362</v>
      </c>
      <c r="O473" s="11">
        <f t="shared" si="7"/>
        <v>7.4983125105422599E-2</v>
      </c>
      <c r="P473"/>
      <c r="Q473" s="11"/>
    </row>
    <row r="474" spans="1:17" x14ac:dyDescent="0.35">
      <c r="A474" s="34" t="s">
        <v>78</v>
      </c>
      <c r="B474" s="4">
        <v>5.0927292760663816</v>
      </c>
      <c r="C474" s="4">
        <v>5.4898871950533854</v>
      </c>
      <c r="D474" s="4">
        <v>5.8972813375336841</v>
      </c>
      <c r="E474" s="4">
        <v>6.3245778595287216</v>
      </c>
      <c r="F474" s="4">
        <v>6.7905541546802421</v>
      </c>
      <c r="G474" s="4">
        <v>7.3140384597498578</v>
      </c>
      <c r="H474" s="4">
        <v>7.909650241928424</v>
      </c>
      <c r="I474" s="4">
        <v>8.5710486176116163</v>
      </c>
      <c r="J474" s="4">
        <v>9.2816681313392273</v>
      </c>
      <c r="K474" s="4">
        <v>10.041882185494556</v>
      </c>
      <c r="L474" s="4">
        <v>10.863421799272187</v>
      </c>
      <c r="M474" s="4">
        <v>11.760023542087705</v>
      </c>
      <c r="N474" s="4">
        <v>12.726475436194967</v>
      </c>
      <c r="O474" s="11">
        <f t="shared" si="7"/>
        <v>6.3476452544618464E-2</v>
      </c>
      <c r="P474"/>
      <c r="Q474" s="11"/>
    </row>
    <row r="475" spans="1:17" x14ac:dyDescent="0.35">
      <c r="A475" s="34" t="s">
        <v>79</v>
      </c>
      <c r="B475" s="4">
        <v>2.9665734196097993</v>
      </c>
      <c r="C475" s="4">
        <v>3.3057656937297235</v>
      </c>
      <c r="D475" s="4">
        <v>3.6712541117050748</v>
      </c>
      <c r="E475" s="4">
        <v>4.0707207558650129</v>
      </c>
      <c r="F475" s="4">
        <v>4.5186215378727255</v>
      </c>
      <c r="G475" s="4">
        <v>5.0312268867171888</v>
      </c>
      <c r="H475" s="4">
        <v>5.6238391996765547</v>
      </c>
      <c r="I475" s="4">
        <v>6.2985421919572264</v>
      </c>
      <c r="J475" s="4">
        <v>7.0497193925308546</v>
      </c>
      <c r="K475" s="4">
        <v>7.8834028751894687</v>
      </c>
      <c r="L475" s="4">
        <v>8.8149381271114375</v>
      </c>
      <c r="M475" s="4">
        <v>9.8629178803578661</v>
      </c>
      <c r="N475" s="4">
        <v>11.032008072731871</v>
      </c>
      <c r="O475" s="11">
        <f t="shared" si="7"/>
        <v>9.1155738316594292E-2</v>
      </c>
      <c r="P475"/>
      <c r="Q475" s="11"/>
    </row>
    <row r="476" spans="1:17" x14ac:dyDescent="0.35">
      <c r="A476" s="34" t="s">
        <v>80</v>
      </c>
      <c r="B476" s="4">
        <v>2.2788995405425156</v>
      </c>
      <c r="C476" s="4">
        <v>2.4395711826377746</v>
      </c>
      <c r="D476" s="4">
        <v>2.6164499682296976</v>
      </c>
      <c r="E476" s="4">
        <v>2.8052810317542711</v>
      </c>
      <c r="F476" s="4">
        <v>3.0039997933343821</v>
      </c>
      <c r="G476" s="4">
        <v>3.2087846054476192</v>
      </c>
      <c r="H476" s="4">
        <v>3.4285993393791965</v>
      </c>
      <c r="I476" s="4">
        <v>3.6703294710258212</v>
      </c>
      <c r="J476" s="4">
        <v>3.9413369869943331</v>
      </c>
      <c r="K476" s="4">
        <v>4.2428652201696675</v>
      </c>
      <c r="L476" s="4">
        <v>4.5688758721099916</v>
      </c>
      <c r="M476" s="4">
        <v>4.9138444942647475</v>
      </c>
      <c r="N476" s="4">
        <v>5.2784453343487447</v>
      </c>
      <c r="O476" s="11">
        <f t="shared" si="7"/>
        <v>5.6862247855767344E-2</v>
      </c>
      <c r="P476"/>
      <c r="Q476" s="11"/>
    </row>
    <row r="477" spans="1:17" x14ac:dyDescent="0.35">
      <c r="A477" s="34" t="s">
        <v>81</v>
      </c>
      <c r="B477" s="4">
        <v>2.7430574776624823</v>
      </c>
      <c r="C477" s="4">
        <v>2.9612405270923636</v>
      </c>
      <c r="D477" s="4">
        <v>3.2017132776464159</v>
      </c>
      <c r="E477" s="4">
        <v>3.4670502300809174</v>
      </c>
      <c r="F477" s="4">
        <v>3.761310665603554</v>
      </c>
      <c r="G477" s="4">
        <v>4.0905761545720711</v>
      </c>
      <c r="H477" s="4">
        <v>4.4582102530669472</v>
      </c>
      <c r="I477" s="4">
        <v>4.8678013084787208</v>
      </c>
      <c r="J477" s="4">
        <v>5.316645498363922</v>
      </c>
      <c r="K477" s="4">
        <v>5.803331726679029</v>
      </c>
      <c r="L477" s="4">
        <v>6.3229625945953964</v>
      </c>
      <c r="M477" s="4">
        <v>6.874367679846765</v>
      </c>
      <c r="N477" s="4">
        <v>7.4630795441768534</v>
      </c>
      <c r="O477" s="11">
        <f t="shared" si="7"/>
        <v>6.9091417538120162E-2</v>
      </c>
      <c r="P477"/>
      <c r="Q477" s="11"/>
    </row>
    <row r="478" spans="1:17" x14ac:dyDescent="0.35">
      <c r="A478" s="2" t="s">
        <v>84</v>
      </c>
      <c r="O478" s="11" t="str">
        <f t="shared" si="7"/>
        <v/>
      </c>
      <c r="P478"/>
      <c r="Q478" s="11"/>
    </row>
    <row r="479" spans="1:17" x14ac:dyDescent="0.35">
      <c r="A479" s="3" t="s">
        <v>85</v>
      </c>
      <c r="B479" s="4">
        <v>20.273254140792144</v>
      </c>
      <c r="C479" s="4">
        <v>21.572431113080164</v>
      </c>
      <c r="D479" s="4">
        <v>22.981829168416468</v>
      </c>
      <c r="E479" s="4">
        <v>24.466071474035981</v>
      </c>
      <c r="F479" s="4">
        <v>25.997238898792471</v>
      </c>
      <c r="G479" s="4">
        <v>27.611233210255033</v>
      </c>
      <c r="H479" s="4">
        <v>29.339235226997403</v>
      </c>
      <c r="I479" s="4">
        <v>31.263399013364875</v>
      </c>
      <c r="J479" s="4">
        <v>33.415361852175813</v>
      </c>
      <c r="K479" s="4">
        <v>35.740512910232489</v>
      </c>
      <c r="L479" s="4">
        <v>38.25426103030572</v>
      </c>
      <c r="M479" s="4">
        <v>40.906555083208268</v>
      </c>
      <c r="N479" s="4">
        <v>43.681381595575758</v>
      </c>
      <c r="O479" s="11">
        <f t="shared" si="7"/>
        <v>5.2287731153546478E-2</v>
      </c>
      <c r="P479"/>
      <c r="Q479" s="11"/>
    </row>
    <row r="480" spans="1:17" x14ac:dyDescent="0.35">
      <c r="A480" s="3" t="s">
        <v>86</v>
      </c>
      <c r="B480" s="4">
        <v>51.048807367323754</v>
      </c>
      <c r="C480" s="4">
        <v>54.51715344360467</v>
      </c>
      <c r="D480" s="4">
        <v>58.015224409996513</v>
      </c>
      <c r="E480" s="4">
        <v>61.63612928110512</v>
      </c>
      <c r="F480" s="4">
        <v>65.558254614346225</v>
      </c>
      <c r="G480" s="4">
        <v>69.953709831897427</v>
      </c>
      <c r="H480" s="4">
        <v>74.947742681435116</v>
      </c>
      <c r="I480" s="4">
        <v>80.462071818704615</v>
      </c>
      <c r="J480" s="4">
        <v>86.325002645606631</v>
      </c>
      <c r="K480" s="4">
        <v>92.528436465380722</v>
      </c>
      <c r="L480" s="4">
        <v>99.168999034636215</v>
      </c>
      <c r="M480" s="4">
        <v>106.35780867196311</v>
      </c>
      <c r="N480" s="4">
        <v>114.03020615227855</v>
      </c>
      <c r="O480" s="11">
        <f t="shared" si="7"/>
        <v>5.5793041561003218E-2</v>
      </c>
      <c r="P480"/>
      <c r="Q480" s="11"/>
    </row>
    <row r="481" spans="1:17" x14ac:dyDescent="0.35">
      <c r="A481" s="3" t="s">
        <v>87</v>
      </c>
      <c r="B481" s="4">
        <v>83.914416809759018</v>
      </c>
      <c r="C481" s="4">
        <v>90.719073023137526</v>
      </c>
      <c r="D481" s="4">
        <v>98.689798107604418</v>
      </c>
      <c r="E481" s="4">
        <v>108.00645934578282</v>
      </c>
      <c r="F481" s="4">
        <v>118.68304714666124</v>
      </c>
      <c r="G481" s="4">
        <v>130.81283094176194</v>
      </c>
      <c r="H481" s="4">
        <v>144.24126464138163</v>
      </c>
      <c r="I481" s="4">
        <v>159.10772349815068</v>
      </c>
      <c r="J481" s="4">
        <v>175.39562222571737</v>
      </c>
      <c r="K481" s="4">
        <v>193.22146799037102</v>
      </c>
      <c r="L481" s="4">
        <v>212.23386836941745</v>
      </c>
      <c r="M481" s="4">
        <v>232.2521932932458</v>
      </c>
      <c r="N481" s="4">
        <v>253.69433287137537</v>
      </c>
      <c r="O481" s="11">
        <f t="shared" si="7"/>
        <v>7.6371695777515833E-2</v>
      </c>
      <c r="P481"/>
      <c r="Q481" s="11"/>
    </row>
    <row r="482" spans="1:17" x14ac:dyDescent="0.35">
      <c r="A482" s="3" t="s">
        <v>88</v>
      </c>
      <c r="B482" s="4">
        <v>61.223949761937398</v>
      </c>
      <c r="C482" s="4">
        <v>66.621968035605533</v>
      </c>
      <c r="D482" s="4">
        <v>72.244278364348688</v>
      </c>
      <c r="E482" s="4">
        <v>78.214520676017628</v>
      </c>
      <c r="F482" s="4">
        <v>84.773605104758047</v>
      </c>
      <c r="G482" s="4">
        <v>92.172068972228004</v>
      </c>
      <c r="H482" s="4">
        <v>100.61661405984674</v>
      </c>
      <c r="I482" s="4">
        <v>110.05468365836506</v>
      </c>
      <c r="J482" s="4">
        <v>120.29993989227418</v>
      </c>
      <c r="K482" s="4">
        <v>131.37812369961375</v>
      </c>
      <c r="L482" s="4">
        <v>143.46418155207414</v>
      </c>
      <c r="M482" s="4">
        <v>156.76576980181667</v>
      </c>
      <c r="N482" s="4">
        <v>171.24532230586561</v>
      </c>
      <c r="O482" s="11">
        <f t="shared" si="7"/>
        <v>7.1250511616667178E-2</v>
      </c>
      <c r="P482"/>
      <c r="Q482" s="11"/>
    </row>
    <row r="483" spans="1:17" x14ac:dyDescent="0.35">
      <c r="A483" s="3" t="s">
        <v>89</v>
      </c>
      <c r="B483" s="4">
        <v>21.354363297060665</v>
      </c>
      <c r="C483" s="4">
        <v>23.107721904372919</v>
      </c>
      <c r="D483" s="4">
        <v>25.051260276184252</v>
      </c>
      <c r="E483" s="4">
        <v>27.149914856865685</v>
      </c>
      <c r="F483" s="4">
        <v>29.38818310298279</v>
      </c>
      <c r="G483" s="4">
        <v>31.732608107699452</v>
      </c>
      <c r="H483" s="4">
        <v>34.274635772920597</v>
      </c>
      <c r="I483" s="4">
        <v>37.088848812614209</v>
      </c>
      <c r="J483" s="4">
        <v>40.257760033813142</v>
      </c>
      <c r="K483" s="4">
        <v>43.804780472327032</v>
      </c>
      <c r="L483" s="4">
        <v>47.678922475156405</v>
      </c>
      <c r="M483" s="4">
        <v>51.83212587608061</v>
      </c>
      <c r="N483" s="4">
        <v>56.279446155305585</v>
      </c>
      <c r="O483" s="11">
        <f t="shared" si="7"/>
        <v>6.5735269333038041E-2</v>
      </c>
      <c r="P483"/>
      <c r="Q483" s="11"/>
    </row>
    <row r="484" spans="1:17" x14ac:dyDescent="0.35">
      <c r="A484" s="3" t="s">
        <v>90</v>
      </c>
      <c r="B484" s="4">
        <v>39.731600180256102</v>
      </c>
      <c r="C484" s="4">
        <v>42.70742678513308</v>
      </c>
      <c r="D484" s="4">
        <v>45.744824245659927</v>
      </c>
      <c r="E484" s="4">
        <v>48.918118843926464</v>
      </c>
      <c r="F484" s="4">
        <v>52.371249375828313</v>
      </c>
      <c r="G484" s="4">
        <v>56.246880163698407</v>
      </c>
      <c r="H484" s="4">
        <v>60.653654652891483</v>
      </c>
      <c r="I484" s="4">
        <v>65.538222063082074</v>
      </c>
      <c r="J484" s="4">
        <v>70.769629555163931</v>
      </c>
      <c r="K484" s="4">
        <v>76.347539381414023</v>
      </c>
      <c r="L484" s="4">
        <v>82.357943650072826</v>
      </c>
      <c r="M484" s="4">
        <v>88.901031899992574</v>
      </c>
      <c r="N484" s="4">
        <v>95.932576414157722</v>
      </c>
      <c r="O484" s="11">
        <f t="shared" si="7"/>
        <v>6.111651636826302E-2</v>
      </c>
      <c r="P484"/>
      <c r="Q484" s="11"/>
    </row>
    <row r="485" spans="1:17" x14ac:dyDescent="0.35">
      <c r="A485" s="2" t="s">
        <v>91</v>
      </c>
      <c r="O485" s="11" t="str">
        <f t="shared" si="7"/>
        <v/>
      </c>
      <c r="P485"/>
      <c r="Q485" s="11"/>
    </row>
    <row r="486" spans="1:17" x14ac:dyDescent="0.35">
      <c r="A486" s="3" t="s">
        <v>92</v>
      </c>
      <c r="B486" s="4">
        <v>112.4864515848062</v>
      </c>
      <c r="C486" s="4">
        <v>122.66962708544283</v>
      </c>
      <c r="D486" s="4">
        <v>133.31132100234942</v>
      </c>
      <c r="E486" s="4">
        <v>144.64268522116089</v>
      </c>
      <c r="F486" s="4">
        <v>157.11374812748491</v>
      </c>
      <c r="G486" s="4">
        <v>171.19629474604076</v>
      </c>
      <c r="H486" s="4">
        <v>187.28477280930656</v>
      </c>
      <c r="I486" s="4">
        <v>205.29443356741416</v>
      </c>
      <c r="J486" s="4">
        <v>224.89020254804225</v>
      </c>
      <c r="K486" s="4">
        <v>246.13054982878819</v>
      </c>
      <c r="L486" s="4">
        <v>269.35396538708159</v>
      </c>
      <c r="M486" s="4">
        <v>294.96326391196681</v>
      </c>
      <c r="N486" s="4">
        <v>322.90332188239944</v>
      </c>
      <c r="O486" s="11">
        <f t="shared" si="7"/>
        <v>7.3049594239225607E-2</v>
      </c>
      <c r="P486"/>
      <c r="Q486" s="11"/>
    </row>
    <row r="487" spans="1:17" x14ac:dyDescent="0.35">
      <c r="A487" s="3" t="s">
        <v>93</v>
      </c>
      <c r="B487" s="4">
        <v>165.05993997232287</v>
      </c>
      <c r="C487" s="4">
        <v>176.57614721949108</v>
      </c>
      <c r="D487" s="4">
        <v>189.41589356986088</v>
      </c>
      <c r="E487" s="4">
        <v>203.74852925657279</v>
      </c>
      <c r="F487" s="4">
        <v>219.6578301158842</v>
      </c>
      <c r="G487" s="4">
        <v>237.33303648149953</v>
      </c>
      <c r="H487" s="4">
        <v>256.78837422616641</v>
      </c>
      <c r="I487" s="4">
        <v>278.22051529686735</v>
      </c>
      <c r="J487" s="4">
        <v>301.57311365670887</v>
      </c>
      <c r="K487" s="4">
        <v>326.89031109055088</v>
      </c>
      <c r="L487" s="4">
        <v>353.8042107245812</v>
      </c>
      <c r="M487" s="4">
        <v>382.05222071434025</v>
      </c>
      <c r="N487" s="4">
        <v>411.95994361215918</v>
      </c>
      <c r="O487" s="11">
        <f t="shared" si="7"/>
        <v>6.318968614463405E-2</v>
      </c>
      <c r="P487"/>
      <c r="Q487" s="11"/>
    </row>
    <row r="488" spans="1:17" x14ac:dyDescent="0.35">
      <c r="A488" s="2" t="s">
        <v>94</v>
      </c>
      <c r="O488" s="11" t="str">
        <f t="shared" si="7"/>
        <v/>
      </c>
      <c r="P488"/>
      <c r="Q488" s="11"/>
    </row>
    <row r="489" spans="1:17" x14ac:dyDescent="0.35">
      <c r="A489" s="3" t="s">
        <v>48</v>
      </c>
      <c r="B489" s="4">
        <v>22.968663031162997</v>
      </c>
      <c r="C489" s="4">
        <v>24.989047828571831</v>
      </c>
      <c r="D489" s="4">
        <v>27.213330058315503</v>
      </c>
      <c r="E489" s="4">
        <v>29.674148497328606</v>
      </c>
      <c r="F489" s="4">
        <v>32.402355728929741</v>
      </c>
      <c r="G489" s="4">
        <v>35.433080681441943</v>
      </c>
      <c r="H489" s="4">
        <v>38.801275009165181</v>
      </c>
      <c r="I489" s="4">
        <v>42.516711333320472</v>
      </c>
      <c r="J489" s="4">
        <v>46.587212588515179</v>
      </c>
      <c r="K489" s="4">
        <v>51.026011039158746</v>
      </c>
      <c r="L489" s="4">
        <v>55.845456541958264</v>
      </c>
      <c r="M489" s="4">
        <v>61.090185124561131</v>
      </c>
      <c r="N489" s="4">
        <v>66.768215897084204</v>
      </c>
      <c r="O489" s="11">
        <f t="shared" si="7"/>
        <v>7.2935039952046962E-2</v>
      </c>
      <c r="P489"/>
      <c r="Q489" s="11"/>
    </row>
    <row r="490" spans="1:17" x14ac:dyDescent="0.35">
      <c r="A490" s="3" t="s">
        <v>95</v>
      </c>
      <c r="B490" s="4">
        <v>11.673783305447323</v>
      </c>
      <c r="C490" s="4">
        <v>12.862650099103984</v>
      </c>
      <c r="D490" s="4">
        <v>14.174950061955377</v>
      </c>
      <c r="E490" s="4">
        <v>15.659902356715527</v>
      </c>
      <c r="F490" s="4">
        <v>17.331492599194977</v>
      </c>
      <c r="G490" s="4">
        <v>19.203205717702527</v>
      </c>
      <c r="H490" s="4">
        <v>21.280922781270935</v>
      </c>
      <c r="I490" s="4">
        <v>23.565706227824339</v>
      </c>
      <c r="J490" s="4">
        <v>26.072822889470757</v>
      </c>
      <c r="K490" s="4">
        <v>28.881006381999278</v>
      </c>
      <c r="L490" s="4">
        <v>32.032398187791756</v>
      </c>
      <c r="M490" s="4">
        <v>35.531298373823539</v>
      </c>
      <c r="N490" s="4">
        <v>39.383240274861357</v>
      </c>
      <c r="O490" s="11">
        <f t="shared" si="7"/>
        <v>8.3078028188611555E-2</v>
      </c>
      <c r="P490"/>
      <c r="Q490" s="11"/>
    </row>
    <row r="491" spans="1:17" x14ac:dyDescent="0.35">
      <c r="A491" s="3" t="s">
        <v>96</v>
      </c>
      <c r="B491" s="4">
        <v>68.465854197532252</v>
      </c>
      <c r="C491" s="4">
        <v>74.184618391685291</v>
      </c>
      <c r="D491" s="4">
        <v>80.062162188970944</v>
      </c>
      <c r="E491" s="4">
        <v>86.527677786267304</v>
      </c>
      <c r="F491" s="4">
        <v>94.192894560842262</v>
      </c>
      <c r="G491" s="4">
        <v>103.57192185351471</v>
      </c>
      <c r="H491" s="4">
        <v>114.67238016280999</v>
      </c>
      <c r="I491" s="4">
        <v>127.18417489232473</v>
      </c>
      <c r="J491" s="4">
        <v>140.45791662926592</v>
      </c>
      <c r="K491" s="4">
        <v>154.4398926110407</v>
      </c>
      <c r="L491" s="4">
        <v>169.39795170697727</v>
      </c>
      <c r="M491" s="4">
        <v>185.7050435778807</v>
      </c>
      <c r="N491" s="4">
        <v>203.37816768237838</v>
      </c>
      <c r="O491" s="11">
        <f t="shared" si="7"/>
        <v>7.7860302659857439E-2</v>
      </c>
      <c r="P491"/>
      <c r="Q491" s="11"/>
    </row>
    <row r="492" spans="1:17" x14ac:dyDescent="0.35">
      <c r="A492" s="3" t="s">
        <v>97</v>
      </c>
      <c r="B492" s="4">
        <v>24.319760231744205</v>
      </c>
      <c r="C492" s="4">
        <v>26.251888216102991</v>
      </c>
      <c r="D492" s="4">
        <v>28.383924437474008</v>
      </c>
      <c r="E492" s="4">
        <v>30.700953208665329</v>
      </c>
      <c r="F492" s="4">
        <v>33.155898885416477</v>
      </c>
      <c r="G492" s="4">
        <v>35.789492972145013</v>
      </c>
      <c r="H492" s="4">
        <v>38.635780703386601</v>
      </c>
      <c r="I492" s="4">
        <v>41.764085936001869</v>
      </c>
      <c r="J492" s="4">
        <v>45.209212355615392</v>
      </c>
      <c r="K492" s="4">
        <v>48.992125338593794</v>
      </c>
      <c r="L492" s="4">
        <v>53.072266413450485</v>
      </c>
      <c r="M492" s="4">
        <v>57.408270610633913</v>
      </c>
      <c r="N492" s="4">
        <v>62.052627737193312</v>
      </c>
      <c r="O492" s="11">
        <f t="shared" si="7"/>
        <v>6.3055821638898196E-2</v>
      </c>
      <c r="P492"/>
      <c r="Q492" s="11"/>
    </row>
    <row r="493" spans="1:17" x14ac:dyDescent="0.35">
      <c r="A493" s="3" t="s">
        <v>98</v>
      </c>
      <c r="B493" s="4">
        <v>56.574125624332545</v>
      </c>
      <c r="C493" s="4">
        <v>61.393105913499056</v>
      </c>
      <c r="D493" s="4">
        <v>66.745352837673636</v>
      </c>
      <c r="E493" s="4">
        <v>72.541959844728552</v>
      </c>
      <c r="F493" s="4">
        <v>78.745259852864137</v>
      </c>
      <c r="G493" s="4">
        <v>85.269036953597407</v>
      </c>
      <c r="H493" s="4">
        <v>92.361709823225567</v>
      </c>
      <c r="I493" s="4">
        <v>100.22907417397759</v>
      </c>
      <c r="J493" s="4">
        <v>109.10067701512462</v>
      </c>
      <c r="K493" s="4">
        <v>119.04846954930515</v>
      </c>
      <c r="L493" s="4">
        <v>129.94298397379924</v>
      </c>
      <c r="M493" s="4">
        <v>141.66123369778182</v>
      </c>
      <c r="N493" s="4">
        <v>154.25131626917803</v>
      </c>
      <c r="O493" s="11">
        <f t="shared" si="7"/>
        <v>6.8080949475484584E-2</v>
      </c>
      <c r="P493"/>
      <c r="Q493" s="11"/>
    </row>
    <row r="494" spans="1:17" x14ac:dyDescent="0.35">
      <c r="A494" s="3" t="s">
        <v>99</v>
      </c>
      <c r="B494" s="4">
        <v>50.953738749590535</v>
      </c>
      <c r="C494" s="4">
        <v>53.900408677247874</v>
      </c>
      <c r="D494" s="4">
        <v>57.107319421216154</v>
      </c>
      <c r="E494" s="4">
        <v>60.600210488095463</v>
      </c>
      <c r="F494" s="4">
        <v>64.427939879616119</v>
      </c>
      <c r="G494" s="4">
        <v>68.669250401315935</v>
      </c>
      <c r="H494" s="4">
        <v>73.349995912132741</v>
      </c>
      <c r="I494" s="4">
        <v>78.496498029036957</v>
      </c>
      <c r="J494" s="4">
        <v>84.030262925657965</v>
      </c>
      <c r="K494" s="4">
        <v>89.898121278812852</v>
      </c>
      <c r="L494" s="4">
        <v>95.995937690466519</v>
      </c>
      <c r="M494" s="4">
        <v>102.28338028897042</v>
      </c>
      <c r="N494" s="4">
        <v>108.82224405800605</v>
      </c>
      <c r="O494" s="11">
        <f t="shared" si="7"/>
        <v>5.248826782458544E-2</v>
      </c>
      <c r="P494"/>
      <c r="Q494" s="11"/>
    </row>
    <row r="495" spans="1:17" x14ac:dyDescent="0.35">
      <c r="A495" s="3" t="s">
        <v>100</v>
      </c>
      <c r="B495" s="4">
        <v>42.59046641731922</v>
      </c>
      <c r="C495" s="4">
        <v>45.664055178722869</v>
      </c>
      <c r="D495" s="4">
        <v>49.040175566604674</v>
      </c>
      <c r="E495" s="4">
        <v>52.686362295932874</v>
      </c>
      <c r="F495" s="4">
        <v>56.515736736505374</v>
      </c>
      <c r="G495" s="4">
        <v>60.593342647822766</v>
      </c>
      <c r="H495" s="4">
        <v>64.971082643481964</v>
      </c>
      <c r="I495" s="4">
        <v>69.758698271795538</v>
      </c>
      <c r="J495" s="4">
        <v>75.005211801101254</v>
      </c>
      <c r="K495" s="4">
        <v>80.735234720428494</v>
      </c>
      <c r="L495" s="4">
        <v>86.871181597219277</v>
      </c>
      <c r="M495" s="4">
        <v>93.336072952655542</v>
      </c>
      <c r="N495" s="4">
        <v>100.20745357585726</v>
      </c>
      <c r="O495" s="11">
        <f t="shared" si="7"/>
        <v>5.7486940629249347E-2</v>
      </c>
      <c r="P495"/>
      <c r="Q495" s="11"/>
    </row>
    <row r="496" spans="1:17" x14ac:dyDescent="0.35">
      <c r="A496" s="1" t="s">
        <v>19</v>
      </c>
      <c r="O496" s="11" t="str">
        <f t="shared" si="7"/>
        <v/>
      </c>
      <c r="P496"/>
      <c r="Q496" s="11"/>
    </row>
    <row r="497" spans="1:17" x14ac:dyDescent="0.35">
      <c r="A497" s="2" t="s">
        <v>54</v>
      </c>
      <c r="O497" s="11" t="str">
        <f t="shared" si="7"/>
        <v/>
      </c>
      <c r="P497"/>
      <c r="Q497" s="11"/>
    </row>
    <row r="498" spans="1:17" x14ac:dyDescent="0.35">
      <c r="A498" s="3" t="s">
        <v>55</v>
      </c>
      <c r="B498" s="4">
        <v>31.476303600842545</v>
      </c>
      <c r="C498" s="4">
        <v>35.234647900937517</v>
      </c>
      <c r="D498" s="4">
        <v>39.512216600266463</v>
      </c>
      <c r="E498" s="4">
        <v>44.295921409740529</v>
      </c>
      <c r="F498" s="4">
        <v>49.599723379469751</v>
      </c>
      <c r="G498" s="4">
        <v>55.406313719518508</v>
      </c>
      <c r="H498" s="4">
        <v>61.911144593225906</v>
      </c>
      <c r="I498" s="4">
        <v>69.303480121088768</v>
      </c>
      <c r="J498" s="4">
        <v>77.809489408414777</v>
      </c>
      <c r="K498" s="4">
        <v>87.566981443568153</v>
      </c>
      <c r="L498" s="4">
        <v>98.577274804912889</v>
      </c>
      <c r="M498" s="4">
        <v>110.84051844769955</v>
      </c>
      <c r="N498" s="4">
        <v>124.4846521158595</v>
      </c>
      <c r="O498" s="11">
        <f t="shared" si="7"/>
        <v>9.4112145951929085E-2</v>
      </c>
      <c r="P498"/>
      <c r="Q498" s="11"/>
    </row>
    <row r="499" spans="1:17" x14ac:dyDescent="0.35">
      <c r="A499" s="3" t="s">
        <v>56</v>
      </c>
      <c r="B499" s="4">
        <v>77.323575844596277</v>
      </c>
      <c r="C499" s="4">
        <v>84.268879839370257</v>
      </c>
      <c r="D499" s="4">
        <v>91.92630174176935</v>
      </c>
      <c r="E499" s="4">
        <v>100.40977421187978</v>
      </c>
      <c r="F499" s="4">
        <v>109.82795891168307</v>
      </c>
      <c r="G499" s="4">
        <v>120.30474743196392</v>
      </c>
      <c r="H499" s="4">
        <v>131.96426690109126</v>
      </c>
      <c r="I499" s="4">
        <v>144.84584740289492</v>
      </c>
      <c r="J499" s="4">
        <v>158.98243841256189</v>
      </c>
      <c r="K499" s="4">
        <v>174.42566899312575</v>
      </c>
      <c r="L499" s="4">
        <v>191.22449944369575</v>
      </c>
      <c r="M499" s="4">
        <v>209.53877337602216</v>
      </c>
      <c r="N499" s="4">
        <v>229.40382266291249</v>
      </c>
      <c r="O499" s="11">
        <f t="shared" si="7"/>
        <v>7.4351591823731147E-2</v>
      </c>
      <c r="P499"/>
      <c r="Q499" s="11"/>
    </row>
    <row r="500" spans="1:17" x14ac:dyDescent="0.35">
      <c r="A500" s="3" t="s">
        <v>57</v>
      </c>
      <c r="B500" s="4">
        <v>204.9651171765409</v>
      </c>
      <c r="C500" s="4">
        <v>222.05968753881268</v>
      </c>
      <c r="D500" s="4">
        <v>241.02410444328274</v>
      </c>
      <c r="E500" s="4">
        <v>261.52778555733374</v>
      </c>
      <c r="F500" s="4">
        <v>283.42699073982709</v>
      </c>
      <c r="G500" s="4">
        <v>306.4041353020433</v>
      </c>
      <c r="H500" s="4">
        <v>331.34614885851312</v>
      </c>
      <c r="I500" s="4">
        <v>358.98119297702488</v>
      </c>
      <c r="J500" s="4">
        <v>390.11766841375425</v>
      </c>
      <c r="K500" s="4">
        <v>424.99510079080318</v>
      </c>
      <c r="L500" s="4">
        <v>463.132322264278</v>
      </c>
      <c r="M500" s="4">
        <v>504.07430321739218</v>
      </c>
      <c r="N500" s="4">
        <v>547.97765538645331</v>
      </c>
      <c r="O500" s="11">
        <f t="shared" si="7"/>
        <v>6.6723899235737752E-2</v>
      </c>
      <c r="P500"/>
      <c r="Q500" s="11"/>
    </row>
    <row r="501" spans="1:17" x14ac:dyDescent="0.35">
      <c r="A501" s="2" t="s">
        <v>47</v>
      </c>
      <c r="O501" s="11" t="str">
        <f t="shared" si="7"/>
        <v/>
      </c>
      <c r="P501"/>
      <c r="Q501" s="11"/>
    </row>
    <row r="502" spans="1:17" x14ac:dyDescent="0.35">
      <c r="A502" s="3" t="s">
        <v>82</v>
      </c>
      <c r="B502" s="4">
        <v>108.79987944543882</v>
      </c>
      <c r="C502" s="4">
        <v>119.50352774030777</v>
      </c>
      <c r="D502" s="4">
        <v>131.43851834203582</v>
      </c>
      <c r="E502" s="4">
        <v>144.70569562162029</v>
      </c>
      <c r="F502" s="4">
        <v>159.42768229115282</v>
      </c>
      <c r="G502" s="4">
        <v>175.71106115148243</v>
      </c>
      <c r="H502" s="4">
        <v>193.87541149431718</v>
      </c>
      <c r="I502" s="4">
        <v>214.14932752398369</v>
      </c>
      <c r="J502" s="4">
        <v>236.79192782097667</v>
      </c>
      <c r="K502" s="4">
        <v>261.99265043669391</v>
      </c>
      <c r="L502" s="4">
        <v>289.80177424860864</v>
      </c>
      <c r="M502" s="4">
        <v>320.3792918237217</v>
      </c>
      <c r="N502" s="4">
        <v>353.88847477877198</v>
      </c>
      <c r="O502" s="11">
        <f t="shared" si="7"/>
        <v>8.0899354530785242E-2</v>
      </c>
      <c r="P502"/>
      <c r="Q502" s="11"/>
    </row>
    <row r="503" spans="1:17" x14ac:dyDescent="0.35">
      <c r="A503" s="3" t="s">
        <v>83</v>
      </c>
      <c r="B503" s="4">
        <v>204.9651171765409</v>
      </c>
      <c r="C503" s="4">
        <v>222.05968753881268</v>
      </c>
      <c r="D503" s="4">
        <v>241.02410444328274</v>
      </c>
      <c r="E503" s="4">
        <v>261.52778555733374</v>
      </c>
      <c r="F503" s="4">
        <v>283.42699073982709</v>
      </c>
      <c r="G503" s="4">
        <v>306.4041353020433</v>
      </c>
      <c r="H503" s="4">
        <v>331.34614885851312</v>
      </c>
      <c r="I503" s="4">
        <v>358.98119297702488</v>
      </c>
      <c r="J503" s="4">
        <v>390.11766841375425</v>
      </c>
      <c r="K503" s="4">
        <v>424.99510079080318</v>
      </c>
      <c r="L503" s="4">
        <v>463.132322264278</v>
      </c>
      <c r="M503" s="4">
        <v>504.07430321739218</v>
      </c>
      <c r="N503" s="4">
        <v>547.97765538645331</v>
      </c>
      <c r="O503" s="11">
        <f t="shared" si="7"/>
        <v>6.6723899235737752E-2</v>
      </c>
      <c r="P503"/>
      <c r="Q503" s="11"/>
    </row>
    <row r="504" spans="1:17" x14ac:dyDescent="0.35">
      <c r="A504" s="2" t="s">
        <v>59</v>
      </c>
      <c r="O504" s="11" t="str">
        <f t="shared" si="7"/>
        <v/>
      </c>
      <c r="P504"/>
      <c r="Q504" s="11"/>
    </row>
    <row r="505" spans="1:17" x14ac:dyDescent="0.35">
      <c r="A505" s="3" t="s">
        <v>60</v>
      </c>
      <c r="O505" s="11" t="str">
        <f t="shared" si="7"/>
        <v/>
      </c>
      <c r="P505"/>
      <c r="Q505" s="11"/>
    </row>
    <row r="506" spans="1:17" x14ac:dyDescent="0.35">
      <c r="A506" s="34" t="s">
        <v>61</v>
      </c>
      <c r="B506" s="4">
        <v>62.321731767365009</v>
      </c>
      <c r="C506" s="4">
        <v>68.251364463881771</v>
      </c>
      <c r="D506" s="4">
        <v>75.054151942905207</v>
      </c>
      <c r="E506" s="4">
        <v>82.406090908015528</v>
      </c>
      <c r="F506" s="4">
        <v>90.422067139465469</v>
      </c>
      <c r="G506" s="4">
        <v>98.401410576528463</v>
      </c>
      <c r="H506" s="4">
        <v>107.13665222848562</v>
      </c>
      <c r="I506" s="4">
        <v>116.84820930083708</v>
      </c>
      <c r="J506" s="4">
        <v>128.18089234111346</v>
      </c>
      <c r="K506" s="4">
        <v>141.27503945388594</v>
      </c>
      <c r="L506" s="4">
        <v>155.42307923214514</v>
      </c>
      <c r="M506" s="4">
        <v>170.55453518386992</v>
      </c>
      <c r="N506" s="4">
        <v>186.7365008844879</v>
      </c>
      <c r="O506" s="11">
        <f t="shared" si="7"/>
        <v>7.3777279448490815E-2</v>
      </c>
      <c r="P506"/>
      <c r="Q506" s="11"/>
    </row>
    <row r="507" spans="1:17" x14ac:dyDescent="0.35">
      <c r="A507" s="43" t="s">
        <v>62</v>
      </c>
      <c r="B507" s="4">
        <v>12.373431280220943</v>
      </c>
      <c r="C507" s="4">
        <v>13.856774594685618</v>
      </c>
      <c r="D507" s="4">
        <v>15.545656617645657</v>
      </c>
      <c r="E507" s="4">
        <v>17.43519993076276</v>
      </c>
      <c r="F507" s="4">
        <v>19.531166502124542</v>
      </c>
      <c r="G507" s="4">
        <v>21.827015864307032</v>
      </c>
      <c r="H507" s="4">
        <v>24.400013376018041</v>
      </c>
      <c r="I507" s="4">
        <v>27.325119265765927</v>
      </c>
      <c r="J507" s="4">
        <v>30.691974450978755</v>
      </c>
      <c r="K507" s="4">
        <v>34.555520806656034</v>
      </c>
      <c r="L507" s="4">
        <v>38.916933996787137</v>
      </c>
      <c r="M507" s="4">
        <v>43.776932209405345</v>
      </c>
      <c r="N507" s="4">
        <v>49.18670901076726</v>
      </c>
      <c r="O507" s="11">
        <f t="shared" si="7"/>
        <v>9.4475220890718345E-2</v>
      </c>
      <c r="P507"/>
      <c r="Q507" s="11"/>
    </row>
    <row r="508" spans="1:17" x14ac:dyDescent="0.35">
      <c r="A508" s="43" t="s">
        <v>63</v>
      </c>
      <c r="B508" s="4">
        <v>19.999149867362934</v>
      </c>
      <c r="C508" s="4">
        <v>21.896695669762565</v>
      </c>
      <c r="D508" s="4">
        <v>24.01807652007636</v>
      </c>
      <c r="E508" s="4">
        <v>26.336973528684581</v>
      </c>
      <c r="F508" s="4">
        <v>28.844639417489489</v>
      </c>
      <c r="G508" s="4">
        <v>31.514152814164362</v>
      </c>
      <c r="H508" s="4">
        <v>34.441229027242919</v>
      </c>
      <c r="I508" s="4">
        <v>37.709058410169916</v>
      </c>
      <c r="J508" s="4">
        <v>41.412640630325924</v>
      </c>
      <c r="K508" s="4">
        <v>45.590402614545269</v>
      </c>
      <c r="L508" s="4">
        <v>50.204819556641631</v>
      </c>
      <c r="M508" s="4">
        <v>55.219343365250189</v>
      </c>
      <c r="N508" s="4">
        <v>60.662643624510046</v>
      </c>
      <c r="O508" s="11">
        <f t="shared" si="7"/>
        <v>7.5478527758988237E-2</v>
      </c>
      <c r="P508"/>
      <c r="Q508" s="11"/>
    </row>
    <row r="509" spans="1:17" x14ac:dyDescent="0.35">
      <c r="A509" s="43" t="s">
        <v>64</v>
      </c>
      <c r="B509" s="4">
        <v>29.949150619781129</v>
      </c>
      <c r="C509" s="4">
        <v>32.497894199433588</v>
      </c>
      <c r="D509" s="4">
        <v>35.490418805183189</v>
      </c>
      <c r="E509" s="4">
        <v>38.633917448568184</v>
      </c>
      <c r="F509" s="4">
        <v>42.046261219851438</v>
      </c>
      <c r="G509" s="4">
        <v>45.060241898057072</v>
      </c>
      <c r="H509" s="4">
        <v>48.295409825224652</v>
      </c>
      <c r="I509" s="4">
        <v>51.814031624901247</v>
      </c>
      <c r="J509" s="4">
        <v>56.076277259808791</v>
      </c>
      <c r="K509" s="4">
        <v>61.129116032684635</v>
      </c>
      <c r="L509" s="4">
        <v>66.301325678716381</v>
      </c>
      <c r="M509" s="4">
        <v>71.558259609214389</v>
      </c>
      <c r="N509" s="4">
        <v>76.887148249210583</v>
      </c>
      <c r="O509" s="11">
        <f t="shared" si="7"/>
        <v>6.1168794904486921E-2</v>
      </c>
      <c r="P509"/>
      <c r="Q509" s="11"/>
    </row>
    <row r="510" spans="1:17" x14ac:dyDescent="0.35">
      <c r="A510" s="34" t="s">
        <v>65</v>
      </c>
      <c r="B510" s="4">
        <v>57.85202928503206</v>
      </c>
      <c r="C510" s="4">
        <v>62.852298668686259</v>
      </c>
      <c r="D510" s="4">
        <v>68.363316950059243</v>
      </c>
      <c r="E510" s="4">
        <v>74.30628011430025</v>
      </c>
      <c r="F510" s="4">
        <v>80.617264678559593</v>
      </c>
      <c r="G510" s="4">
        <v>87.423945455683238</v>
      </c>
      <c r="H510" s="4">
        <v>94.849040204993486</v>
      </c>
      <c r="I510" s="4">
        <v>103.1893105800596</v>
      </c>
      <c r="J510" s="4">
        <v>112.59832327113548</v>
      </c>
      <c r="K510" s="4">
        <v>122.94971775338048</v>
      </c>
      <c r="L510" s="4">
        <v>134.34494942042349</v>
      </c>
      <c r="M510" s="4">
        <v>146.66196954866555</v>
      </c>
      <c r="N510" s="4">
        <v>159.88824635566726</v>
      </c>
      <c r="O510" s="11">
        <f t="shared" si="7"/>
        <v>6.9379348721990863E-2</v>
      </c>
      <c r="P510"/>
      <c r="Q510" s="11"/>
    </row>
    <row r="511" spans="1:17" x14ac:dyDescent="0.35">
      <c r="A511" s="34" t="s">
        <v>66</v>
      </c>
      <c r="B511" s="4">
        <v>35.483059506084238</v>
      </c>
      <c r="C511" s="4">
        <v>38.358560787023322</v>
      </c>
      <c r="D511" s="4">
        <v>41.534897332695571</v>
      </c>
      <c r="E511" s="4">
        <v>44.991580984323527</v>
      </c>
      <c r="F511" s="4">
        <v>48.660871472644075</v>
      </c>
      <c r="G511" s="4">
        <v>52.603497261993958</v>
      </c>
      <c r="H511" s="4">
        <v>56.870717009689258</v>
      </c>
      <c r="I511" s="4">
        <v>61.566019937769568</v>
      </c>
      <c r="J511" s="4">
        <v>66.742616437931147</v>
      </c>
      <c r="K511" s="4">
        <v>72.433598035586925</v>
      </c>
      <c r="L511" s="4">
        <v>78.581286775967385</v>
      </c>
      <c r="M511" s="4">
        <v>85.126469322783436</v>
      </c>
      <c r="N511" s="4">
        <v>92.148752726359689</v>
      </c>
      <c r="O511" s="11">
        <f t="shared" si="7"/>
        <v>6.4272303583466972E-2</v>
      </c>
      <c r="P511"/>
      <c r="Q511" s="11"/>
    </row>
    <row r="512" spans="1:17" x14ac:dyDescent="0.35">
      <c r="A512" s="34" t="s">
        <v>67</v>
      </c>
      <c r="B512" s="4">
        <v>23.360999099052243</v>
      </c>
      <c r="C512" s="4">
        <v>25.044763521353577</v>
      </c>
      <c r="D512" s="4">
        <v>26.881192690023799</v>
      </c>
      <c r="E512" s="4">
        <v>28.832118737593582</v>
      </c>
      <c r="F512" s="4">
        <v>30.866970710259302</v>
      </c>
      <c r="G512" s="4">
        <v>33.030000653541833</v>
      </c>
      <c r="H512" s="4">
        <v>35.361121810426305</v>
      </c>
      <c r="I512" s="4">
        <v>37.962847245262594</v>
      </c>
      <c r="J512" s="4">
        <v>40.879376155834493</v>
      </c>
      <c r="K512" s="4">
        <v>44.050629480465531</v>
      </c>
      <c r="L512" s="4">
        <v>47.500933524824347</v>
      </c>
      <c r="M512" s="4">
        <v>51.173984714719225</v>
      </c>
      <c r="N512" s="4">
        <v>55.054296820217829</v>
      </c>
      <c r="O512" s="11">
        <f t="shared" si="7"/>
        <v>5.8409249239600128E-2</v>
      </c>
      <c r="P512"/>
      <c r="Q512" s="11"/>
    </row>
    <row r="513" spans="1:17" x14ac:dyDescent="0.35">
      <c r="A513" s="34" t="s">
        <v>68</v>
      </c>
      <c r="B513" s="4">
        <v>38.489046581921478</v>
      </c>
      <c r="C513" s="4">
        <v>42.248795140497229</v>
      </c>
      <c r="D513" s="4">
        <v>46.38355486924133</v>
      </c>
      <c r="E513" s="4">
        <v>51.049822174465639</v>
      </c>
      <c r="F513" s="4">
        <v>56.286828942237548</v>
      </c>
      <c r="G513" s="4">
        <v>62.131527768369303</v>
      </c>
      <c r="H513" s="4">
        <v>68.595643340228392</v>
      </c>
      <c r="I513" s="4">
        <v>75.675114345896105</v>
      </c>
      <c r="J513" s="4">
        <v>83.411472491705098</v>
      </c>
      <c r="K513" s="4">
        <v>92.048583681538616</v>
      </c>
      <c r="L513" s="4">
        <v>101.70993538836599</v>
      </c>
      <c r="M513" s="4">
        <v>112.39689267789383</v>
      </c>
      <c r="N513" s="4">
        <v>124.11456990294408</v>
      </c>
      <c r="O513" s="11">
        <f t="shared" si="7"/>
        <v>7.9916263165325394E-2</v>
      </c>
      <c r="P513"/>
      <c r="Q513" s="11"/>
    </row>
    <row r="514" spans="1:17" x14ac:dyDescent="0.35">
      <c r="A514" s="34" t="s">
        <v>69</v>
      </c>
      <c r="B514" s="4">
        <v>43.246302303890971</v>
      </c>
      <c r="C514" s="4">
        <v>46.143344498885746</v>
      </c>
      <c r="D514" s="4">
        <v>49.316027613109178</v>
      </c>
      <c r="E514" s="4">
        <v>52.727427015975906</v>
      </c>
      <c r="F514" s="4">
        <v>56.286828942237548</v>
      </c>
      <c r="G514" s="4">
        <v>60.056535808109231</v>
      </c>
      <c r="H514" s="4">
        <v>64.084594421084503</v>
      </c>
      <c r="I514" s="4">
        <v>68.475135622414285</v>
      </c>
      <c r="J514" s="4">
        <v>73.27063381065939</v>
      </c>
      <c r="K514" s="4">
        <v>78.488839213443882</v>
      </c>
      <c r="L514" s="4">
        <v>84.047740280898054</v>
      </c>
      <c r="M514" s="4">
        <v>89.867418225200495</v>
      </c>
      <c r="N514" s="4">
        <v>96.018215275484991</v>
      </c>
      <c r="O514" s="11">
        <f t="shared" si="7"/>
        <v>5.3522234413464001E-2</v>
      </c>
      <c r="P514"/>
      <c r="Q514" s="11"/>
    </row>
    <row r="515" spans="1:17" x14ac:dyDescent="0.35">
      <c r="A515" s="3" t="s">
        <v>70</v>
      </c>
      <c r="O515" s="11" t="str">
        <f t="shared" si="7"/>
        <v/>
      </c>
      <c r="P515"/>
      <c r="Q515" s="11"/>
    </row>
    <row r="516" spans="1:17" x14ac:dyDescent="0.35">
      <c r="A516" s="34" t="s">
        <v>71</v>
      </c>
      <c r="B516" s="4">
        <v>7.7651846045273771</v>
      </c>
      <c r="C516" s="4">
        <v>8.7296148231858126</v>
      </c>
      <c r="D516" s="4">
        <v>9.8247385844492001</v>
      </c>
      <c r="E516" s="4">
        <v>11.049876262453065</v>
      </c>
      <c r="F516" s="4">
        <v>12.405687955616841</v>
      </c>
      <c r="G516" s="4">
        <v>13.921653902715827</v>
      </c>
      <c r="H516" s="4">
        <v>15.629830600912715</v>
      </c>
      <c r="I516" s="4">
        <v>17.594488815872367</v>
      </c>
      <c r="J516" s="4">
        <v>19.863285212621495</v>
      </c>
      <c r="K516" s="4">
        <v>22.439538700545768</v>
      </c>
      <c r="L516" s="4">
        <v>25.366760025731359</v>
      </c>
      <c r="M516" s="4">
        <v>28.650468460570494</v>
      </c>
      <c r="N516" s="4">
        <v>32.316274835316243</v>
      </c>
      <c r="O516" s="11">
        <f t="shared" si="7"/>
        <v>9.8086918401567205E-2</v>
      </c>
      <c r="P516"/>
      <c r="Q516" s="11"/>
    </row>
    <row r="517" spans="1:17" x14ac:dyDescent="0.35">
      <c r="A517" s="34" t="s">
        <v>72</v>
      </c>
      <c r="B517" s="4">
        <v>6.1251453281218753</v>
      </c>
      <c r="C517" s="4">
        <v>6.9432784763047355</v>
      </c>
      <c r="D517" s="4">
        <v>7.8719622333439148</v>
      </c>
      <c r="E517" s="4">
        <v>8.9463886673966577</v>
      </c>
      <c r="F517" s="4">
        <v>10.185214625039507</v>
      </c>
      <c r="G517" s="4">
        <v>11.608331129778607</v>
      </c>
      <c r="H517" s="4">
        <v>13.232629297444772</v>
      </c>
      <c r="I517" s="4">
        <v>15.073179945420744</v>
      </c>
      <c r="J517" s="4">
        <v>17.155045306098256</v>
      </c>
      <c r="K517" s="4">
        <v>19.547045869153422</v>
      </c>
      <c r="L517" s="4">
        <v>22.300154563483989</v>
      </c>
      <c r="M517" s="4">
        <v>25.443559504852185</v>
      </c>
      <c r="N517" s="4">
        <v>29.009186119706403</v>
      </c>
      <c r="O517" s="11">
        <f t="shared" si="7"/>
        <v>0.10712382092187343</v>
      </c>
      <c r="P517"/>
      <c r="Q517" s="11"/>
    </row>
    <row r="518" spans="1:17" x14ac:dyDescent="0.35">
      <c r="A518" s="34" t="s">
        <v>73</v>
      </c>
      <c r="B518" s="4">
        <v>5.8676752975183604</v>
      </c>
      <c r="C518" s="4">
        <v>6.4381165570554959</v>
      </c>
      <c r="D518" s="4">
        <v>7.0396968684513839</v>
      </c>
      <c r="E518" s="4">
        <v>7.685158493467263</v>
      </c>
      <c r="F518" s="4">
        <v>8.3991817287055657</v>
      </c>
      <c r="G518" s="4">
        <v>9.2082109262145</v>
      </c>
      <c r="H518" s="4">
        <v>10.135168025135751</v>
      </c>
      <c r="I518" s="4">
        <v>11.177585053832434</v>
      </c>
      <c r="J518" s="4">
        <v>12.319281435665539</v>
      </c>
      <c r="K518" s="4">
        <v>13.565219144451598</v>
      </c>
      <c r="L518" s="4">
        <v>14.935898115182537</v>
      </c>
      <c r="M518" s="4">
        <v>16.455869493577662</v>
      </c>
      <c r="N518" s="4">
        <v>18.124715667669985</v>
      </c>
      <c r="O518" s="11">
        <f t="shared" si="7"/>
        <v>7.8145382047289103E-2</v>
      </c>
      <c r="P518"/>
      <c r="Q518" s="11"/>
    </row>
    <row r="519" spans="1:17" x14ac:dyDescent="0.35">
      <c r="A519" s="34" t="s">
        <v>74</v>
      </c>
      <c r="B519" s="4">
        <v>6.4504020231133667</v>
      </c>
      <c r="C519" s="4">
        <v>7.1451637995794997</v>
      </c>
      <c r="D519" s="4">
        <v>7.9273880449331662</v>
      </c>
      <c r="E519" s="4">
        <v>8.7985539461082887</v>
      </c>
      <c r="F519" s="4">
        <v>9.7507741907961165</v>
      </c>
      <c r="G519" s="4">
        <v>10.800855442663861</v>
      </c>
      <c r="H519" s="4">
        <v>11.965080087332176</v>
      </c>
      <c r="I519" s="4">
        <v>13.272032692275376</v>
      </c>
      <c r="J519" s="4">
        <v>14.741931845451928</v>
      </c>
      <c r="K519" s="4">
        <v>16.392101923300491</v>
      </c>
      <c r="L519" s="4">
        <v>18.220526552242887</v>
      </c>
      <c r="M519" s="4">
        <v>20.224082182421096</v>
      </c>
      <c r="N519" s="4">
        <v>22.43178230540687</v>
      </c>
      <c r="O519" s="11">
        <f t="shared" si="7"/>
        <v>8.4594235810926205E-2</v>
      </c>
      <c r="P519"/>
      <c r="Q519" s="11"/>
    </row>
    <row r="520" spans="1:17" x14ac:dyDescent="0.35">
      <c r="A520" s="34" t="s">
        <v>75</v>
      </c>
      <c r="B520" s="4">
        <v>4.822666249624187</v>
      </c>
      <c r="C520" s="4">
        <v>5.3856031333076215</v>
      </c>
      <c r="D520" s="4">
        <v>6.0237705296547404</v>
      </c>
      <c r="E520" s="4">
        <v>6.7400703779113691</v>
      </c>
      <c r="F520" s="4">
        <v>7.5303008602187829</v>
      </c>
      <c r="G520" s="4">
        <v>8.4091706663831243</v>
      </c>
      <c r="H520" s="4">
        <v>9.3914380287774986</v>
      </c>
      <c r="I520" s="4">
        <v>10.501971835838525</v>
      </c>
      <c r="J520" s="4">
        <v>11.759799796503664</v>
      </c>
      <c r="K520" s="4">
        <v>13.182220385696032</v>
      </c>
      <c r="L520" s="4">
        <v>14.771495888020581</v>
      </c>
      <c r="M520" s="4">
        <v>16.529015567891513</v>
      </c>
      <c r="N520" s="4">
        <v>18.482430633364682</v>
      </c>
      <c r="O520" s="11">
        <f t="shared" si="7"/>
        <v>9.144198903830085E-2</v>
      </c>
      <c r="P520"/>
      <c r="Q520" s="11"/>
    </row>
    <row r="521" spans="1:17" x14ac:dyDescent="0.35">
      <c r="A521" s="3" t="s">
        <v>76</v>
      </c>
      <c r="O521" s="11" t="str">
        <f t="shared" si="7"/>
        <v/>
      </c>
      <c r="P521"/>
      <c r="Q521" s="11"/>
    </row>
    <row r="522" spans="1:17" x14ac:dyDescent="0.35">
      <c r="A522" s="34" t="s">
        <v>77</v>
      </c>
      <c r="B522" s="4">
        <v>6.4492691809352394</v>
      </c>
      <c r="C522" s="4">
        <v>7.0906002037068632</v>
      </c>
      <c r="D522" s="4">
        <v>7.7689243278014679</v>
      </c>
      <c r="E522" s="4">
        <v>8.4985326024030829</v>
      </c>
      <c r="F522" s="4">
        <v>9.3070338084190709</v>
      </c>
      <c r="G522" s="4">
        <v>10.224216163728812</v>
      </c>
      <c r="H522" s="4">
        <v>11.276198082523829</v>
      </c>
      <c r="I522" s="4">
        <v>12.461059503233795</v>
      </c>
      <c r="J522" s="4">
        <v>13.761575906302463</v>
      </c>
      <c r="K522" s="4">
        <v>15.18400058444572</v>
      </c>
      <c r="L522" s="4">
        <v>16.752029112857798</v>
      </c>
      <c r="M522" s="4">
        <v>18.494092081029883</v>
      </c>
      <c r="N522" s="4">
        <v>20.410787837351414</v>
      </c>
      <c r="O522" s="11">
        <f t="shared" si="7"/>
        <v>7.9838632003152096E-2</v>
      </c>
      <c r="P522"/>
      <c r="Q522" s="11"/>
    </row>
    <row r="523" spans="1:17" x14ac:dyDescent="0.35">
      <c r="A523" s="34" t="s">
        <v>78</v>
      </c>
      <c r="B523" s="4">
        <v>6.0689184228757771</v>
      </c>
      <c r="C523" s="4">
        <v>6.5696145703743358</v>
      </c>
      <c r="D523" s="4">
        <v>7.1128234029691431</v>
      </c>
      <c r="E523" s="4">
        <v>7.7203998741469348</v>
      </c>
      <c r="F523" s="4">
        <v>8.3951960366482865</v>
      </c>
      <c r="G523" s="4">
        <v>9.1394795486840401</v>
      </c>
      <c r="H523" s="4">
        <v>9.9515892988802701</v>
      </c>
      <c r="I523" s="4">
        <v>10.82756751808772</v>
      </c>
      <c r="J523" s="4">
        <v>11.770099876048249</v>
      </c>
      <c r="K523" s="4">
        <v>12.810180665289623</v>
      </c>
      <c r="L523" s="4">
        <v>13.96024508488067</v>
      </c>
      <c r="M523" s="4">
        <v>15.215145561331827</v>
      </c>
      <c r="N523" s="4">
        <v>16.570370616190651</v>
      </c>
      <c r="O523" s="11">
        <f t="shared" si="7"/>
        <v>6.834692984411013E-2</v>
      </c>
      <c r="P523"/>
      <c r="Q523" s="11"/>
    </row>
    <row r="524" spans="1:17" x14ac:dyDescent="0.35">
      <c r="A524" s="34" t="s">
        <v>79</v>
      </c>
      <c r="B524" s="4">
        <v>3.6456501890074202</v>
      </c>
      <c r="C524" s="4">
        <v>4.0789521125662214</v>
      </c>
      <c r="D524" s="4">
        <v>4.564501706445184</v>
      </c>
      <c r="E524" s="4">
        <v>5.1203332257656351</v>
      </c>
      <c r="F524" s="4">
        <v>5.7540107666915219</v>
      </c>
      <c r="G524" s="4">
        <v>6.4733120027043762</v>
      </c>
      <c r="H524" s="4">
        <v>7.2838361634236595</v>
      </c>
      <c r="I524" s="4">
        <v>8.1897759616533659</v>
      </c>
      <c r="J524" s="4">
        <v>9.2004115567169862</v>
      </c>
      <c r="K524" s="4">
        <v>10.347878975648067</v>
      </c>
      <c r="L524" s="4">
        <v>11.653058660418731</v>
      </c>
      <c r="M524" s="4">
        <v>13.124185000819523</v>
      </c>
      <c r="N524" s="4">
        <v>14.770267261164463</v>
      </c>
      <c r="O524" s="11">
        <f t="shared" si="7"/>
        <v>9.5990698101994967E-2</v>
      </c>
      <c r="P524"/>
      <c r="Q524" s="11"/>
    </row>
    <row r="525" spans="1:17" x14ac:dyDescent="0.35">
      <c r="A525" s="34" t="s">
        <v>80</v>
      </c>
      <c r="B525" s="4">
        <v>2.6588107740006079</v>
      </c>
      <c r="C525" s="4">
        <v>2.8537023533741492</v>
      </c>
      <c r="D525" s="4">
        <v>3.0658691334061725</v>
      </c>
      <c r="E525" s="4">
        <v>3.2981533827996694</v>
      </c>
      <c r="F525" s="4">
        <v>3.5530230417275517</v>
      </c>
      <c r="G525" s="4">
        <v>3.833256046534081</v>
      </c>
      <c r="H525" s="4">
        <v>4.1414326598438631</v>
      </c>
      <c r="I525" s="4">
        <v>4.4772744345529665</v>
      </c>
      <c r="J525" s="4">
        <v>4.8402760517696048</v>
      </c>
      <c r="K525" s="4">
        <v>5.2304843375030217</v>
      </c>
      <c r="L525" s="4">
        <v>5.6478161946757419</v>
      </c>
      <c r="M525" s="4">
        <v>6.0954206676606439</v>
      </c>
      <c r="N525" s="4">
        <v>6.5725865035319693</v>
      </c>
      <c r="O525" s="11">
        <f t="shared" si="7"/>
        <v>6.1741322277122201E-2</v>
      </c>
      <c r="P525"/>
      <c r="Q525" s="11"/>
    </row>
    <row r="526" spans="1:17" x14ac:dyDescent="0.35">
      <c r="A526" s="34" t="s">
        <v>81</v>
      </c>
      <c r="B526" s="4">
        <v>3.1581060089094657</v>
      </c>
      <c r="C526" s="4">
        <v>3.4294421693378325</v>
      </c>
      <c r="D526" s="4">
        <v>3.729806555829871</v>
      </c>
      <c r="E526" s="4">
        <v>4.0626944118276418</v>
      </c>
      <c r="F526" s="4">
        <v>4.4334181317131396</v>
      </c>
      <c r="G526" s="4">
        <v>4.849793099892497</v>
      </c>
      <c r="H526" s="4">
        <v>5.3165890936481039</v>
      </c>
      <c r="I526" s="4">
        <v>5.838947708001883</v>
      </c>
      <c r="J526" s="4">
        <v>6.414574739173668</v>
      </c>
      <c r="K526" s="4">
        <v>7.0426730231618411</v>
      </c>
      <c r="L526" s="4">
        <v>7.7181876927679332</v>
      </c>
      <c r="M526" s="4">
        <v>8.4404868478266053</v>
      </c>
      <c r="N526" s="4">
        <v>9.2171464203609226</v>
      </c>
      <c r="O526" s="11">
        <f t="shared" si="7"/>
        <v>7.3954592452831244E-2</v>
      </c>
      <c r="P526"/>
      <c r="Q526" s="11"/>
    </row>
    <row r="527" spans="1:17" x14ac:dyDescent="0.35">
      <c r="A527" s="2" t="s">
        <v>84</v>
      </c>
      <c r="O527" s="11" t="str">
        <f t="shared" si="7"/>
        <v/>
      </c>
      <c r="P527"/>
      <c r="Q527" s="11"/>
    </row>
    <row r="528" spans="1:17" x14ac:dyDescent="0.35">
      <c r="A528" s="3" t="s">
        <v>85</v>
      </c>
      <c r="B528" s="4">
        <v>22.183041024056379</v>
      </c>
      <c r="C528" s="4">
        <v>23.744426990392803</v>
      </c>
      <c r="D528" s="4">
        <v>25.46320225822884</v>
      </c>
      <c r="E528" s="4">
        <v>27.297905867486545</v>
      </c>
      <c r="F528" s="4">
        <v>29.228408420044676</v>
      </c>
      <c r="G528" s="4">
        <v>31.217493312287701</v>
      </c>
      <c r="H528" s="4">
        <v>33.352347502974219</v>
      </c>
      <c r="I528" s="4">
        <v>35.699901532155607</v>
      </c>
      <c r="J528" s="4">
        <v>38.331691275924157</v>
      </c>
      <c r="K528" s="4">
        <v>41.259713887174904</v>
      </c>
      <c r="L528" s="4">
        <v>44.425151049693582</v>
      </c>
      <c r="M528" s="4">
        <v>47.774206396161979</v>
      </c>
      <c r="N528" s="4">
        <v>51.313372926288629</v>
      </c>
      <c r="O528" s="11">
        <f t="shared" si="7"/>
        <v>5.6772231216737051E-2</v>
      </c>
      <c r="P528"/>
      <c r="Q528" s="11"/>
    </row>
    <row r="529" spans="1:17" x14ac:dyDescent="0.35">
      <c r="A529" s="3" t="s">
        <v>86</v>
      </c>
      <c r="B529" s="4">
        <v>56.502898428052539</v>
      </c>
      <c r="C529" s="4">
        <v>60.738448525461159</v>
      </c>
      <c r="D529" s="4">
        <v>65.412979314004858</v>
      </c>
      <c r="E529" s="4">
        <v>70.425465345601083</v>
      </c>
      <c r="F529" s="4">
        <v>75.72814908829757</v>
      </c>
      <c r="G529" s="4">
        <v>81.228156546717969</v>
      </c>
      <c r="H529" s="4">
        <v>87.154696301885735</v>
      </c>
      <c r="I529" s="4">
        <v>93.687955527182339</v>
      </c>
      <c r="J529" s="4">
        <v>101.02325178289347</v>
      </c>
      <c r="K529" s="4">
        <v>109.20226022303909</v>
      </c>
      <c r="L529" s="4">
        <v>118.07985537758027</v>
      </c>
      <c r="M529" s="4">
        <v>127.52171461246213</v>
      </c>
      <c r="N529" s="4">
        <v>137.55209937040576</v>
      </c>
      <c r="O529" s="11">
        <f t="shared" si="7"/>
        <v>6.0273354379110973E-2</v>
      </c>
      <c r="P529"/>
      <c r="Q529" s="11"/>
    </row>
    <row r="530" spans="1:17" x14ac:dyDescent="0.35">
      <c r="A530" s="3" t="s">
        <v>87</v>
      </c>
      <c r="B530" s="4">
        <v>95.82804811316214</v>
      </c>
      <c r="C530" s="4">
        <v>105.50560347148681</v>
      </c>
      <c r="D530" s="4">
        <v>117.16487530507979</v>
      </c>
      <c r="E530" s="4">
        <v>130.43546364312073</v>
      </c>
      <c r="F530" s="4">
        <v>144.81347808113043</v>
      </c>
      <c r="G530" s="4">
        <v>159.64439134937908</v>
      </c>
      <c r="H530" s="4">
        <v>175.34335372744778</v>
      </c>
      <c r="I530" s="4">
        <v>192.73484137709187</v>
      </c>
      <c r="J530" s="4">
        <v>213.03926286283865</v>
      </c>
      <c r="K530" s="4">
        <v>236.56814339439734</v>
      </c>
      <c r="L530" s="4">
        <v>262.6896248329499</v>
      </c>
      <c r="M530" s="4">
        <v>290.81586499490402</v>
      </c>
      <c r="N530" s="4">
        <v>321.31402004488325</v>
      </c>
      <c r="O530" s="11">
        <f t="shared" si="7"/>
        <v>8.0818799351106474E-2</v>
      </c>
      <c r="P530"/>
      <c r="Q530" s="11"/>
    </row>
    <row r="531" spans="1:17" x14ac:dyDescent="0.35">
      <c r="A531" s="3" t="s">
        <v>88</v>
      </c>
      <c r="B531" s="4">
        <v>71.055602591232386</v>
      </c>
      <c r="C531" s="4">
        <v>77.736414333372409</v>
      </c>
      <c r="D531" s="4">
        <v>84.751747608277284</v>
      </c>
      <c r="E531" s="4">
        <v>92.251730992330963</v>
      </c>
      <c r="F531" s="4">
        <v>100.52801077803245</v>
      </c>
      <c r="G531" s="4">
        <v>109.88989281439802</v>
      </c>
      <c r="H531" s="4">
        <v>120.60097923227552</v>
      </c>
      <c r="I531" s="4">
        <v>132.61961407966467</v>
      </c>
      <c r="J531" s="4">
        <v>145.74183591249715</v>
      </c>
      <c r="K531" s="4">
        <v>160.01607155770995</v>
      </c>
      <c r="L531" s="4">
        <v>175.67337940936864</v>
      </c>
      <c r="M531" s="4">
        <v>192.98968639453136</v>
      </c>
      <c r="N531" s="4">
        <v>211.94477573861266</v>
      </c>
      <c r="O531" s="11">
        <f t="shared" si="7"/>
        <v>7.5712232782748148E-2</v>
      </c>
      <c r="P531"/>
      <c r="Q531" s="11"/>
    </row>
    <row r="532" spans="1:17" x14ac:dyDescent="0.35">
      <c r="A532" s="3" t="s">
        <v>89</v>
      </c>
      <c r="B532" s="4">
        <v>22.501927642194815</v>
      </c>
      <c r="C532" s="4">
        <v>24.454997380019883</v>
      </c>
      <c r="D532" s="4">
        <v>26.485214370694273</v>
      </c>
      <c r="E532" s="4">
        <v>28.637585900986334</v>
      </c>
      <c r="F532" s="4">
        <v>30.9998271121686</v>
      </c>
      <c r="G532" s="4">
        <v>33.662726359693934</v>
      </c>
      <c r="H532" s="4">
        <v>36.700600063731116</v>
      </c>
      <c r="I532" s="4">
        <v>40.092820076429483</v>
      </c>
      <c r="J532" s="4">
        <v>43.770120241632419</v>
      </c>
      <c r="K532" s="4">
        <v>47.740738883976256</v>
      </c>
      <c r="L532" s="4">
        <v>52.067085850091487</v>
      </c>
      <c r="M532" s="4">
        <v>56.823122120848907</v>
      </c>
      <c r="N532" s="4">
        <v>61.993543369531906</v>
      </c>
      <c r="O532" s="11">
        <f t="shared" si="7"/>
        <v>7.0203464583517006E-2</v>
      </c>
      <c r="P532"/>
      <c r="Q532" s="11"/>
    </row>
    <row r="533" spans="1:17" x14ac:dyDescent="0.35">
      <c r="A533" s="3" t="s">
        <v>90</v>
      </c>
      <c r="B533" s="4">
        <v>45.693478823281453</v>
      </c>
      <c r="C533" s="4">
        <v>49.38332457838743</v>
      </c>
      <c r="D533" s="4">
        <v>53.184603929033493</v>
      </c>
      <c r="E533" s="4">
        <v>57.185329429428428</v>
      </c>
      <c r="F533" s="4">
        <v>61.55679955130622</v>
      </c>
      <c r="G533" s="4">
        <v>66.472536071049049</v>
      </c>
      <c r="H533" s="4">
        <v>72.069583524515863</v>
      </c>
      <c r="I533" s="4">
        <v>78.295387908484557</v>
      </c>
      <c r="J533" s="4">
        <v>85.003434158945012</v>
      </c>
      <c r="K533" s="4">
        <v>92.200823281199504</v>
      </c>
      <c r="L533" s="4">
        <v>99.998999993202744</v>
      </c>
      <c r="M533" s="4">
        <v>108.52900052220546</v>
      </c>
      <c r="N533" s="4">
        <v>117.74831871550312</v>
      </c>
      <c r="O533" s="11">
        <f t="shared" si="7"/>
        <v>6.5590338153093147E-2</v>
      </c>
      <c r="P533"/>
      <c r="Q533" s="11"/>
    </row>
    <row r="534" spans="1:17" x14ac:dyDescent="0.35">
      <c r="A534" s="2" t="s">
        <v>91</v>
      </c>
      <c r="O534" s="11" t="str">
        <f t="shared" ref="O534:O597" si="8">IFERROR(RATE(2035-2026,,-G534,N534),"")</f>
        <v/>
      </c>
      <c r="P534"/>
      <c r="Q534" s="11"/>
    </row>
    <row r="535" spans="1:17" x14ac:dyDescent="0.35">
      <c r="A535" s="3" t="s">
        <v>92</v>
      </c>
      <c r="B535" s="4">
        <v>120.05901124867459</v>
      </c>
      <c r="C535" s="4">
        <v>131.93737630040971</v>
      </c>
      <c r="D535" s="4">
        <v>145.22419206581046</v>
      </c>
      <c r="E535" s="4">
        <v>159.90964191704421</v>
      </c>
      <c r="F535" s="4">
        <v>175.81330519329904</v>
      </c>
      <c r="G535" s="4">
        <v>193.20502476492365</v>
      </c>
      <c r="H535" s="4">
        <v>212.33608419964762</v>
      </c>
      <c r="I535" s="4">
        <v>233.66736898178667</v>
      </c>
      <c r="J535" s="4">
        <v>257.49701342476254</v>
      </c>
      <c r="K535" s="4">
        <v>284.06210414775967</v>
      </c>
      <c r="L535" s="4">
        <v>313.25586416071405</v>
      </c>
      <c r="M535" s="4">
        <v>344.95450295026654</v>
      </c>
      <c r="N535" s="4">
        <v>379.5849597657101</v>
      </c>
      <c r="O535" s="11">
        <f t="shared" si="8"/>
        <v>7.7923256648942799E-2</v>
      </c>
      <c r="P535"/>
      <c r="Q535" s="11"/>
    </row>
    <row r="536" spans="1:17" x14ac:dyDescent="0.35">
      <c r="A536" s="3" t="s">
        <v>93</v>
      </c>
      <c r="B536" s="4">
        <v>193.70598537330511</v>
      </c>
      <c r="C536" s="4">
        <v>209.62583897871076</v>
      </c>
      <c r="D536" s="4">
        <v>227.2384307195081</v>
      </c>
      <c r="E536" s="4">
        <v>246.32383926190982</v>
      </c>
      <c r="F536" s="4">
        <v>267.04136783768092</v>
      </c>
      <c r="G536" s="4">
        <v>288.91017168860208</v>
      </c>
      <c r="H536" s="4">
        <v>312.88547615318259</v>
      </c>
      <c r="I536" s="4">
        <v>339.46315151922181</v>
      </c>
      <c r="J536" s="4">
        <v>369.41258280996834</v>
      </c>
      <c r="K536" s="4">
        <v>402.92564707973736</v>
      </c>
      <c r="L536" s="4">
        <v>439.67823235217259</v>
      </c>
      <c r="M536" s="4">
        <v>479.49909209084734</v>
      </c>
      <c r="N536" s="4">
        <v>522.28117039951519</v>
      </c>
      <c r="O536" s="11">
        <f t="shared" si="8"/>
        <v>6.8000071609394086E-2</v>
      </c>
      <c r="P536"/>
      <c r="Q536" s="11"/>
    </row>
    <row r="537" spans="1:17" x14ac:dyDescent="0.35">
      <c r="A537" s="2" t="s">
        <v>94</v>
      </c>
      <c r="O537" s="11" t="str">
        <f t="shared" si="8"/>
        <v/>
      </c>
      <c r="P537"/>
      <c r="Q537" s="11"/>
    </row>
    <row r="538" spans="1:17" x14ac:dyDescent="0.35">
      <c r="A538" s="3" t="s">
        <v>48</v>
      </c>
      <c r="B538" s="4">
        <v>26.109293206563663</v>
      </c>
      <c r="C538" s="4">
        <v>28.614296643262382</v>
      </c>
      <c r="D538" s="4">
        <v>31.251556459147338</v>
      </c>
      <c r="E538" s="4">
        <v>34.077141812052744</v>
      </c>
      <c r="F538" s="4">
        <v>37.199792534602317</v>
      </c>
      <c r="G538" s="4">
        <v>40.735549968919734</v>
      </c>
      <c r="H538" s="4">
        <v>44.784327675311751</v>
      </c>
      <c r="I538" s="4">
        <v>49.333379500795139</v>
      </c>
      <c r="J538" s="4">
        <v>54.309488830345664</v>
      </c>
      <c r="K538" s="4">
        <v>59.732975400828721</v>
      </c>
      <c r="L538" s="4">
        <v>65.692475769071407</v>
      </c>
      <c r="M538" s="4">
        <v>72.294024965711102</v>
      </c>
      <c r="N538" s="4">
        <v>79.533463353033596</v>
      </c>
      <c r="O538" s="11">
        <f t="shared" si="8"/>
        <v>7.7174978534619562E-2</v>
      </c>
      <c r="P538"/>
      <c r="Q538" s="11"/>
    </row>
    <row r="539" spans="1:17" x14ac:dyDescent="0.35">
      <c r="A539" s="3" t="s">
        <v>95</v>
      </c>
      <c r="B539" s="4">
        <v>11.136607586816266</v>
      </c>
      <c r="C539" s="4">
        <v>12.326573982866263</v>
      </c>
      <c r="D539" s="4">
        <v>13.65660396575236</v>
      </c>
      <c r="E539" s="4">
        <v>15.149490246363946</v>
      </c>
      <c r="F539" s="4">
        <v>16.828477575177239</v>
      </c>
      <c r="G539" s="4">
        <v>18.720389098486358</v>
      </c>
      <c r="H539" s="4">
        <v>20.853521701651012</v>
      </c>
      <c r="I539" s="4">
        <v>23.244266228102649</v>
      </c>
      <c r="J539" s="4">
        <v>25.908709400067458</v>
      </c>
      <c r="K539" s="4">
        <v>28.866666628938166</v>
      </c>
      <c r="L539" s="4">
        <v>32.138411158603184</v>
      </c>
      <c r="M539" s="4">
        <v>35.76375781443992</v>
      </c>
      <c r="N539" s="4">
        <v>39.76336826713694</v>
      </c>
      <c r="O539" s="11">
        <f t="shared" si="8"/>
        <v>8.7306621197351317E-2</v>
      </c>
      <c r="P539"/>
      <c r="Q539" s="11"/>
    </row>
    <row r="540" spans="1:17" x14ac:dyDescent="0.35">
      <c r="A540" s="3" t="s">
        <v>96</v>
      </c>
      <c r="B540" s="4">
        <v>57.499471661129064</v>
      </c>
      <c r="C540" s="4">
        <v>63.615645671409027</v>
      </c>
      <c r="D540" s="4">
        <v>70.730166733138731</v>
      </c>
      <c r="E540" s="4">
        <v>78.502743503249405</v>
      </c>
      <c r="F540" s="4">
        <v>86.799515914072003</v>
      </c>
      <c r="G540" s="4">
        <v>95.070574232476417</v>
      </c>
      <c r="H540" s="4">
        <v>103.95790415805055</v>
      </c>
      <c r="I540" s="4">
        <v>114.0444392815466</v>
      </c>
      <c r="J540" s="4">
        <v>126.17216901923837</v>
      </c>
      <c r="K540" s="4">
        <v>140.58212537958684</v>
      </c>
      <c r="L540" s="4">
        <v>156.90353220645682</v>
      </c>
      <c r="M540" s="4">
        <v>174.7054391626499</v>
      </c>
      <c r="N540" s="4">
        <v>194.10086296645886</v>
      </c>
      <c r="O540" s="11">
        <f t="shared" si="8"/>
        <v>8.2536060557843516E-2</v>
      </c>
      <c r="P540"/>
      <c r="Q540" s="11"/>
    </row>
    <row r="541" spans="1:17" x14ac:dyDescent="0.35">
      <c r="A541" s="3" t="s">
        <v>97</v>
      </c>
      <c r="B541" s="4">
        <v>28.322112679569951</v>
      </c>
      <c r="C541" s="4">
        <v>30.72983469154088</v>
      </c>
      <c r="D541" s="4">
        <v>33.39656486018302</v>
      </c>
      <c r="E541" s="4">
        <v>36.308644540739806</v>
      </c>
      <c r="F541" s="4">
        <v>39.414065899757212</v>
      </c>
      <c r="G541" s="4">
        <v>42.76409950866055</v>
      </c>
      <c r="H541" s="4">
        <v>46.403060966233518</v>
      </c>
      <c r="I541" s="4">
        <v>50.418520948485686</v>
      </c>
      <c r="J541" s="4">
        <v>54.858145105523043</v>
      </c>
      <c r="K541" s="4">
        <v>59.753738987063542</v>
      </c>
      <c r="L541" s="4">
        <v>65.06266895516265</v>
      </c>
      <c r="M541" s="4">
        <v>70.740379420385764</v>
      </c>
      <c r="N541" s="4">
        <v>76.856998942589215</v>
      </c>
      <c r="O541" s="11">
        <f t="shared" si="8"/>
        <v>6.7306964759793128E-2</v>
      </c>
      <c r="P541"/>
      <c r="Q541" s="11"/>
    </row>
    <row r="542" spans="1:17" x14ac:dyDescent="0.35">
      <c r="A542" s="3" t="s">
        <v>98</v>
      </c>
      <c r="B542" s="4">
        <v>109.25042304126025</v>
      </c>
      <c r="C542" s="4">
        <v>118.77314311019502</v>
      </c>
      <c r="D542" s="4">
        <v>129.25033196990668</v>
      </c>
      <c r="E542" s="4">
        <v>140.8348368120667</v>
      </c>
      <c r="F542" s="4">
        <v>153.67057154175004</v>
      </c>
      <c r="G542" s="4">
        <v>167.92130063217115</v>
      </c>
      <c r="H542" s="4">
        <v>183.74945938188839</v>
      </c>
      <c r="I542" s="4">
        <v>201.19775778497936</v>
      </c>
      <c r="J542" s="4">
        <v>220.29954105744073</v>
      </c>
      <c r="K542" s="4">
        <v>241.11362121947451</v>
      </c>
      <c r="L542" s="4">
        <v>263.69445277910779</v>
      </c>
      <c r="M542" s="4">
        <v>288.24876498841894</v>
      </c>
      <c r="N542" s="4">
        <v>314.80989174950304</v>
      </c>
      <c r="O542" s="11">
        <f t="shared" si="8"/>
        <v>7.2326289443290698E-2</v>
      </c>
      <c r="P542"/>
      <c r="Q542" s="11"/>
    </row>
    <row r="543" spans="1:17" x14ac:dyDescent="0.35">
      <c r="A543" s="3" t="s">
        <v>99</v>
      </c>
      <c r="B543" s="4">
        <v>36.172915535559127</v>
      </c>
      <c r="C543" s="4">
        <v>38.748626071772456</v>
      </c>
      <c r="D543" s="4">
        <v>41.576239260006943</v>
      </c>
      <c r="E543" s="4">
        <v>44.627535746324462</v>
      </c>
      <c r="F543" s="4">
        <v>47.828304687345835</v>
      </c>
      <c r="G543" s="4">
        <v>51.233168182488015</v>
      </c>
      <c r="H543" s="4">
        <v>54.885439833173862</v>
      </c>
      <c r="I543" s="4">
        <v>58.87713638341031</v>
      </c>
      <c r="J543" s="4">
        <v>63.248694969907227</v>
      </c>
      <c r="K543" s="4">
        <v>68.01982078406165</v>
      </c>
      <c r="L543" s="4">
        <v>73.124044044920993</v>
      </c>
      <c r="M543" s="4">
        <v>78.495638722923843</v>
      </c>
      <c r="N543" s="4">
        <v>84.199065351202734</v>
      </c>
      <c r="O543" s="11">
        <f t="shared" si="8"/>
        <v>5.6751554405177602E-2</v>
      </c>
      <c r="P543"/>
      <c r="Q543" s="11"/>
    </row>
    <row r="544" spans="1:17" x14ac:dyDescent="0.35">
      <c r="A544" s="3" t="s">
        <v>100</v>
      </c>
      <c r="B544" s="4">
        <v>45.274172911081415</v>
      </c>
      <c r="C544" s="4">
        <v>48.75509510807445</v>
      </c>
      <c r="D544" s="4">
        <v>52.601159537183463</v>
      </c>
      <c r="E544" s="4">
        <v>56.733088518156983</v>
      </c>
      <c r="F544" s="4">
        <v>61.113944878275284</v>
      </c>
      <c r="G544" s="4">
        <v>65.670114830323485</v>
      </c>
      <c r="H544" s="4">
        <v>70.587846636521135</v>
      </c>
      <c r="I544" s="4">
        <v>76.015020373688756</v>
      </c>
      <c r="J544" s="4">
        <v>82.112847852208432</v>
      </c>
      <c r="K544" s="4">
        <v>88.918802827543558</v>
      </c>
      <c r="L544" s="4">
        <v>96.318511599563863</v>
      </c>
      <c r="M544" s="4">
        <v>104.20558996658438</v>
      </c>
      <c r="N544" s="4">
        <v>112.60247953530082</v>
      </c>
      <c r="O544" s="11">
        <f t="shared" si="8"/>
        <v>6.1744499620522447E-2</v>
      </c>
      <c r="P544"/>
      <c r="Q544" s="11"/>
    </row>
    <row r="545" spans="1:17" x14ac:dyDescent="0.35">
      <c r="A545" s="1" t="s">
        <v>27</v>
      </c>
      <c r="O545" s="11" t="str">
        <f t="shared" si="8"/>
        <v/>
      </c>
      <c r="P545"/>
      <c r="Q545" s="11"/>
    </row>
    <row r="546" spans="1:17" x14ac:dyDescent="0.35">
      <c r="A546" s="2" t="s">
        <v>54</v>
      </c>
      <c r="O546" s="11" t="str">
        <f t="shared" si="8"/>
        <v/>
      </c>
      <c r="P546"/>
      <c r="Q546" s="11"/>
    </row>
    <row r="547" spans="1:17" x14ac:dyDescent="0.35">
      <c r="A547" s="3" t="s">
        <v>55</v>
      </c>
      <c r="B547" s="4">
        <v>20.902373989809881</v>
      </c>
      <c r="C547" s="4">
        <v>23.121107813549735</v>
      </c>
      <c r="D547" s="4">
        <v>25.488022187805299</v>
      </c>
      <c r="E547" s="4">
        <v>28.052593910019894</v>
      </c>
      <c r="F547" s="4">
        <v>30.909448607468395</v>
      </c>
      <c r="G547" s="4">
        <v>34.162737539232339</v>
      </c>
      <c r="H547" s="4">
        <v>37.906844680988556</v>
      </c>
      <c r="I547" s="4">
        <v>42.144122739421434</v>
      </c>
      <c r="J547" s="4">
        <v>46.825132027443154</v>
      </c>
      <c r="K547" s="4">
        <v>51.97903715794358</v>
      </c>
      <c r="L547" s="4">
        <v>57.695353469855945</v>
      </c>
      <c r="M547" s="4">
        <v>64.082008935624515</v>
      </c>
      <c r="N547" s="4">
        <v>71.153028947251457</v>
      </c>
      <c r="O547" s="11">
        <f t="shared" si="8"/>
        <v>8.4937012459799593E-2</v>
      </c>
      <c r="P547"/>
      <c r="Q547" s="11"/>
    </row>
    <row r="548" spans="1:17" x14ac:dyDescent="0.35">
      <c r="A548" s="3" t="s">
        <v>56</v>
      </c>
      <c r="B548" s="4">
        <v>52.40928565115221</v>
      </c>
      <c r="C548" s="4">
        <v>56.305888875463793</v>
      </c>
      <c r="D548" s="4">
        <v>60.586045678010414</v>
      </c>
      <c r="E548" s="4">
        <v>65.292540257878997</v>
      </c>
      <c r="F548" s="4">
        <v>70.495233666155983</v>
      </c>
      <c r="G548" s="4">
        <v>76.300479620724474</v>
      </c>
      <c r="H548" s="4">
        <v>82.761819023227901</v>
      </c>
      <c r="I548" s="4">
        <v>89.935846473252909</v>
      </c>
      <c r="J548" s="4">
        <v>97.761717433247313</v>
      </c>
      <c r="K548" s="4">
        <v>106.20339106348841</v>
      </c>
      <c r="L548" s="4">
        <v>115.16159205423527</v>
      </c>
      <c r="M548" s="4">
        <v>124.60670227403584</v>
      </c>
      <c r="N548" s="4">
        <v>134.63107234133079</v>
      </c>
      <c r="O548" s="11">
        <f t="shared" si="8"/>
        <v>6.5128496848145923E-2</v>
      </c>
      <c r="P548"/>
      <c r="Q548" s="11"/>
    </row>
    <row r="549" spans="1:17" x14ac:dyDescent="0.35">
      <c r="A549" s="3" t="s">
        <v>57</v>
      </c>
      <c r="B549" s="4">
        <v>131.076032542001</v>
      </c>
      <c r="C549" s="4">
        <v>140.27068276965915</v>
      </c>
      <c r="D549" s="4">
        <v>149.58048782794847</v>
      </c>
      <c r="E549" s="4">
        <v>159.24618487297528</v>
      </c>
      <c r="F549" s="4">
        <v>169.73083182697556</v>
      </c>
      <c r="G549" s="4">
        <v>181.48507338369768</v>
      </c>
      <c r="H549" s="4">
        <v>194.84169005996375</v>
      </c>
      <c r="I549" s="4">
        <v>209.60705526775007</v>
      </c>
      <c r="J549" s="4">
        <v>225.34256315648835</v>
      </c>
      <c r="K549" s="4">
        <v>242.03302677655725</v>
      </c>
      <c r="L549" s="4">
        <v>259.93705534166656</v>
      </c>
      <c r="M549" s="4">
        <v>279.35336146545683</v>
      </c>
      <c r="N549" s="4">
        <v>300.12141080629306</v>
      </c>
      <c r="O549" s="11">
        <f t="shared" si="8"/>
        <v>5.7481787429944087E-2</v>
      </c>
      <c r="P549"/>
      <c r="Q549" s="11"/>
    </row>
    <row r="550" spans="1:17" x14ac:dyDescent="0.35">
      <c r="A550" s="2" t="s">
        <v>47</v>
      </c>
      <c r="O550" s="11" t="str">
        <f t="shared" si="8"/>
        <v/>
      </c>
      <c r="P550"/>
      <c r="Q550" s="11"/>
    </row>
    <row r="551" spans="1:17" x14ac:dyDescent="0.35">
      <c r="A551" s="3" t="s">
        <v>82</v>
      </c>
      <c r="B551" s="4">
        <v>73.311659640962091</v>
      </c>
      <c r="C551" s="4">
        <v>79.426996689013521</v>
      </c>
      <c r="D551" s="4">
        <v>86.074067865815721</v>
      </c>
      <c r="E551" s="4">
        <v>93.345134167898891</v>
      </c>
      <c r="F551" s="4">
        <v>101.40468227362437</v>
      </c>
      <c r="G551" s="4">
        <v>110.46321715995681</v>
      </c>
      <c r="H551" s="4">
        <v>120.66866370421646</v>
      </c>
      <c r="I551" s="4">
        <v>132.07996921267434</v>
      </c>
      <c r="J551" s="4">
        <v>144.58684946069047</v>
      </c>
      <c r="K551" s="4">
        <v>158.18242822143199</v>
      </c>
      <c r="L551" s="4">
        <v>172.8569455240912</v>
      </c>
      <c r="M551" s="4">
        <v>188.68871120966037</v>
      </c>
      <c r="N551" s="4">
        <v>205.78410128858224</v>
      </c>
      <c r="O551" s="11">
        <f t="shared" si="8"/>
        <v>7.157252570050128E-2</v>
      </c>
      <c r="P551"/>
      <c r="Q551" s="11"/>
    </row>
    <row r="552" spans="1:17" x14ac:dyDescent="0.35">
      <c r="A552" s="3" t="s">
        <v>83</v>
      </c>
      <c r="B552" s="4">
        <v>131.076032542001</v>
      </c>
      <c r="C552" s="4">
        <v>140.27068276965915</v>
      </c>
      <c r="D552" s="4">
        <v>149.58048782794847</v>
      </c>
      <c r="E552" s="4">
        <v>159.24618487297528</v>
      </c>
      <c r="F552" s="4">
        <v>169.73083182697556</v>
      </c>
      <c r="G552" s="4">
        <v>181.48507338369768</v>
      </c>
      <c r="H552" s="4">
        <v>194.84169005996375</v>
      </c>
      <c r="I552" s="4">
        <v>209.60705526775007</v>
      </c>
      <c r="J552" s="4">
        <v>225.34256315648835</v>
      </c>
      <c r="K552" s="4">
        <v>242.03302677655725</v>
      </c>
      <c r="L552" s="4">
        <v>259.93705534166656</v>
      </c>
      <c r="M552" s="4">
        <v>279.35336146545683</v>
      </c>
      <c r="N552" s="4">
        <v>300.12141080629306</v>
      </c>
      <c r="O552" s="11">
        <f t="shared" si="8"/>
        <v>5.7481787429944087E-2</v>
      </c>
      <c r="P552"/>
      <c r="Q552" s="11"/>
    </row>
    <row r="553" spans="1:17" x14ac:dyDescent="0.35">
      <c r="A553" s="2" t="s">
        <v>59</v>
      </c>
      <c r="O553" s="11" t="str">
        <f t="shared" si="8"/>
        <v/>
      </c>
      <c r="P553"/>
      <c r="Q553" s="11"/>
    </row>
    <row r="554" spans="1:17" x14ac:dyDescent="0.35">
      <c r="A554" s="3" t="s">
        <v>60</v>
      </c>
      <c r="O554" s="11" t="str">
        <f t="shared" si="8"/>
        <v/>
      </c>
      <c r="P554"/>
      <c r="Q554" s="11"/>
    </row>
    <row r="555" spans="1:17" x14ac:dyDescent="0.35">
      <c r="A555" s="34" t="s">
        <v>61</v>
      </c>
      <c r="B555" s="4">
        <v>42.716790394569756</v>
      </c>
      <c r="C555" s="4">
        <v>46.270227264136082</v>
      </c>
      <c r="D555" s="4">
        <v>49.312668897371822</v>
      </c>
      <c r="E555" s="4">
        <v>52.101775765968966</v>
      </c>
      <c r="F555" s="4">
        <v>55.292936526049431</v>
      </c>
      <c r="G555" s="4">
        <v>59.327557367814478</v>
      </c>
      <c r="H555" s="4">
        <v>64.497342754964251</v>
      </c>
      <c r="I555" s="4">
        <v>70.405223585606052</v>
      </c>
      <c r="J555" s="4">
        <v>76.440666069522877</v>
      </c>
      <c r="K555" s="4">
        <v>82.456597351851968</v>
      </c>
      <c r="L555" s="4">
        <v>88.896401642253579</v>
      </c>
      <c r="M555" s="4">
        <v>96.310633020279226</v>
      </c>
      <c r="N555" s="4">
        <v>104.41425376341988</v>
      </c>
      <c r="O555" s="11">
        <f t="shared" si="8"/>
        <v>6.4824773971643934E-2</v>
      </c>
      <c r="P555"/>
      <c r="Q555" s="11"/>
    </row>
    <row r="556" spans="1:17" x14ac:dyDescent="0.35">
      <c r="A556" s="43" t="s">
        <v>62</v>
      </c>
      <c r="B556" s="4">
        <v>8.0585562751870228</v>
      </c>
      <c r="C556" s="4">
        <v>8.918917580099162</v>
      </c>
      <c r="D556" s="4">
        <v>9.8374459579026343</v>
      </c>
      <c r="E556" s="4">
        <v>10.833339297926194</v>
      </c>
      <c r="F556" s="4">
        <v>11.943274289626677</v>
      </c>
      <c r="G556" s="4">
        <v>13.207690750921767</v>
      </c>
      <c r="H556" s="4">
        <v>14.663343019191753</v>
      </c>
      <c r="I556" s="4">
        <v>16.311467448380686</v>
      </c>
      <c r="J556" s="4">
        <v>18.133257854790884</v>
      </c>
      <c r="K556" s="4">
        <v>20.140306990940903</v>
      </c>
      <c r="L556" s="4">
        <v>22.36761830733122</v>
      </c>
      <c r="M556" s="4">
        <v>24.857412266521742</v>
      </c>
      <c r="N556" s="4">
        <v>27.615579332817475</v>
      </c>
      <c r="O556" s="11">
        <f t="shared" si="8"/>
        <v>8.5405251618464517E-2</v>
      </c>
      <c r="P556"/>
      <c r="Q556" s="11"/>
    </row>
    <row r="557" spans="1:17" x14ac:dyDescent="0.35">
      <c r="A557" s="43" t="s">
        <v>63</v>
      </c>
      <c r="B557" s="4">
        <v>13.378647767246044</v>
      </c>
      <c r="C557" s="4">
        <v>14.488134772873014</v>
      </c>
      <c r="D557" s="4">
        <v>15.718607452663496</v>
      </c>
      <c r="E557" s="4">
        <v>17.048344250105028</v>
      </c>
      <c r="F557" s="4">
        <v>18.467840799700515</v>
      </c>
      <c r="G557" s="4">
        <v>19.956281336878906</v>
      </c>
      <c r="H557" s="4">
        <v>21.571336840418081</v>
      </c>
      <c r="I557" s="4">
        <v>23.360240946036281</v>
      </c>
      <c r="J557" s="4">
        <v>25.375365770175513</v>
      </c>
      <c r="K557" s="4">
        <v>27.631988980077171</v>
      </c>
      <c r="L557" s="4">
        <v>30.098503637540503</v>
      </c>
      <c r="M557" s="4">
        <v>32.7450554926384</v>
      </c>
      <c r="N557" s="4">
        <v>35.581573902830222</v>
      </c>
      <c r="O557" s="11">
        <f t="shared" si="8"/>
        <v>6.6362979993979485E-2</v>
      </c>
      <c r="P557"/>
      <c r="Q557" s="11"/>
    </row>
    <row r="558" spans="1:17" x14ac:dyDescent="0.35">
      <c r="A558" s="43" t="s">
        <v>64</v>
      </c>
      <c r="B558" s="4">
        <v>21.27958635213669</v>
      </c>
      <c r="C558" s="4">
        <v>22.863174911163906</v>
      </c>
      <c r="D558" s="4">
        <v>23.756615486805693</v>
      </c>
      <c r="E558" s="4">
        <v>24.220092217937744</v>
      </c>
      <c r="F558" s="4">
        <v>24.881821436722241</v>
      </c>
      <c r="G558" s="4">
        <v>26.163585280013805</v>
      </c>
      <c r="H558" s="4">
        <v>28.262662895354417</v>
      </c>
      <c r="I558" s="4">
        <v>30.733515191189085</v>
      </c>
      <c r="J558" s="4">
        <v>32.93204244455648</v>
      </c>
      <c r="K558" s="4">
        <v>34.684301380833894</v>
      </c>
      <c r="L558" s="4">
        <v>36.430279697381856</v>
      </c>
      <c r="M558" s="4">
        <v>38.708165261119085</v>
      </c>
      <c r="N558" s="4">
        <v>41.217100527772182</v>
      </c>
      <c r="O558" s="11">
        <f t="shared" si="8"/>
        <v>5.1795070908684099E-2</v>
      </c>
      <c r="P558"/>
      <c r="Q558" s="11"/>
    </row>
    <row r="559" spans="1:17" x14ac:dyDescent="0.35">
      <c r="A559" s="34" t="s">
        <v>65</v>
      </c>
      <c r="B559" s="4">
        <v>37.362785291483135</v>
      </c>
      <c r="C559" s="4">
        <v>39.902174201450627</v>
      </c>
      <c r="D559" s="4">
        <v>42.680658151539653</v>
      </c>
      <c r="E559" s="4">
        <v>45.723749023428383</v>
      </c>
      <c r="F559" s="4">
        <v>49.075256916694492</v>
      </c>
      <c r="G559" s="4">
        <v>52.803294545041041</v>
      </c>
      <c r="H559" s="4">
        <v>56.937742953858844</v>
      </c>
      <c r="I559" s="4">
        <v>61.509790278958491</v>
      </c>
      <c r="J559" s="4">
        <v>66.469471976982263</v>
      </c>
      <c r="K559" s="4">
        <v>71.784751706782927</v>
      </c>
      <c r="L559" s="4">
        <v>77.381502147357565</v>
      </c>
      <c r="M559" s="4">
        <v>83.234050473249184</v>
      </c>
      <c r="N559" s="4">
        <v>89.39872444001513</v>
      </c>
      <c r="O559" s="11">
        <f t="shared" si="8"/>
        <v>6.0248853079505747E-2</v>
      </c>
      <c r="P559"/>
      <c r="Q559" s="11"/>
    </row>
    <row r="560" spans="1:17" x14ac:dyDescent="0.35">
      <c r="A560" s="34" t="s">
        <v>66</v>
      </c>
      <c r="B560" s="4">
        <v>22.683440292964114</v>
      </c>
      <c r="C560" s="4">
        <v>24.25057263772678</v>
      </c>
      <c r="D560" s="4">
        <v>25.968842515927854</v>
      </c>
      <c r="E560" s="4">
        <v>27.819692772247087</v>
      </c>
      <c r="F560" s="4">
        <v>29.756038130484441</v>
      </c>
      <c r="G560" s="4">
        <v>31.811313442109636</v>
      </c>
      <c r="H560" s="4">
        <v>34.011664329481896</v>
      </c>
      <c r="I560" s="4">
        <v>36.413205938385694</v>
      </c>
      <c r="J560" s="4">
        <v>39.039704975915491</v>
      </c>
      <c r="K560" s="4">
        <v>41.901937722020456</v>
      </c>
      <c r="L560" s="4">
        <v>44.957502455763901</v>
      </c>
      <c r="M560" s="4">
        <v>48.164781097629749</v>
      </c>
      <c r="N560" s="4">
        <v>51.562359408026232</v>
      </c>
      <c r="O560" s="11">
        <f t="shared" si="8"/>
        <v>5.5129308720525461E-2</v>
      </c>
      <c r="P560"/>
      <c r="Q560" s="11"/>
    </row>
    <row r="561" spans="1:17" x14ac:dyDescent="0.35">
      <c r="A561" s="34" t="s">
        <v>67</v>
      </c>
      <c r="B561" s="4">
        <v>15.152695811879314</v>
      </c>
      <c r="C561" s="4">
        <v>16.024683187495967</v>
      </c>
      <c r="D561" s="4">
        <v>16.949788322914674</v>
      </c>
      <c r="E561" s="4">
        <v>17.974654655210344</v>
      </c>
      <c r="F561" s="4">
        <v>19.097158800161655</v>
      </c>
      <c r="G561" s="4">
        <v>20.313664142372346</v>
      </c>
      <c r="H561" s="4">
        <v>21.611754054837107</v>
      </c>
      <c r="I561" s="4">
        <v>22.974784142454155</v>
      </c>
      <c r="J561" s="4">
        <v>24.401387043749153</v>
      </c>
      <c r="K561" s="4">
        <v>25.948711319014382</v>
      </c>
      <c r="L561" s="4">
        <v>27.63076775659599</v>
      </c>
      <c r="M561" s="4">
        <v>29.424998703455703</v>
      </c>
      <c r="N561" s="4">
        <v>31.311604972617747</v>
      </c>
      <c r="O561" s="11">
        <f t="shared" si="8"/>
        <v>4.9251680616721763E-2</v>
      </c>
      <c r="P561"/>
      <c r="Q561" s="11"/>
    </row>
    <row r="562" spans="1:17" x14ac:dyDescent="0.35">
      <c r="A562" s="34" t="s">
        <v>68</v>
      </c>
      <c r="B562" s="4">
        <v>24.893263907355443</v>
      </c>
      <c r="C562" s="4">
        <v>26.929404152029207</v>
      </c>
      <c r="D562" s="4">
        <v>29.176972478463362</v>
      </c>
      <c r="E562" s="4">
        <v>31.660754504703895</v>
      </c>
      <c r="F562" s="4">
        <v>34.419297837500658</v>
      </c>
      <c r="G562" s="4">
        <v>37.509972773631176</v>
      </c>
      <c r="H562" s="4">
        <v>40.965697604482997</v>
      </c>
      <c r="I562" s="4">
        <v>44.821723405980023</v>
      </c>
      <c r="J562" s="4">
        <v>49.055650401471041</v>
      </c>
      <c r="K562" s="4">
        <v>53.656816703183999</v>
      </c>
      <c r="L562" s="4">
        <v>58.58223497428574</v>
      </c>
      <c r="M562" s="4">
        <v>63.823089287796542</v>
      </c>
      <c r="N562" s="4">
        <v>69.432719353850842</v>
      </c>
      <c r="O562" s="11">
        <f t="shared" si="8"/>
        <v>7.0811550973894855E-2</v>
      </c>
      <c r="P562"/>
      <c r="Q562" s="11"/>
    </row>
    <row r="563" spans="1:17" x14ac:dyDescent="0.35">
      <c r="A563" s="34" t="s">
        <v>69</v>
      </c>
      <c r="B563" s="4">
        <v>27.662539190336339</v>
      </c>
      <c r="C563" s="4">
        <v>29.185022296880511</v>
      </c>
      <c r="D563" s="4">
        <v>30.842891235479602</v>
      </c>
      <c r="E563" s="4">
        <v>32.607802048770516</v>
      </c>
      <c r="F563" s="4">
        <v>34.419297837500658</v>
      </c>
      <c r="G563" s="4">
        <v>36.313099922049027</v>
      </c>
      <c r="H563" s="4">
        <v>38.314658758510831</v>
      </c>
      <c r="I563" s="4">
        <v>40.481736135847669</v>
      </c>
      <c r="J563" s="4">
        <v>42.832957973116393</v>
      </c>
      <c r="K563" s="4">
        <v>45.371521604982611</v>
      </c>
      <c r="L563" s="4">
        <v>48.042654452795958</v>
      </c>
      <c r="M563" s="4">
        <v>50.795060695468408</v>
      </c>
      <c r="N563" s="4">
        <v>53.664543456914231</v>
      </c>
      <c r="O563" s="11">
        <f t="shared" si="8"/>
        <v>4.4352531528539976E-2</v>
      </c>
      <c r="P563"/>
      <c r="Q563" s="11"/>
    </row>
    <row r="564" spans="1:17" x14ac:dyDescent="0.35">
      <c r="A564" s="3" t="s">
        <v>70</v>
      </c>
      <c r="O564" s="11" t="str">
        <f t="shared" si="8"/>
        <v/>
      </c>
      <c r="P564"/>
      <c r="Q564" s="11"/>
    </row>
    <row r="565" spans="1:17" x14ac:dyDescent="0.35">
      <c r="A565" s="34" t="s">
        <v>71</v>
      </c>
      <c r="B565" s="4">
        <v>5.1499362145243648</v>
      </c>
      <c r="C565" s="4">
        <v>5.7147300978939253</v>
      </c>
      <c r="D565" s="4">
        <v>6.3425126401638172</v>
      </c>
      <c r="E565" s="4">
        <v>7.0566049532850625</v>
      </c>
      <c r="F565" s="4">
        <v>7.8650989930302035</v>
      </c>
      <c r="G565" s="4">
        <v>8.7760681529640081</v>
      </c>
      <c r="H565" s="4">
        <v>9.7943175472197783</v>
      </c>
      <c r="I565" s="4">
        <v>10.922547665429349</v>
      </c>
      <c r="J565" s="4">
        <v>12.17009572653116</v>
      </c>
      <c r="K565" s="4">
        <v>13.576164275398567</v>
      </c>
      <c r="L565" s="4">
        <v>15.163838861402267</v>
      </c>
      <c r="M565" s="4">
        <v>16.938908280827942</v>
      </c>
      <c r="N565" s="4">
        <v>18.907872663921818</v>
      </c>
      <c r="O565" s="11">
        <f t="shared" si="8"/>
        <v>8.902556688458961E-2</v>
      </c>
      <c r="P565"/>
      <c r="Q565" s="11"/>
    </row>
    <row r="566" spans="1:17" x14ac:dyDescent="0.35">
      <c r="A566" s="34" t="s">
        <v>72</v>
      </c>
      <c r="B566" s="4">
        <v>3.8775137652761424</v>
      </c>
      <c r="C566" s="4">
        <v>4.3608255906870452</v>
      </c>
      <c r="D566" s="4">
        <v>4.9131013603367615</v>
      </c>
      <c r="E566" s="4">
        <v>5.5336822693461079</v>
      </c>
      <c r="F566" s="4">
        <v>6.2252714037497752</v>
      </c>
      <c r="G566" s="4">
        <v>6.986693315204823</v>
      </c>
      <c r="H566" s="4">
        <v>7.8435747350736795</v>
      </c>
      <c r="I566" s="4">
        <v>8.8212353321561316</v>
      </c>
      <c r="J566" s="4">
        <v>9.950160330795228</v>
      </c>
      <c r="K566" s="4">
        <v>11.250096774514082</v>
      </c>
      <c r="L566" s="4">
        <v>12.723613152877553</v>
      </c>
      <c r="M566" s="4">
        <v>14.373163099479887</v>
      </c>
      <c r="N566" s="4">
        <v>16.217806501217325</v>
      </c>
      <c r="O566" s="11">
        <f t="shared" si="8"/>
        <v>9.8084101795015727E-2</v>
      </c>
      <c r="P566"/>
      <c r="Q566" s="11"/>
    </row>
    <row r="567" spans="1:17" x14ac:dyDescent="0.35">
      <c r="A567" s="34" t="s">
        <v>73</v>
      </c>
      <c r="B567" s="4">
        <v>3.6918628385571659</v>
      </c>
      <c r="C567" s="4">
        <v>4.0109576681668582</v>
      </c>
      <c r="D567" s="4">
        <v>4.3656543950180167</v>
      </c>
      <c r="E567" s="4">
        <v>4.750262419778652</v>
      </c>
      <c r="F567" s="4">
        <v>5.1624201884754237</v>
      </c>
      <c r="G567" s="4">
        <v>5.5965724805803392</v>
      </c>
      <c r="H567" s="4">
        <v>6.0691018952544136</v>
      </c>
      <c r="I567" s="4">
        <v>6.5936660840764789</v>
      </c>
      <c r="J567" s="4">
        <v>7.1855482549774354</v>
      </c>
      <c r="K567" s="4">
        <v>7.8497223466930963</v>
      </c>
      <c r="L567" s="4">
        <v>8.5779039055297037</v>
      </c>
      <c r="M567" s="4">
        <v>9.3621982130567449</v>
      </c>
      <c r="N567" s="4">
        <v>10.205981074346663</v>
      </c>
      <c r="O567" s="11">
        <f t="shared" si="8"/>
        <v>6.9036451926407755E-2</v>
      </c>
      <c r="P567"/>
      <c r="Q567" s="11"/>
    </row>
    <row r="568" spans="1:17" x14ac:dyDescent="0.35">
      <c r="A568" s="34" t="s">
        <v>74</v>
      </c>
      <c r="B568" s="4">
        <v>4.3006298044197155</v>
      </c>
      <c r="C568" s="4">
        <v>4.7124437055846222</v>
      </c>
      <c r="D568" s="4">
        <v>5.1720219499677658</v>
      </c>
      <c r="E568" s="4">
        <v>5.6785777516303755</v>
      </c>
      <c r="F568" s="4">
        <v>6.2252714037497752</v>
      </c>
      <c r="G568" s="4">
        <v>6.8212816822291851</v>
      </c>
      <c r="H568" s="4">
        <v>7.4750223995597205</v>
      </c>
      <c r="I568" s="4">
        <v>8.2021846259895543</v>
      </c>
      <c r="J568" s="4">
        <v>9.012560313196218</v>
      </c>
      <c r="K568" s="4">
        <v>9.9136858898115428</v>
      </c>
      <c r="L568" s="4">
        <v>10.901003583158717</v>
      </c>
      <c r="M568" s="4">
        <v>11.969408926830235</v>
      </c>
      <c r="N568" s="4">
        <v>13.132958791336749</v>
      </c>
      <c r="O568" s="11">
        <f t="shared" si="8"/>
        <v>7.5500788357064919E-2</v>
      </c>
      <c r="P568"/>
      <c r="Q568" s="11"/>
    </row>
    <row r="569" spans="1:17" x14ac:dyDescent="0.35">
      <c r="A569" s="34" t="s">
        <v>75</v>
      </c>
      <c r="B569" s="4">
        <v>3.2801390742990066</v>
      </c>
      <c r="C569" s="4">
        <v>3.6210428853781154</v>
      </c>
      <c r="D569" s="4">
        <v>4.0046188069238378</v>
      </c>
      <c r="E569" s="4">
        <v>4.4274919309461627</v>
      </c>
      <c r="F569" s="4">
        <v>4.8891155902620183</v>
      </c>
      <c r="G569" s="4">
        <v>5.3858318826974472</v>
      </c>
      <c r="H569" s="4">
        <v>5.9348080140877535</v>
      </c>
      <c r="I569" s="4">
        <v>6.5516107240331323</v>
      </c>
      <c r="J569" s="4">
        <v>7.2543562459255542</v>
      </c>
      <c r="K569" s="4">
        <v>8.0518253215340181</v>
      </c>
      <c r="L569" s="4">
        <v>8.9396438608444804</v>
      </c>
      <c r="M569" s="4">
        <v>9.9134364242667594</v>
      </c>
      <c r="N569" s="4">
        <v>10.980363352397807</v>
      </c>
      <c r="O569" s="11">
        <f t="shared" si="8"/>
        <v>8.2365071121569641E-2</v>
      </c>
      <c r="P569"/>
      <c r="Q569" s="11"/>
    </row>
    <row r="570" spans="1:17" x14ac:dyDescent="0.35">
      <c r="A570" s="3" t="s">
        <v>76</v>
      </c>
      <c r="O570" s="11" t="str">
        <f t="shared" si="8"/>
        <v/>
      </c>
      <c r="P570"/>
      <c r="Q570" s="11"/>
    </row>
    <row r="571" spans="1:17" x14ac:dyDescent="0.35">
      <c r="A571" s="34" t="s">
        <v>77</v>
      </c>
      <c r="B571" s="4">
        <v>3.834778014661135</v>
      </c>
      <c r="C571" s="4">
        <v>4.178001246685306</v>
      </c>
      <c r="D571" s="4">
        <v>4.5593295696514629</v>
      </c>
      <c r="E571" s="4">
        <v>4.9773638102119984</v>
      </c>
      <c r="F571" s="4">
        <v>5.425421637153006</v>
      </c>
      <c r="G571" s="4">
        <v>5.9109239743478517</v>
      </c>
      <c r="H571" s="4">
        <v>6.4404512245737013</v>
      </c>
      <c r="I571" s="4">
        <v>7.0266936233613588</v>
      </c>
      <c r="J571" s="4">
        <v>7.6769866843202932</v>
      </c>
      <c r="K571" s="4">
        <v>8.3965632345956731</v>
      </c>
      <c r="L571" s="4">
        <v>9.180277438861987</v>
      </c>
      <c r="M571" s="4">
        <v>10.022622327802898</v>
      </c>
      <c r="N571" s="4">
        <v>10.934244145527753</v>
      </c>
      <c r="O571" s="11">
        <f t="shared" si="8"/>
        <v>7.0733740379103849E-2</v>
      </c>
      <c r="P571"/>
      <c r="Q571" s="11"/>
    </row>
    <row r="572" spans="1:17" x14ac:dyDescent="0.35">
      <c r="A572" s="34" t="s">
        <v>78</v>
      </c>
      <c r="B572" s="4">
        <v>3.6898369618237115</v>
      </c>
      <c r="C572" s="4">
        <v>3.9501552133684452</v>
      </c>
      <c r="D572" s="4">
        <v>4.2295631110037633</v>
      </c>
      <c r="E572" s="4">
        <v>4.5403016339116258</v>
      </c>
      <c r="F572" s="4">
        <v>4.882879473437705</v>
      </c>
      <c r="G572" s="4">
        <v>5.2574170382482404</v>
      </c>
      <c r="H572" s="4">
        <v>5.6617423170782217</v>
      </c>
      <c r="I572" s="4">
        <v>6.0924441388073429</v>
      </c>
      <c r="J572" s="4">
        <v>6.549972534274449</v>
      </c>
      <c r="K572" s="4">
        <v>7.0504867918245786</v>
      </c>
      <c r="L572" s="4">
        <v>7.5991961147876239</v>
      </c>
      <c r="M572" s="4">
        <v>8.1914726342811033</v>
      </c>
      <c r="N572" s="4">
        <v>8.823192042269568</v>
      </c>
      <c r="O572" s="11">
        <f t="shared" si="8"/>
        <v>5.9213970887341517E-2</v>
      </c>
      <c r="P572"/>
      <c r="Q572" s="11"/>
    </row>
    <row r="573" spans="1:17" x14ac:dyDescent="0.35">
      <c r="A573" s="34" t="s">
        <v>79</v>
      </c>
      <c r="B573" s="4">
        <v>2.1790913790772288</v>
      </c>
      <c r="C573" s="4">
        <v>2.4034631097412666</v>
      </c>
      <c r="D573" s="4">
        <v>2.6549432108905</v>
      </c>
      <c r="E573" s="4">
        <v>2.9371611826361206</v>
      </c>
      <c r="F573" s="4">
        <v>3.255252982291803</v>
      </c>
      <c r="G573" s="4">
        <v>3.6164744999515293</v>
      </c>
      <c r="H573" s="4">
        <v>4.0262176668602621</v>
      </c>
      <c r="I573" s="4">
        <v>4.4904367853837366</v>
      </c>
      <c r="J573" s="4">
        <v>5.0096767448812338</v>
      </c>
      <c r="K573" s="4">
        <v>5.5856178799100276</v>
      </c>
      <c r="L573" s="4">
        <v>6.2166012711687166</v>
      </c>
      <c r="M573" s="4">
        <v>6.9043587577378593</v>
      </c>
      <c r="N573" s="4">
        <v>7.6573780019187838</v>
      </c>
      <c r="O573" s="11">
        <f t="shared" si="8"/>
        <v>8.6924576692913147E-2</v>
      </c>
      <c r="P573"/>
      <c r="Q573" s="11"/>
    </row>
    <row r="574" spans="1:17" x14ac:dyDescent="0.35">
      <c r="A574" s="34" t="s">
        <v>80</v>
      </c>
      <c r="B574" s="4">
        <v>1.9224666399670733</v>
      </c>
      <c r="C574" s="4">
        <v>2.0339038186956264</v>
      </c>
      <c r="D574" s="4">
        <v>2.1551903743357137</v>
      </c>
      <c r="E574" s="4">
        <v>2.2873015217111425</v>
      </c>
      <c r="F574" s="4">
        <v>2.4320855614823818</v>
      </c>
      <c r="G574" s="4">
        <v>2.5925198565936314</v>
      </c>
      <c r="H574" s="4">
        <v>2.769586529809088</v>
      </c>
      <c r="I574" s="4">
        <v>2.9642858636938523</v>
      </c>
      <c r="J574" s="4">
        <v>3.1736604733200475</v>
      </c>
      <c r="K574" s="4">
        <v>3.3957079393998235</v>
      </c>
      <c r="L574" s="4">
        <v>3.6264997022603427</v>
      </c>
      <c r="M574" s="4">
        <v>3.8645155627079504</v>
      </c>
      <c r="N574" s="4">
        <v>4.1120931530379989</v>
      </c>
      <c r="O574" s="11">
        <f t="shared" si="8"/>
        <v>5.259207232263207E-2</v>
      </c>
      <c r="P574"/>
      <c r="Q574" s="11"/>
    </row>
    <row r="575" spans="1:17" x14ac:dyDescent="0.35">
      <c r="A575" s="34" t="s">
        <v>81</v>
      </c>
      <c r="B575" s="4">
        <v>1.9899226017694513</v>
      </c>
      <c r="C575" s="4">
        <v>2.1500723827522754</v>
      </c>
      <c r="D575" s="4">
        <v>2.3257986737755569</v>
      </c>
      <c r="E575" s="4">
        <v>2.5141427970877337</v>
      </c>
      <c r="F575" s="4">
        <v>2.7127108185765025</v>
      </c>
      <c r="G575" s="4">
        <v>2.925605467819723</v>
      </c>
      <c r="H575" s="4">
        <v>3.1566709785276315</v>
      </c>
      <c r="I575" s="4">
        <v>3.4154561502614023</v>
      </c>
      <c r="J575" s="4">
        <v>3.7065568682000363</v>
      </c>
      <c r="K575" s="4">
        <v>4.0252481364714612</v>
      </c>
      <c r="L575" s="4">
        <v>4.3743595458136051</v>
      </c>
      <c r="M575" s="4">
        <v>4.7493751702470002</v>
      </c>
      <c r="N575" s="4">
        <v>5.1494169740567584</v>
      </c>
      <c r="O575" s="11">
        <f t="shared" si="8"/>
        <v>6.48353933161816E-2</v>
      </c>
      <c r="P575"/>
      <c r="Q575" s="11"/>
    </row>
    <row r="576" spans="1:17" x14ac:dyDescent="0.35">
      <c r="A576" s="2" t="s">
        <v>84</v>
      </c>
      <c r="O576" s="11" t="str">
        <f t="shared" si="8"/>
        <v/>
      </c>
      <c r="P576"/>
      <c r="Q576" s="11"/>
    </row>
    <row r="577" spans="1:17" x14ac:dyDescent="0.35">
      <c r="A577" s="3" t="s">
        <v>85</v>
      </c>
      <c r="B577" s="4">
        <v>13.771471979128791</v>
      </c>
      <c r="C577" s="4">
        <v>14.576958055957457</v>
      </c>
      <c r="D577" s="4">
        <v>15.45871050143384</v>
      </c>
      <c r="E577" s="4">
        <v>16.38864678020483</v>
      </c>
      <c r="F577" s="4">
        <v>17.352672902438396</v>
      </c>
      <c r="G577" s="4">
        <v>18.327131947837238</v>
      </c>
      <c r="H577" s="4">
        <v>19.362421891108198</v>
      </c>
      <c r="I577" s="4">
        <v>20.49491965682321</v>
      </c>
      <c r="J577" s="4">
        <v>21.761973013813634</v>
      </c>
      <c r="K577" s="4">
        <v>23.165391087470599</v>
      </c>
      <c r="L577" s="4">
        <v>24.667036643841417</v>
      </c>
      <c r="M577" s="4">
        <v>26.233133690378427</v>
      </c>
      <c r="N577" s="4">
        <v>27.864417864924</v>
      </c>
      <c r="O577" s="11">
        <f t="shared" si="8"/>
        <v>4.7652549483887419E-2</v>
      </c>
      <c r="P577"/>
      <c r="Q577" s="11"/>
    </row>
    <row r="578" spans="1:17" x14ac:dyDescent="0.35">
      <c r="A578" s="3" t="s">
        <v>86</v>
      </c>
      <c r="B578" s="4">
        <v>37.012887092003069</v>
      </c>
      <c r="C578" s="4">
        <v>39.347091521512304</v>
      </c>
      <c r="D578" s="4">
        <v>41.907195897970446</v>
      </c>
      <c r="E578" s="4">
        <v>44.619903480799636</v>
      </c>
      <c r="F578" s="4">
        <v>47.448714967604985</v>
      </c>
      <c r="G578" s="4">
        <v>50.330337465304808</v>
      </c>
      <c r="H578" s="4">
        <v>53.403741444076715</v>
      </c>
      <c r="I578" s="4">
        <v>56.771629215740511</v>
      </c>
      <c r="J578" s="4">
        <v>60.541150384038851</v>
      </c>
      <c r="K578" s="4">
        <v>64.72240318906394</v>
      </c>
      <c r="L578" s="4">
        <v>69.214006851567603</v>
      </c>
      <c r="M578" s="4">
        <v>73.925033366399973</v>
      </c>
      <c r="N578" s="4">
        <v>78.860215828118271</v>
      </c>
      <c r="O578" s="11">
        <f t="shared" si="8"/>
        <v>5.1162335097798016E-2</v>
      </c>
      <c r="P578"/>
      <c r="Q578" s="11"/>
    </row>
    <row r="579" spans="1:17" x14ac:dyDescent="0.35">
      <c r="A579" s="3" t="s">
        <v>87</v>
      </c>
      <c r="B579" s="4">
        <v>65.3411265197077</v>
      </c>
      <c r="C579" s="4">
        <v>71.14272277996298</v>
      </c>
      <c r="D579" s="4">
        <v>76.666716321942573</v>
      </c>
      <c r="E579" s="4">
        <v>82.301520672804003</v>
      </c>
      <c r="F579" s="4">
        <v>88.661313110896174</v>
      </c>
      <c r="G579" s="4">
        <v>96.327824495419634</v>
      </c>
      <c r="H579" s="4">
        <v>105.50482111530121</v>
      </c>
      <c r="I579" s="4">
        <v>115.80658820814699</v>
      </c>
      <c r="J579" s="4">
        <v>126.61098515987936</v>
      </c>
      <c r="K579" s="4">
        <v>137.92847944700202</v>
      </c>
      <c r="L579" s="4">
        <v>150.31419740275516</v>
      </c>
      <c r="M579" s="4">
        <v>164.34010004562242</v>
      </c>
      <c r="N579" s="4">
        <v>179.79464431876551</v>
      </c>
      <c r="O579" s="11">
        <f t="shared" si="8"/>
        <v>7.1800335755095424E-2</v>
      </c>
      <c r="P579"/>
      <c r="Q579" s="11"/>
    </row>
    <row r="580" spans="1:17" x14ac:dyDescent="0.35">
      <c r="A580" s="3" t="s">
        <v>88</v>
      </c>
      <c r="B580" s="4">
        <v>45.222630280200462</v>
      </c>
      <c r="C580" s="4">
        <v>48.674352968283351</v>
      </c>
      <c r="D580" s="4">
        <v>52.470660359487098</v>
      </c>
      <c r="E580" s="4">
        <v>56.650508042612145</v>
      </c>
      <c r="F580" s="4">
        <v>61.276626186735591</v>
      </c>
      <c r="G580" s="4">
        <v>66.443920550131466</v>
      </c>
      <c r="H580" s="4">
        <v>72.201994872357062</v>
      </c>
      <c r="I580" s="4">
        <v>78.603471732663436</v>
      </c>
      <c r="J580" s="4">
        <v>85.598708943910609</v>
      </c>
      <c r="K580" s="4">
        <v>93.159414476034286</v>
      </c>
      <c r="L580" s="4">
        <v>101.20161812234393</v>
      </c>
      <c r="M580" s="4">
        <v>109.70194663904606</v>
      </c>
      <c r="N580" s="4">
        <v>118.74423168124592</v>
      </c>
      <c r="O580" s="11">
        <f t="shared" si="8"/>
        <v>6.6639038496743339E-2</v>
      </c>
      <c r="P580"/>
      <c r="Q580" s="11"/>
    </row>
    <row r="581" spans="1:17" x14ac:dyDescent="0.35">
      <c r="A581" s="3" t="s">
        <v>89</v>
      </c>
      <c r="B581" s="4">
        <v>14.655137291575899</v>
      </c>
      <c r="C581" s="4">
        <v>15.782273175181528</v>
      </c>
      <c r="D581" s="4">
        <v>17.023996911100785</v>
      </c>
      <c r="E581" s="4">
        <v>18.370518877839178</v>
      </c>
      <c r="F581" s="4">
        <v>19.792892529343796</v>
      </c>
      <c r="G581" s="4">
        <v>21.314855760590969</v>
      </c>
      <c r="H581" s="4">
        <v>22.955937288856607</v>
      </c>
      <c r="I581" s="4">
        <v>24.756438467491297</v>
      </c>
      <c r="J581" s="4">
        <v>26.735813870166634</v>
      </c>
      <c r="K581" s="4">
        <v>28.905144666990118</v>
      </c>
      <c r="L581" s="4">
        <v>31.23910117460353</v>
      </c>
      <c r="M581" s="4">
        <v>33.712107075696203</v>
      </c>
      <c r="N581" s="4">
        <v>36.353932274009637</v>
      </c>
      <c r="O581" s="11">
        <f t="shared" si="8"/>
        <v>6.1116876341962743E-2</v>
      </c>
      <c r="P581"/>
      <c r="Q581" s="11"/>
    </row>
    <row r="582" spans="1:17" x14ac:dyDescent="0.35">
      <c r="A582" s="3" t="s">
        <v>90</v>
      </c>
      <c r="B582" s="4">
        <v>28.384439020347163</v>
      </c>
      <c r="C582" s="4">
        <v>30.174280957775025</v>
      </c>
      <c r="D582" s="4">
        <v>32.127275701829454</v>
      </c>
      <c r="E582" s="4">
        <v>34.260221186614395</v>
      </c>
      <c r="F582" s="4">
        <v>36.603294403580996</v>
      </c>
      <c r="G582" s="4">
        <v>39.204220324370361</v>
      </c>
      <c r="H582" s="4">
        <v>42.08143715248039</v>
      </c>
      <c r="I582" s="4">
        <v>45.253977199558918</v>
      </c>
      <c r="J582" s="4">
        <v>48.680781245369744</v>
      </c>
      <c r="K582" s="4">
        <v>52.334622131428262</v>
      </c>
      <c r="L582" s="4">
        <v>56.158040670646152</v>
      </c>
      <c r="M582" s="4">
        <v>60.129751857974099</v>
      </c>
      <c r="N582" s="4">
        <v>64.288070127811892</v>
      </c>
      <c r="O582" s="11">
        <f t="shared" si="8"/>
        <v>5.6492446584613221E-2</v>
      </c>
      <c r="P582"/>
      <c r="Q582" s="11"/>
    </row>
    <row r="583" spans="1:17" x14ac:dyDescent="0.35">
      <c r="A583" s="2" t="s">
        <v>91</v>
      </c>
      <c r="O583" s="11" t="str">
        <f t="shared" si="8"/>
        <v/>
      </c>
      <c r="P583"/>
      <c r="Q583" s="11"/>
    </row>
    <row r="584" spans="1:17" x14ac:dyDescent="0.35">
      <c r="A584" s="3" t="s">
        <v>92</v>
      </c>
      <c r="B584" s="4">
        <v>82.892633402414475</v>
      </c>
      <c r="C584" s="4">
        <v>89.917291797497469</v>
      </c>
      <c r="D584" s="4">
        <v>97.19761519866384</v>
      </c>
      <c r="E584" s="4">
        <v>104.89715419060906</v>
      </c>
      <c r="F584" s="4">
        <v>113.33464489405077</v>
      </c>
      <c r="G584" s="4">
        <v>122.83762482194061</v>
      </c>
      <c r="H584" s="4">
        <v>133.67102286160028</v>
      </c>
      <c r="I584" s="4">
        <v>145.75193581467286</v>
      </c>
      <c r="J584" s="4">
        <v>158.82123004594041</v>
      </c>
      <c r="K584" s="4">
        <v>172.90290414871077</v>
      </c>
      <c r="L584" s="4">
        <v>188.21693144834333</v>
      </c>
      <c r="M584" s="4">
        <v>205.02334622889825</v>
      </c>
      <c r="N584" s="4">
        <v>223.25810215564985</v>
      </c>
      <c r="O584" s="11">
        <f t="shared" si="8"/>
        <v>6.8638081573275625E-2</v>
      </c>
      <c r="P584"/>
      <c r="Q584" s="11"/>
    </row>
    <row r="585" spans="1:17" x14ac:dyDescent="0.35">
      <c r="A585" s="3" t="s">
        <v>93</v>
      </c>
      <c r="B585" s="4">
        <v>121.49505878054862</v>
      </c>
      <c r="C585" s="4">
        <v>129.78038766117521</v>
      </c>
      <c r="D585" s="4">
        <v>138.45694049510035</v>
      </c>
      <c r="E585" s="4">
        <v>147.69416485026511</v>
      </c>
      <c r="F585" s="4">
        <v>157.80086920654918</v>
      </c>
      <c r="G585" s="4">
        <v>169.11066572171387</v>
      </c>
      <c r="H585" s="4">
        <v>181.83933090257992</v>
      </c>
      <c r="I585" s="4">
        <v>195.93508866575152</v>
      </c>
      <c r="J585" s="4">
        <v>211.10818257123844</v>
      </c>
      <c r="K585" s="4">
        <v>227.31255084927847</v>
      </c>
      <c r="L585" s="4">
        <v>244.57706941741444</v>
      </c>
      <c r="M585" s="4">
        <v>263.01872644621892</v>
      </c>
      <c r="N585" s="4">
        <v>282.64740993922544</v>
      </c>
      <c r="O585" s="11">
        <f t="shared" si="8"/>
        <v>5.8731906045838903E-2</v>
      </c>
      <c r="P585"/>
      <c r="Q585" s="11"/>
    </row>
    <row r="586" spans="1:17" x14ac:dyDescent="0.35">
      <c r="A586" s="2" t="s">
        <v>94</v>
      </c>
      <c r="O586" s="11" t="str">
        <f t="shared" si="8"/>
        <v/>
      </c>
      <c r="P586"/>
      <c r="Q586" s="11"/>
    </row>
    <row r="587" spans="1:17" x14ac:dyDescent="0.35">
      <c r="A587" s="3" t="s">
        <v>48</v>
      </c>
      <c r="B587" s="4">
        <v>16.066947677449441</v>
      </c>
      <c r="C587" s="4">
        <v>17.393976250566432</v>
      </c>
      <c r="D587" s="4">
        <v>18.833797826048571</v>
      </c>
      <c r="E587" s="4">
        <v>20.444310867128742</v>
      </c>
      <c r="F587" s="4">
        <v>22.233112156249195</v>
      </c>
      <c r="G587" s="4">
        <v>24.206253441233919</v>
      </c>
      <c r="H587" s="4">
        <v>26.359383099843061</v>
      </c>
      <c r="I587" s="4">
        <v>28.682064837814153</v>
      </c>
      <c r="J587" s="4">
        <v>31.181457309679512</v>
      </c>
      <c r="K587" s="4">
        <v>33.939717165438601</v>
      </c>
      <c r="L587" s="4">
        <v>36.989857890191878</v>
      </c>
      <c r="M587" s="4">
        <v>40.318315939192395</v>
      </c>
      <c r="N587" s="4">
        <v>43.913208918205505</v>
      </c>
      <c r="O587" s="11">
        <f t="shared" si="8"/>
        <v>6.841713426022937E-2</v>
      </c>
      <c r="P587"/>
      <c r="Q587" s="11"/>
    </row>
    <row r="588" spans="1:17" x14ac:dyDescent="0.35">
      <c r="A588" s="3" t="s">
        <v>95</v>
      </c>
      <c r="B588" s="4">
        <v>11.542170279818199</v>
      </c>
      <c r="C588" s="4">
        <v>12.6790176082737</v>
      </c>
      <c r="D588" s="4">
        <v>13.943687611123936</v>
      </c>
      <c r="E588" s="4">
        <v>15.324044496496739</v>
      </c>
      <c r="F588" s="4">
        <v>16.810401874237197</v>
      </c>
      <c r="G588" s="4">
        <v>18.432523448021115</v>
      </c>
      <c r="H588" s="4">
        <v>20.220388082817987</v>
      </c>
      <c r="I588" s="4">
        <v>22.242328008332283</v>
      </c>
      <c r="J588" s="4">
        <v>24.5387396046319</v>
      </c>
      <c r="K588" s="4">
        <v>27.09064852292445</v>
      </c>
      <c r="L588" s="4">
        <v>29.928261475637179</v>
      </c>
      <c r="M588" s="4">
        <v>33.03317224703212</v>
      </c>
      <c r="N588" s="4">
        <v>36.410652568796586</v>
      </c>
      <c r="O588" s="11">
        <f t="shared" si="8"/>
        <v>7.8572384184171631E-2</v>
      </c>
      <c r="P588"/>
      <c r="Q588" s="11"/>
    </row>
    <row r="589" spans="1:17" x14ac:dyDescent="0.35">
      <c r="A589" s="3" t="s">
        <v>96</v>
      </c>
      <c r="B589" s="4">
        <v>44.57428823381818</v>
      </c>
      <c r="C589" s="4">
        <v>48.319898674682577</v>
      </c>
      <c r="D589" s="4">
        <v>51.577566388954693</v>
      </c>
      <c r="E589" s="4">
        <v>54.734381050105895</v>
      </c>
      <c r="F589" s="4">
        <v>58.565271045729588</v>
      </c>
      <c r="G589" s="4">
        <v>63.594212831562487</v>
      </c>
      <c r="H589" s="4">
        <v>70.042271344166068</v>
      </c>
      <c r="I589" s="4">
        <v>77.41614119698346</v>
      </c>
      <c r="J589" s="4">
        <v>84.974070211726143</v>
      </c>
      <c r="K589" s="4">
        <v>92.598931711834041</v>
      </c>
      <c r="L589" s="4">
        <v>100.74694282390772</v>
      </c>
      <c r="M589" s="4">
        <v>110.05348699115666</v>
      </c>
      <c r="N589" s="4">
        <v>120.28811271381693</v>
      </c>
      <c r="O589" s="11">
        <f t="shared" si="8"/>
        <v>7.3386487717667606E-2</v>
      </c>
      <c r="P589"/>
      <c r="Q589" s="11"/>
    </row>
    <row r="590" spans="1:17" x14ac:dyDescent="0.35">
      <c r="A590" s="3" t="s">
        <v>97</v>
      </c>
      <c r="B590" s="4">
        <v>25.208977732646712</v>
      </c>
      <c r="C590" s="4">
        <v>27.062433775842202</v>
      </c>
      <c r="D590" s="4">
        <v>29.100002297054196</v>
      </c>
      <c r="E590" s="4">
        <v>31.303121021923662</v>
      </c>
      <c r="F590" s="4">
        <v>33.620803748474394</v>
      </c>
      <c r="G590" s="4">
        <v>36.092183258099844</v>
      </c>
      <c r="H590" s="4">
        <v>38.748762814211666</v>
      </c>
      <c r="I590" s="4">
        <v>41.656699989727443</v>
      </c>
      <c r="J590" s="4">
        <v>44.84622775330579</v>
      </c>
      <c r="K590" s="4">
        <v>48.33313520486729</v>
      </c>
      <c r="L590" s="4">
        <v>52.072108410052302</v>
      </c>
      <c r="M590" s="4">
        <v>56.017966927722838</v>
      </c>
      <c r="N590" s="4">
        <v>60.218042984452509</v>
      </c>
      <c r="O590" s="11">
        <f t="shared" si="8"/>
        <v>5.8525922843128408E-2</v>
      </c>
      <c r="P590"/>
      <c r="Q590" s="11"/>
    </row>
    <row r="591" spans="1:17" x14ac:dyDescent="0.35">
      <c r="A591" s="3" t="s">
        <v>98</v>
      </c>
      <c r="B591" s="4">
        <v>45.234061449402908</v>
      </c>
      <c r="C591" s="4">
        <v>48.857433728621622</v>
      </c>
      <c r="D591" s="4">
        <v>52.857415800018117</v>
      </c>
      <c r="E591" s="4">
        <v>57.206927385882771</v>
      </c>
      <c r="F591" s="4">
        <v>61.81889721493679</v>
      </c>
      <c r="G591" s="4">
        <v>66.769758776520334</v>
      </c>
      <c r="H591" s="4">
        <v>72.123657833273057</v>
      </c>
      <c r="I591" s="4">
        <v>78.010753342393684</v>
      </c>
      <c r="J591" s="4">
        <v>84.497041057413583</v>
      </c>
      <c r="K591" s="4">
        <v>91.622813077051632</v>
      </c>
      <c r="L591" s="4">
        <v>99.313400591931583</v>
      </c>
      <c r="M591" s="4">
        <v>107.49244564492258</v>
      </c>
      <c r="N591" s="4">
        <v>116.25914183296717</v>
      </c>
      <c r="O591" s="11">
        <f t="shared" si="8"/>
        <v>6.3557101411836778E-2</v>
      </c>
      <c r="P591"/>
      <c r="Q591" s="11"/>
    </row>
    <row r="592" spans="1:17" x14ac:dyDescent="0.35">
      <c r="A592" s="3" t="s">
        <v>99</v>
      </c>
      <c r="B592" s="4">
        <v>33.73451502304011</v>
      </c>
      <c r="C592" s="4">
        <v>35.720501908031551</v>
      </c>
      <c r="D592" s="4">
        <v>37.894846963268286</v>
      </c>
      <c r="E592" s="4">
        <v>40.188915105799758</v>
      </c>
      <c r="F592" s="4">
        <v>42.568275713794193</v>
      </c>
      <c r="G592" s="4">
        <v>44.974989537213411</v>
      </c>
      <c r="H592" s="4">
        <v>47.532765168319813</v>
      </c>
      <c r="I592" s="4">
        <v>50.331069758357287</v>
      </c>
      <c r="J592" s="4">
        <v>53.461883757170753</v>
      </c>
      <c r="K592" s="4">
        <v>56.930013185839577</v>
      </c>
      <c r="L592" s="4">
        <v>60.642100541162286</v>
      </c>
      <c r="M592" s="4">
        <v>64.515376191412855</v>
      </c>
      <c r="N592" s="4">
        <v>68.551826647585486</v>
      </c>
      <c r="O592" s="11">
        <f t="shared" si="8"/>
        <v>4.7945416027179312E-2</v>
      </c>
      <c r="P592"/>
      <c r="Q592" s="11"/>
    </row>
    <row r="593" spans="1:17" x14ac:dyDescent="0.35">
      <c r="A593" s="3" t="s">
        <v>100</v>
      </c>
      <c r="B593" s="4">
        <v>28.026731786787565</v>
      </c>
      <c r="C593" s="4">
        <v>29.664417512654616</v>
      </c>
      <c r="D593" s="4">
        <v>31.447238807296415</v>
      </c>
      <c r="E593" s="4">
        <v>33.389619113536611</v>
      </c>
      <c r="F593" s="4">
        <v>35.518752347178598</v>
      </c>
      <c r="G593" s="4">
        <v>37.878369251003363</v>
      </c>
      <c r="H593" s="4">
        <v>40.483125421548564</v>
      </c>
      <c r="I593" s="4">
        <v>43.34796734681607</v>
      </c>
      <c r="J593" s="4">
        <v>46.42999292325117</v>
      </c>
      <c r="K593" s="4">
        <v>49.70019613003366</v>
      </c>
      <c r="L593" s="4">
        <v>53.101329132874831</v>
      </c>
      <c r="M593" s="4">
        <v>56.611308733677774</v>
      </c>
      <c r="N593" s="4">
        <v>60.264526429051095</v>
      </c>
      <c r="O593" s="11">
        <f t="shared" si="8"/>
        <v>5.2950197846859906E-2</v>
      </c>
      <c r="P593"/>
      <c r="Q593" s="11"/>
    </row>
    <row r="594" spans="1:17" x14ac:dyDescent="0.35">
      <c r="A594" s="1" t="s">
        <v>20</v>
      </c>
      <c r="O594" s="11" t="str">
        <f t="shared" si="8"/>
        <v/>
      </c>
      <c r="P594"/>
      <c r="Q594" s="11"/>
    </row>
    <row r="595" spans="1:17" x14ac:dyDescent="0.35">
      <c r="A595" s="2" t="s">
        <v>54</v>
      </c>
      <c r="O595" s="11" t="str">
        <f t="shared" si="8"/>
        <v/>
      </c>
      <c r="P595"/>
      <c r="Q595" s="11"/>
    </row>
    <row r="596" spans="1:17" x14ac:dyDescent="0.35">
      <c r="A596" s="3" t="s">
        <v>55</v>
      </c>
      <c r="B596" s="4">
        <v>12.830985837157451</v>
      </c>
      <c r="C596" s="4">
        <v>13.94076505047539</v>
      </c>
      <c r="D596" s="4">
        <v>15.149087162502166</v>
      </c>
      <c r="E596" s="4">
        <v>16.503571387251178</v>
      </c>
      <c r="F596" s="4">
        <v>18.011910602441578</v>
      </c>
      <c r="G596" s="4">
        <v>19.680647403781808</v>
      </c>
      <c r="H596" s="4">
        <v>21.507951108977114</v>
      </c>
      <c r="I596" s="4">
        <v>23.48699158806026</v>
      </c>
      <c r="J596" s="4">
        <v>25.625240978068586</v>
      </c>
      <c r="K596" s="4">
        <v>27.991905355424475</v>
      </c>
      <c r="L596" s="4">
        <v>30.616644478455747</v>
      </c>
      <c r="M596" s="4">
        <v>33.490978531466872</v>
      </c>
      <c r="N596" s="4">
        <v>36.607689349124662</v>
      </c>
      <c r="O596" s="11">
        <f t="shared" si="8"/>
        <v>7.1391271940752815E-2</v>
      </c>
      <c r="P596"/>
      <c r="Q596" s="11"/>
    </row>
    <row r="597" spans="1:17" x14ac:dyDescent="0.35">
      <c r="A597" s="3" t="s">
        <v>56</v>
      </c>
      <c r="B597" s="4">
        <v>34.432134554240633</v>
      </c>
      <c r="C597" s="4">
        <v>36.495924648411425</v>
      </c>
      <c r="D597" s="4">
        <v>38.721647828062174</v>
      </c>
      <c r="E597" s="4">
        <v>41.137963575415249</v>
      </c>
      <c r="F597" s="4">
        <v>43.767259407801973</v>
      </c>
      <c r="G597" s="4">
        <v>46.634423511024671</v>
      </c>
      <c r="H597" s="4">
        <v>49.760475609593492</v>
      </c>
      <c r="I597" s="4">
        <v>53.130790669067224</v>
      </c>
      <c r="J597" s="4">
        <v>56.728494231255503</v>
      </c>
      <c r="K597" s="4">
        <v>60.54374495098056</v>
      </c>
      <c r="L597" s="4">
        <v>64.5654239157587</v>
      </c>
      <c r="M597" s="4">
        <v>68.819658318301464</v>
      </c>
      <c r="N597" s="4">
        <v>73.287451225401412</v>
      </c>
      <c r="O597" s="11">
        <f t="shared" si="8"/>
        <v>5.1510629660394859E-2</v>
      </c>
      <c r="P597"/>
      <c r="Q597" s="11"/>
    </row>
    <row r="598" spans="1:17" x14ac:dyDescent="0.35">
      <c r="A598" s="3" t="s">
        <v>57</v>
      </c>
      <c r="B598" s="4">
        <v>87.062754931609945</v>
      </c>
      <c r="C598" s="4">
        <v>91.4104867296073</v>
      </c>
      <c r="D598" s="4">
        <v>96.071098522794571</v>
      </c>
      <c r="E598" s="4">
        <v>101.10543478495941</v>
      </c>
      <c r="F598" s="4">
        <v>106.5564430966871</v>
      </c>
      <c r="G598" s="4">
        <v>112.47132050164318</v>
      </c>
      <c r="H598" s="4">
        <v>118.88591369332427</v>
      </c>
      <c r="I598" s="4">
        <v>125.74928838999723</v>
      </c>
      <c r="J598" s="4">
        <v>133.00679513411384</v>
      </c>
      <c r="K598" s="4">
        <v>140.62204254395786</v>
      </c>
      <c r="L598" s="4">
        <v>148.55678229435583</v>
      </c>
      <c r="M598" s="4">
        <v>156.85966370071336</v>
      </c>
      <c r="N598" s="4">
        <v>165.4744435874714</v>
      </c>
      <c r="O598" s="11">
        <f t="shared" ref="O598:O648" si="9">IFERROR(RATE(2035-2026,,-G598,N598),"")</f>
        <v>4.3835652313128838E-2</v>
      </c>
      <c r="P598"/>
      <c r="Q598" s="11"/>
    </row>
    <row r="599" spans="1:17" x14ac:dyDescent="0.35">
      <c r="A599" s="2" t="s">
        <v>47</v>
      </c>
      <c r="O599" s="11" t="str">
        <f t="shared" si="9"/>
        <v/>
      </c>
      <c r="P599"/>
      <c r="Q599" s="11"/>
    </row>
    <row r="600" spans="1:17" x14ac:dyDescent="0.35">
      <c r="A600" s="3" t="s">
        <v>82</v>
      </c>
      <c r="B600" s="4">
        <v>47.263120391398083</v>
      </c>
      <c r="C600" s="4">
        <v>50.436689698886816</v>
      </c>
      <c r="D600" s="4">
        <v>53.870734990564344</v>
      </c>
      <c r="E600" s="4">
        <v>57.641534962666427</v>
      </c>
      <c r="F600" s="4">
        <v>61.779170010243547</v>
      </c>
      <c r="G600" s="4">
        <v>66.315070914806483</v>
      </c>
      <c r="H600" s="4">
        <v>71.268426718570609</v>
      </c>
      <c r="I600" s="4">
        <v>76.617782257127487</v>
      </c>
      <c r="J600" s="4">
        <v>82.353735209324086</v>
      </c>
      <c r="K600" s="4">
        <v>88.535650306405032</v>
      </c>
      <c r="L600" s="4">
        <v>95.18206839421444</v>
      </c>
      <c r="M600" s="4">
        <v>102.31063684976834</v>
      </c>
      <c r="N600" s="4">
        <v>109.89514057452607</v>
      </c>
      <c r="O600" s="11">
        <f t="shared" si="9"/>
        <v>5.7728065174140267E-2</v>
      </c>
      <c r="P600"/>
      <c r="Q600" s="11"/>
    </row>
    <row r="601" spans="1:17" x14ac:dyDescent="0.35">
      <c r="A601" s="3" t="s">
        <v>83</v>
      </c>
      <c r="B601" s="4">
        <v>87.062754931609945</v>
      </c>
      <c r="C601" s="4">
        <v>91.4104867296073</v>
      </c>
      <c r="D601" s="4">
        <v>96.071098522794571</v>
      </c>
      <c r="E601" s="4">
        <v>101.10543478495941</v>
      </c>
      <c r="F601" s="4">
        <v>106.5564430966871</v>
      </c>
      <c r="G601" s="4">
        <v>112.47132050164318</v>
      </c>
      <c r="H601" s="4">
        <v>118.88591369332427</v>
      </c>
      <c r="I601" s="4">
        <v>125.74928838999723</v>
      </c>
      <c r="J601" s="4">
        <v>133.00679513411384</v>
      </c>
      <c r="K601" s="4">
        <v>140.62204254395786</v>
      </c>
      <c r="L601" s="4">
        <v>148.55678229435583</v>
      </c>
      <c r="M601" s="4">
        <v>156.85966370071336</v>
      </c>
      <c r="N601" s="4">
        <v>165.4744435874714</v>
      </c>
      <c r="O601" s="11">
        <f t="shared" si="9"/>
        <v>4.3835652313128838E-2</v>
      </c>
      <c r="P601"/>
      <c r="Q601" s="11"/>
    </row>
    <row r="602" spans="1:17" x14ac:dyDescent="0.35">
      <c r="A602" s="2" t="s">
        <v>59</v>
      </c>
      <c r="O602" s="11" t="str">
        <f t="shared" si="9"/>
        <v/>
      </c>
      <c r="P602"/>
      <c r="Q602" s="11"/>
    </row>
    <row r="603" spans="1:17" x14ac:dyDescent="0.35">
      <c r="A603" s="3" t="s">
        <v>60</v>
      </c>
      <c r="O603" s="11" t="str">
        <f t="shared" si="9"/>
        <v/>
      </c>
      <c r="P603"/>
      <c r="Q603" s="11"/>
    </row>
    <row r="604" spans="1:17" x14ac:dyDescent="0.35">
      <c r="A604" s="34" t="s">
        <v>61</v>
      </c>
      <c r="B604" s="4">
        <v>27.787903228212258</v>
      </c>
      <c r="C604" s="4">
        <v>29.29511414243936</v>
      </c>
      <c r="D604" s="4">
        <v>30.812352785988139</v>
      </c>
      <c r="E604" s="4">
        <v>32.563409292687879</v>
      </c>
      <c r="F604" s="4">
        <v>34.719220203304445</v>
      </c>
      <c r="G604" s="4">
        <v>37.357527287029328</v>
      </c>
      <c r="H604" s="4">
        <v>40.331690490563091</v>
      </c>
      <c r="I604" s="4">
        <v>43.376054142100514</v>
      </c>
      <c r="J604" s="4">
        <v>46.303251317157645</v>
      </c>
      <c r="K604" s="4">
        <v>49.100725452875508</v>
      </c>
      <c r="L604" s="4">
        <v>51.951469002482611</v>
      </c>
      <c r="M604" s="4">
        <v>55.103346401066034</v>
      </c>
      <c r="N604" s="4">
        <v>58.404900137708665</v>
      </c>
      <c r="O604" s="11">
        <f t="shared" si="9"/>
        <v>5.0905010319475058E-2</v>
      </c>
      <c r="P604"/>
      <c r="Q604" s="11"/>
    </row>
    <row r="605" spans="1:17" x14ac:dyDescent="0.35">
      <c r="A605" s="43" t="s">
        <v>62</v>
      </c>
      <c r="B605" s="4">
        <v>5.045323167046087</v>
      </c>
      <c r="C605" s="4">
        <v>5.4823862967321153</v>
      </c>
      <c r="D605" s="4">
        <v>5.9630545127624082</v>
      </c>
      <c r="E605" s="4">
        <v>6.4943129749705877</v>
      </c>
      <c r="F605" s="4">
        <v>7.082720921474106</v>
      </c>
      <c r="G605" s="4">
        <v>7.7357393553475209</v>
      </c>
      <c r="H605" s="4">
        <v>8.4607531044225226</v>
      </c>
      <c r="I605" s="4">
        <v>9.2596194230938824</v>
      </c>
      <c r="J605" s="4">
        <v>10.133760562420584</v>
      </c>
      <c r="K605" s="4">
        <v>11.085767042569616</v>
      </c>
      <c r="L605" s="4">
        <v>12.11802351454782</v>
      </c>
      <c r="M605" s="4">
        <v>13.239907240676176</v>
      </c>
      <c r="N605" s="4">
        <v>14.452812146388421</v>
      </c>
      <c r="O605" s="11">
        <f t="shared" si="9"/>
        <v>7.1917027891004848E-2</v>
      </c>
      <c r="P605"/>
      <c r="Q605" s="11"/>
    </row>
    <row r="606" spans="1:17" x14ac:dyDescent="0.35">
      <c r="A606" s="43" t="s">
        <v>63</v>
      </c>
      <c r="B606" s="4">
        <v>9.2181190972763574</v>
      </c>
      <c r="C606" s="4">
        <v>9.8084699569281906</v>
      </c>
      <c r="D606" s="4">
        <v>10.399580049563539</v>
      </c>
      <c r="E606" s="4">
        <v>11.008097839366318</v>
      </c>
      <c r="F606" s="4">
        <v>11.665657988310297</v>
      </c>
      <c r="G606" s="4">
        <v>12.402312018386537</v>
      </c>
      <c r="H606" s="4">
        <v>13.239359104267299</v>
      </c>
      <c r="I606" s="4">
        <v>14.161829065478411</v>
      </c>
      <c r="J606" s="4">
        <v>15.138520102935344</v>
      </c>
      <c r="K606" s="4">
        <v>16.167365071808433</v>
      </c>
      <c r="L606" s="4">
        <v>17.264619562151172</v>
      </c>
      <c r="M606" s="4">
        <v>18.448820021636234</v>
      </c>
      <c r="N606" s="4">
        <v>19.707735788796349</v>
      </c>
      <c r="O606" s="11">
        <f t="shared" si="9"/>
        <v>5.2805708024878432E-2</v>
      </c>
      <c r="P606"/>
      <c r="Q606" s="11"/>
    </row>
    <row r="607" spans="1:17" x14ac:dyDescent="0.35">
      <c r="A607" s="43" t="s">
        <v>64</v>
      </c>
      <c r="B607" s="4">
        <v>13.524460963889814</v>
      </c>
      <c r="C607" s="4">
        <v>14.004257888779055</v>
      </c>
      <c r="D607" s="4">
        <v>14.449718223662192</v>
      </c>
      <c r="E607" s="4">
        <v>15.060998478350974</v>
      </c>
      <c r="F607" s="4">
        <v>15.970841293520042</v>
      </c>
      <c r="G607" s="4">
        <v>17.21947591329527</v>
      </c>
      <c r="H607" s="4">
        <v>18.631578281873267</v>
      </c>
      <c r="I607" s="4">
        <v>19.954605653528219</v>
      </c>
      <c r="J607" s="4">
        <v>21.030970651801717</v>
      </c>
      <c r="K607" s="4">
        <v>21.847593338497461</v>
      </c>
      <c r="L607" s="4">
        <v>22.568825925783621</v>
      </c>
      <c r="M607" s="4">
        <v>23.414619138753622</v>
      </c>
      <c r="N607" s="4">
        <v>24.244352202523899</v>
      </c>
      <c r="O607" s="11">
        <f t="shared" si="9"/>
        <v>3.8747694316563969E-2</v>
      </c>
      <c r="P607"/>
      <c r="Q607" s="11"/>
    </row>
    <row r="608" spans="1:17" x14ac:dyDescent="0.35">
      <c r="A608" s="34" t="s">
        <v>65</v>
      </c>
      <c r="B608" s="4">
        <v>24.586608967318764</v>
      </c>
      <c r="C608" s="4">
        <v>25.993170062523106</v>
      </c>
      <c r="D608" s="4">
        <v>27.532184638204065</v>
      </c>
      <c r="E608" s="4">
        <v>29.153144443081917</v>
      </c>
      <c r="F608" s="4">
        <v>30.830667540534346</v>
      </c>
      <c r="G608" s="4">
        <v>32.522503147765569</v>
      </c>
      <c r="H608" s="4">
        <v>34.318019217912635</v>
      </c>
      <c r="I608" s="4">
        <v>36.281298934955082</v>
      </c>
      <c r="J608" s="4">
        <v>38.477832449179807</v>
      </c>
      <c r="K608" s="4">
        <v>40.909955510652836</v>
      </c>
      <c r="L608" s="4">
        <v>43.509445884180195</v>
      </c>
      <c r="M608" s="4">
        <v>46.216099843851445</v>
      </c>
      <c r="N608" s="4">
        <v>49.030802077117407</v>
      </c>
      <c r="O608" s="11">
        <f t="shared" si="9"/>
        <v>4.6669208777130197E-2</v>
      </c>
      <c r="P608"/>
      <c r="Q608" s="11"/>
    </row>
    <row r="609" spans="1:17" x14ac:dyDescent="0.35">
      <c r="A609" s="34" t="s">
        <v>66</v>
      </c>
      <c r="B609" s="4">
        <v>15.305555435330849</v>
      </c>
      <c r="C609" s="4">
        <v>15.972202067500598</v>
      </c>
      <c r="D609" s="4">
        <v>16.694505403934574</v>
      </c>
      <c r="E609" s="4">
        <v>17.47729729804864</v>
      </c>
      <c r="F609" s="4">
        <v>18.331748267344746</v>
      </c>
      <c r="G609" s="4">
        <v>19.276857317453214</v>
      </c>
      <c r="H609" s="4">
        <v>20.315671611323111</v>
      </c>
      <c r="I609" s="4">
        <v>21.451098112898755</v>
      </c>
      <c r="J609" s="4">
        <v>22.65713305195289</v>
      </c>
      <c r="K609" s="4">
        <v>23.915869567350565</v>
      </c>
      <c r="L609" s="4">
        <v>25.19670453343775</v>
      </c>
      <c r="M609" s="4">
        <v>26.487343407275148</v>
      </c>
      <c r="N609" s="4">
        <v>27.802558124472551</v>
      </c>
      <c r="O609" s="11">
        <f t="shared" si="9"/>
        <v>4.1530658296315554E-2</v>
      </c>
      <c r="P609"/>
      <c r="Q609" s="11"/>
    </row>
    <row r="610" spans="1:17" x14ac:dyDescent="0.35">
      <c r="A610" s="34" t="s">
        <v>67</v>
      </c>
      <c r="B610" s="4">
        <v>10.059418083436039</v>
      </c>
      <c r="C610" s="4">
        <v>10.490486755080417</v>
      </c>
      <c r="D610" s="4">
        <v>10.96100866156578</v>
      </c>
      <c r="E610" s="4">
        <v>11.448980863418209</v>
      </c>
      <c r="F610" s="4">
        <v>11.943411749936729</v>
      </c>
      <c r="G610" s="4">
        <v>12.427345823384517</v>
      </c>
      <c r="H610" s="4">
        <v>12.93503082853916</v>
      </c>
      <c r="I610" s="4">
        <v>13.489325968744017</v>
      </c>
      <c r="J610" s="4">
        <v>14.112338321283096</v>
      </c>
      <c r="K610" s="4">
        <v>14.801757763270816</v>
      </c>
      <c r="L610" s="4">
        <v>15.529790813602743</v>
      </c>
      <c r="M610" s="4">
        <v>16.272926204501321</v>
      </c>
      <c r="N610" s="4">
        <v>17.030380355218853</v>
      </c>
      <c r="O610" s="11">
        <f t="shared" si="9"/>
        <v>3.5631155455073345E-2</v>
      </c>
      <c r="P610"/>
      <c r="Q610" s="11"/>
    </row>
    <row r="611" spans="1:17" x14ac:dyDescent="0.35">
      <c r="A611" s="34" t="s">
        <v>68</v>
      </c>
      <c r="B611" s="4">
        <v>16.239106622213015</v>
      </c>
      <c r="C611" s="4">
        <v>17.406430667162354</v>
      </c>
      <c r="D611" s="4">
        <v>18.688436289300451</v>
      </c>
      <c r="E611" s="4">
        <v>20.072658967722582</v>
      </c>
      <c r="F611" s="4">
        <v>21.525916526048757</v>
      </c>
      <c r="G611" s="4">
        <v>23.072926308305327</v>
      </c>
      <c r="H611" s="4">
        <v>24.733375529258581</v>
      </c>
      <c r="I611" s="4">
        <v>26.54894875475448</v>
      </c>
      <c r="J611" s="4">
        <v>28.538177735224142</v>
      </c>
      <c r="K611" s="4">
        <v>30.710286633191981</v>
      </c>
      <c r="L611" s="4">
        <v>33.035615723901941</v>
      </c>
      <c r="M611" s="4">
        <v>35.484766567017672</v>
      </c>
      <c r="N611" s="4">
        <v>38.087118814500293</v>
      </c>
      <c r="O611" s="11">
        <f t="shared" si="9"/>
        <v>5.7270610813079111E-2</v>
      </c>
      <c r="P611"/>
      <c r="Q611" s="11"/>
    </row>
    <row r="612" spans="1:17" x14ac:dyDescent="0.35">
      <c r="A612" s="34" t="s">
        <v>69</v>
      </c>
      <c r="B612" s="4">
        <v>18.51173762324262</v>
      </c>
      <c r="C612" s="4">
        <v>19.202530147644275</v>
      </c>
      <c r="D612" s="4">
        <v>19.953045882442652</v>
      </c>
      <c r="E612" s="4">
        <v>20.741218175096286</v>
      </c>
      <c r="F612" s="4">
        <v>21.525916526048757</v>
      </c>
      <c r="G612" s="4">
        <v>22.328838802824617</v>
      </c>
      <c r="H612" s="4">
        <v>23.163897407719094</v>
      </c>
      <c r="I612" s="4">
        <v>24.06355415756574</v>
      </c>
      <c r="J612" s="4">
        <v>25.034754200211733</v>
      </c>
      <c r="K612" s="4">
        <v>26.074831477031214</v>
      </c>
      <c r="L612" s="4">
        <v>27.14784193456709</v>
      </c>
      <c r="M612" s="4">
        <v>28.222071880272175</v>
      </c>
      <c r="N612" s="4">
        <v>29.316244810491387</v>
      </c>
      <c r="O612" s="11">
        <f t="shared" si="9"/>
        <v>3.0713637670737946E-2</v>
      </c>
      <c r="P612"/>
      <c r="Q612" s="11"/>
    </row>
    <row r="613" spans="1:17" x14ac:dyDescent="0.35">
      <c r="A613" s="3" t="s">
        <v>70</v>
      </c>
      <c r="O613" s="11" t="str">
        <f t="shared" si="9"/>
        <v/>
      </c>
      <c r="P613"/>
      <c r="Q613" s="11"/>
    </row>
    <row r="614" spans="1:17" x14ac:dyDescent="0.35">
      <c r="A614" s="34" t="s">
        <v>71</v>
      </c>
      <c r="B614" s="4">
        <v>3.0572414239055816</v>
      </c>
      <c r="C614" s="4">
        <v>3.3383511446127376</v>
      </c>
      <c r="D614" s="4">
        <v>3.6459205850154608</v>
      </c>
      <c r="E614" s="4">
        <v>3.9917980463649894</v>
      </c>
      <c r="F614" s="4">
        <v>4.3784092969112667</v>
      </c>
      <c r="G614" s="4">
        <v>4.80794432118347</v>
      </c>
      <c r="H614" s="4">
        <v>5.2805865628549755</v>
      </c>
      <c r="I614" s="4">
        <v>5.795290907847968</v>
      </c>
      <c r="J614" s="4">
        <v>6.3545157353116846</v>
      </c>
      <c r="K614" s="4">
        <v>6.9760728762713278</v>
      </c>
      <c r="L614" s="4">
        <v>7.6682700820976377</v>
      </c>
      <c r="M614" s="4">
        <v>8.430021534443533</v>
      </c>
      <c r="N614" s="4">
        <v>9.2605295072321869</v>
      </c>
      <c r="O614" s="11">
        <f t="shared" si="9"/>
        <v>7.5550261080186878E-2</v>
      </c>
      <c r="P614"/>
      <c r="Q614" s="11"/>
    </row>
    <row r="615" spans="1:17" x14ac:dyDescent="0.35">
      <c r="A615" s="34" t="s">
        <v>72</v>
      </c>
      <c r="B615" s="4">
        <v>2.3474956195217418</v>
      </c>
      <c r="C615" s="4">
        <v>2.5984980986163571</v>
      </c>
      <c r="D615" s="4">
        <v>2.8815356408199033</v>
      </c>
      <c r="E615" s="4">
        <v>3.1944421146356619</v>
      </c>
      <c r="F615" s="4">
        <v>3.5370679026028267</v>
      </c>
      <c r="G615" s="4">
        <v>3.907010471088856</v>
      </c>
      <c r="H615" s="4">
        <v>4.3169477362137068</v>
      </c>
      <c r="I615" s="4">
        <v>4.7785309549003019</v>
      </c>
      <c r="J615" s="4">
        <v>5.3053967095253265</v>
      </c>
      <c r="K615" s="4">
        <v>5.9045007454129053</v>
      </c>
      <c r="L615" s="4">
        <v>6.5732258807799981</v>
      </c>
      <c r="M615" s="4">
        <v>7.3089244150685575</v>
      </c>
      <c r="N615" s="4">
        <v>8.1174241761062724</v>
      </c>
      <c r="O615" s="11">
        <f t="shared" si="9"/>
        <v>8.4640864783726635E-2</v>
      </c>
      <c r="P615"/>
      <c r="Q615" s="11"/>
    </row>
    <row r="616" spans="1:17" x14ac:dyDescent="0.35">
      <c r="A616" s="34" t="s">
        <v>73</v>
      </c>
      <c r="B616" s="4">
        <v>2.1933860327511652</v>
      </c>
      <c r="C616" s="4">
        <v>2.3374560596266729</v>
      </c>
      <c r="D616" s="4">
        <v>2.4914176817482825</v>
      </c>
      <c r="E616" s="4">
        <v>2.6623339358747109</v>
      </c>
      <c r="F616" s="4">
        <v>2.8502586011265501</v>
      </c>
      <c r="G616" s="4">
        <v>3.0550155263248531</v>
      </c>
      <c r="H616" s="4">
        <v>3.2750972086531607</v>
      </c>
      <c r="I616" s="4">
        <v>3.5083040637212886</v>
      </c>
      <c r="J616" s="4">
        <v>3.7546973504327115</v>
      </c>
      <c r="K616" s="4">
        <v>4.023340263044763</v>
      </c>
      <c r="L616" s="4">
        <v>4.3168812031523141</v>
      </c>
      <c r="M616" s="4">
        <v>4.6323292700987881</v>
      </c>
      <c r="N616" s="4">
        <v>4.9670286128227943</v>
      </c>
      <c r="O616" s="11">
        <f t="shared" si="9"/>
        <v>5.5488955664595954E-2</v>
      </c>
      <c r="P616"/>
      <c r="Q616" s="11"/>
    </row>
    <row r="617" spans="1:17" x14ac:dyDescent="0.35">
      <c r="A617" s="34" t="s">
        <v>74</v>
      </c>
      <c r="B617" s="4">
        <v>2.6173615005777835</v>
      </c>
      <c r="C617" s="4">
        <v>2.8193940571448808</v>
      </c>
      <c r="D617" s="4">
        <v>3.0426601730888647</v>
      </c>
      <c r="E617" s="4">
        <v>3.2825923781190229</v>
      </c>
      <c r="F617" s="4">
        <v>3.5370679026028267</v>
      </c>
      <c r="G617" s="4">
        <v>3.8018388835329806</v>
      </c>
      <c r="H617" s="4">
        <v>4.0876968575579236</v>
      </c>
      <c r="I617" s="4">
        <v>4.4032237140587975</v>
      </c>
      <c r="J617" s="4">
        <v>4.7577833108035881</v>
      </c>
      <c r="K617" s="4">
        <v>5.1535804365884541</v>
      </c>
      <c r="L617" s="4">
        <v>5.5840215468389376</v>
      </c>
      <c r="M617" s="4">
        <v>6.042968911902542</v>
      </c>
      <c r="N617" s="4">
        <v>6.5317486671343117</v>
      </c>
      <c r="O617" s="11">
        <f t="shared" si="9"/>
        <v>6.1976934251597324E-2</v>
      </c>
      <c r="P617"/>
      <c r="Q617" s="11"/>
    </row>
    <row r="618" spans="1:17" x14ac:dyDescent="0.35">
      <c r="A618" s="34" t="s">
        <v>75</v>
      </c>
      <c r="B618" s="4">
        <v>2.0676850488427085</v>
      </c>
      <c r="C618" s="4">
        <v>2.2396783926180004</v>
      </c>
      <c r="D618" s="4">
        <v>2.4263890139432718</v>
      </c>
      <c r="E618" s="4">
        <v>2.6353005248113024</v>
      </c>
      <c r="F618" s="4">
        <v>2.8674288336634568</v>
      </c>
      <c r="G618" s="4">
        <v>3.1235927937122243</v>
      </c>
      <c r="H618" s="4">
        <v>3.4032705985670524</v>
      </c>
      <c r="I618" s="4">
        <v>3.7051537649800719</v>
      </c>
      <c r="J618" s="4">
        <v>4.0302039546591475</v>
      </c>
      <c r="K618" s="4">
        <v>4.3890784582348159</v>
      </c>
      <c r="L618" s="4">
        <v>4.7861024859702948</v>
      </c>
      <c r="M618" s="4">
        <v>5.2195840613326903</v>
      </c>
      <c r="N618" s="4">
        <v>5.6880452697575867</v>
      </c>
      <c r="O618" s="11">
        <f t="shared" si="9"/>
        <v>6.886579988622353E-2</v>
      </c>
      <c r="P618"/>
      <c r="Q618" s="11"/>
    </row>
    <row r="619" spans="1:17" x14ac:dyDescent="0.35">
      <c r="A619" s="3" t="s">
        <v>76</v>
      </c>
      <c r="O619" s="11" t="str">
        <f t="shared" si="9"/>
        <v/>
      </c>
      <c r="P619"/>
      <c r="Q619" s="11"/>
    </row>
    <row r="620" spans="1:17" x14ac:dyDescent="0.35">
      <c r="A620" s="34" t="s">
        <v>77</v>
      </c>
      <c r="B620" s="4">
        <v>2.6805089643682041</v>
      </c>
      <c r="C620" s="4">
        <v>2.8706522395060858</v>
      </c>
      <c r="D620" s="4">
        <v>3.0800247296507033</v>
      </c>
      <c r="E620" s="4">
        <v>3.3036412346005037</v>
      </c>
      <c r="F620" s="4">
        <v>3.5390879299601101</v>
      </c>
      <c r="G620" s="4">
        <v>3.7818770715634531</v>
      </c>
      <c r="H620" s="4">
        <v>4.0425827028672154</v>
      </c>
      <c r="I620" s="4">
        <v>4.3293453756867395</v>
      </c>
      <c r="J620" s="4">
        <v>4.6508808567057995</v>
      </c>
      <c r="K620" s="4">
        <v>5.0086987555046703</v>
      </c>
      <c r="L620" s="4">
        <v>5.3957151237127707</v>
      </c>
      <c r="M620" s="4">
        <v>5.8054415128890353</v>
      </c>
      <c r="N620" s="4">
        <v>6.2387025254548307</v>
      </c>
      <c r="O620" s="11">
        <f t="shared" si="9"/>
        <v>5.7192556435854143E-2</v>
      </c>
      <c r="P620"/>
      <c r="Q620" s="11"/>
    </row>
    <row r="621" spans="1:17" x14ac:dyDescent="0.35">
      <c r="A621" s="34" t="s">
        <v>78</v>
      </c>
      <c r="B621" s="4">
        <v>2.6138427554315187</v>
      </c>
      <c r="C621" s="4">
        <v>2.7416379183033137</v>
      </c>
      <c r="D621" s="4">
        <v>2.8802505978802087</v>
      </c>
      <c r="E621" s="4">
        <v>3.0306717229897147</v>
      </c>
      <c r="F621" s="4">
        <v>3.1950099367695435</v>
      </c>
      <c r="G621" s="4">
        <v>3.3767794188369855</v>
      </c>
      <c r="H621" s="4">
        <v>3.5767692240407847</v>
      </c>
      <c r="I621" s="4">
        <v>3.7957569665190563</v>
      </c>
      <c r="J621" s="4">
        <v>4.0294174887141683</v>
      </c>
      <c r="K621" s="4">
        <v>4.2747754879487569</v>
      </c>
      <c r="L621" s="4">
        <v>4.5265241969168475</v>
      </c>
      <c r="M621" s="4">
        <v>4.7825369204339552</v>
      </c>
      <c r="N621" s="4">
        <v>5.0455299597878156</v>
      </c>
      <c r="O621" s="11">
        <f t="shared" si="9"/>
        <v>4.5630476696130552E-2</v>
      </c>
      <c r="P621"/>
      <c r="Q621" s="11"/>
    </row>
    <row r="622" spans="1:17" x14ac:dyDescent="0.35">
      <c r="A622" s="34" t="s">
        <v>79</v>
      </c>
      <c r="B622" s="4">
        <v>1.5314665575179858</v>
      </c>
      <c r="C622" s="4">
        <v>1.6726806717496026</v>
      </c>
      <c r="D622" s="4">
        <v>1.8302612779268381</v>
      </c>
      <c r="E622" s="4">
        <v>2.0020772172177947</v>
      </c>
      <c r="F622" s="4">
        <v>2.1873529567114565</v>
      </c>
      <c r="G622" s="4">
        <v>2.383941497094324</v>
      </c>
      <c r="H622" s="4">
        <v>2.5989930970915003</v>
      </c>
      <c r="I622" s="4">
        <v>2.8386421487134141</v>
      </c>
      <c r="J622" s="4">
        <v>3.109851001654977</v>
      </c>
      <c r="K622" s="4">
        <v>3.4152645604051237</v>
      </c>
      <c r="L622" s="4">
        <v>3.7518107242613037</v>
      </c>
      <c r="M622" s="4">
        <v>4.1165183234714151</v>
      </c>
      <c r="N622" s="4">
        <v>4.511305056766342</v>
      </c>
      <c r="O622" s="11">
        <f t="shared" si="9"/>
        <v>7.3441821109459474E-2</v>
      </c>
      <c r="P622"/>
      <c r="Q622" s="11"/>
    </row>
    <row r="623" spans="1:17" x14ac:dyDescent="0.35">
      <c r="A623" s="34" t="s">
        <v>80</v>
      </c>
      <c r="B623" s="4">
        <v>1.2650584679040291</v>
      </c>
      <c r="C623" s="4">
        <v>1.3202496550252028</v>
      </c>
      <c r="D623" s="4">
        <v>1.3792318077528163</v>
      </c>
      <c r="E623" s="4">
        <v>1.4428028998539053</v>
      </c>
      <c r="F623" s="4">
        <v>1.5114854700871303</v>
      </c>
      <c r="G623" s="4">
        <v>1.5858487551288654</v>
      </c>
      <c r="H623" s="4">
        <v>1.6662871566689259</v>
      </c>
      <c r="I623" s="4">
        <v>1.7519680382291936</v>
      </c>
      <c r="J623" s="4">
        <v>1.8420254516125676</v>
      </c>
      <c r="K623" s="4">
        <v>1.9358656830830481</v>
      </c>
      <c r="L623" s="4">
        <v>2.0328825127361863</v>
      </c>
      <c r="M623" s="4">
        <v>2.133672342757758</v>
      </c>
      <c r="N623" s="4">
        <v>2.2373896724222675</v>
      </c>
      <c r="O623" s="11">
        <f t="shared" si="9"/>
        <v>3.8984033726952833E-2</v>
      </c>
      <c r="P623"/>
      <c r="Q623" s="11"/>
    </row>
    <row r="624" spans="1:17" x14ac:dyDescent="0.35">
      <c r="A624" s="34" t="s">
        <v>81</v>
      </c>
      <c r="B624" s="4">
        <v>1.461498992433772</v>
      </c>
      <c r="C624" s="4">
        <v>1.5486443489411739</v>
      </c>
      <c r="D624" s="4">
        <v>1.6426083440969061</v>
      </c>
      <c r="E624" s="4">
        <v>1.7446006331027231</v>
      </c>
      <c r="F624" s="4">
        <v>1.8555634632776965</v>
      </c>
      <c r="G624" s="4">
        <v>1.9765439912210505</v>
      </c>
      <c r="H624" s="4">
        <v>2.1084241820639686</v>
      </c>
      <c r="I624" s="4">
        <v>2.250574641449298</v>
      </c>
      <c r="J624" s="4">
        <v>2.4022714090086295</v>
      </c>
      <c r="K624" s="4">
        <v>2.5630891794960893</v>
      </c>
      <c r="L624" s="4">
        <v>2.732549039931659</v>
      </c>
      <c r="M624" s="4">
        <v>2.9117489540996138</v>
      </c>
      <c r="N624" s="4">
        <v>3.0998763950039141</v>
      </c>
      <c r="O624" s="11">
        <f t="shared" si="9"/>
        <v>5.1272542164230966E-2</v>
      </c>
      <c r="P624"/>
      <c r="Q624" s="11"/>
    </row>
    <row r="625" spans="1:17" x14ac:dyDescent="0.35">
      <c r="A625" s="2" t="s">
        <v>84</v>
      </c>
      <c r="O625" s="11" t="str">
        <f t="shared" si="9"/>
        <v/>
      </c>
      <c r="P625"/>
      <c r="Q625" s="11"/>
    </row>
    <row r="626" spans="1:17" x14ac:dyDescent="0.35">
      <c r="A626" s="3" t="s">
        <v>85</v>
      </c>
      <c r="B626" s="4">
        <v>8.923427492628246</v>
      </c>
      <c r="C626" s="4">
        <v>9.2191619288897861</v>
      </c>
      <c r="D626" s="4">
        <v>9.5400626735758109</v>
      </c>
      <c r="E626" s="4">
        <v>9.8880334412781092</v>
      </c>
      <c r="F626" s="4">
        <v>10.26847239952277</v>
      </c>
      <c r="G626" s="4">
        <v>10.69093121938676</v>
      </c>
      <c r="H626" s="4">
        <v>11.155716071717647</v>
      </c>
      <c r="I626" s="4">
        <v>11.663018730596894</v>
      </c>
      <c r="J626" s="4">
        <v>12.197278490296792</v>
      </c>
      <c r="K626" s="4">
        <v>12.747880111131222</v>
      </c>
      <c r="L626" s="4">
        <v>13.297840872376073</v>
      </c>
      <c r="M626" s="4">
        <v>13.840499388095024</v>
      </c>
      <c r="N626" s="4">
        <v>14.383599885170058</v>
      </c>
      <c r="O626" s="11">
        <f t="shared" si="9"/>
        <v>3.3515264554178886E-2</v>
      </c>
      <c r="P626"/>
      <c r="Q626" s="11"/>
    </row>
    <row r="627" spans="1:17" x14ac:dyDescent="0.35">
      <c r="A627" s="3" t="s">
        <v>86</v>
      </c>
      <c r="B627" s="4">
        <v>24.969000539123375</v>
      </c>
      <c r="C627" s="4">
        <v>26.105750954706902</v>
      </c>
      <c r="D627" s="4">
        <v>27.34040205141126</v>
      </c>
      <c r="E627" s="4">
        <v>28.644849822454084</v>
      </c>
      <c r="F627" s="4">
        <v>29.963739133033656</v>
      </c>
      <c r="G627" s="4">
        <v>31.327396923518776</v>
      </c>
      <c r="H627" s="4">
        <v>32.756183676189735</v>
      </c>
      <c r="I627" s="4">
        <v>34.297321336394099</v>
      </c>
      <c r="J627" s="4">
        <v>35.963135378493789</v>
      </c>
      <c r="K627" s="4">
        <v>37.752493554664959</v>
      </c>
      <c r="L627" s="4">
        <v>39.61600202935972</v>
      </c>
      <c r="M627" s="4">
        <v>41.508840099109342</v>
      </c>
      <c r="N627" s="4">
        <v>43.458930452193535</v>
      </c>
      <c r="O627" s="11">
        <f t="shared" si="9"/>
        <v>3.7038713729955298E-2</v>
      </c>
      <c r="P627"/>
      <c r="Q627" s="11"/>
    </row>
    <row r="628" spans="1:17" x14ac:dyDescent="0.35">
      <c r="A628" s="3" t="s">
        <v>87</v>
      </c>
      <c r="B628" s="4">
        <v>44.910056579559139</v>
      </c>
      <c r="C628" s="4">
        <v>47.709262496714317</v>
      </c>
      <c r="D628" s="4">
        <v>50.721483091571017</v>
      </c>
      <c r="E628" s="4">
        <v>54.182171486352814</v>
      </c>
      <c r="F628" s="4">
        <v>58.244122134997994</v>
      </c>
      <c r="G628" s="4">
        <v>62.895989581352765</v>
      </c>
      <c r="H628" s="4">
        <v>68.047714237186241</v>
      </c>
      <c r="I628" s="4">
        <v>73.432262026178876</v>
      </c>
      <c r="J628" s="4">
        <v>78.929639716324886</v>
      </c>
      <c r="K628" s="4">
        <v>84.657854428823896</v>
      </c>
      <c r="L628" s="4">
        <v>90.674837012268</v>
      </c>
      <c r="M628" s="4">
        <v>97.197691638549884</v>
      </c>
      <c r="N628" s="4">
        <v>104.14424288575759</v>
      </c>
      <c r="O628" s="11">
        <f t="shared" si="9"/>
        <v>5.7632289610841034E-2</v>
      </c>
      <c r="P628"/>
      <c r="Q628" s="11"/>
    </row>
    <row r="629" spans="1:17" x14ac:dyDescent="0.35">
      <c r="A629" s="3" t="s">
        <v>88</v>
      </c>
      <c r="B629" s="4">
        <v>29.625750049100308</v>
      </c>
      <c r="C629" s="4">
        <v>31.535362079125751</v>
      </c>
      <c r="D629" s="4">
        <v>33.607482789625735</v>
      </c>
      <c r="E629" s="4">
        <v>35.790552476273511</v>
      </c>
      <c r="F629" s="4">
        <v>38.043848562166332</v>
      </c>
      <c r="G629" s="4">
        <v>40.419985391421044</v>
      </c>
      <c r="H629" s="4">
        <v>42.964740601185184</v>
      </c>
      <c r="I629" s="4">
        <v>45.798602338989788</v>
      </c>
      <c r="J629" s="4">
        <v>48.968224950074692</v>
      </c>
      <c r="K629" s="4">
        <v>52.393936482960967</v>
      </c>
      <c r="L629" s="4">
        <v>56.098598867573337</v>
      </c>
      <c r="M629" s="4">
        <v>60.00911135015685</v>
      </c>
      <c r="N629" s="4">
        <v>64.102203567067974</v>
      </c>
      <c r="O629" s="11">
        <f t="shared" si="9"/>
        <v>5.2574824958492555E-2</v>
      </c>
      <c r="P629"/>
      <c r="Q629" s="11"/>
    </row>
    <row r="630" spans="1:17" x14ac:dyDescent="0.35">
      <c r="A630" s="3" t="s">
        <v>89</v>
      </c>
      <c r="B630" s="4">
        <v>8.7591665603520656</v>
      </c>
      <c r="C630" s="4">
        <v>9.254186451623287</v>
      </c>
      <c r="D630" s="4">
        <v>9.7422274892844225</v>
      </c>
      <c r="E630" s="4">
        <v>10.238942200009706</v>
      </c>
      <c r="F630" s="4">
        <v>10.773479238843562</v>
      </c>
      <c r="G630" s="4">
        <v>11.372692486228537</v>
      </c>
      <c r="H630" s="4">
        <v>12.05463629328645</v>
      </c>
      <c r="I630" s="4">
        <v>12.803812473251373</v>
      </c>
      <c r="J630" s="4">
        <v>13.590459530623434</v>
      </c>
      <c r="K630" s="4">
        <v>14.411786881926233</v>
      </c>
      <c r="L630" s="4">
        <v>15.281401805453767</v>
      </c>
      <c r="M630" s="4">
        <v>16.214533480723873</v>
      </c>
      <c r="N630" s="4">
        <v>17.198923253090925</v>
      </c>
      <c r="O630" s="11">
        <f t="shared" si="9"/>
        <v>4.7031562569327161E-2</v>
      </c>
      <c r="P630"/>
      <c r="Q630" s="11"/>
    </row>
    <row r="631" spans="1:17" x14ac:dyDescent="0.35">
      <c r="A631" s="3" t="s">
        <v>90</v>
      </c>
      <c r="B631" s="4">
        <v>17.138474102244899</v>
      </c>
      <c r="C631" s="4">
        <v>18.023452517434077</v>
      </c>
      <c r="D631" s="4">
        <v>18.990175417890665</v>
      </c>
      <c r="E631" s="4">
        <v>20.002420321257606</v>
      </c>
      <c r="F631" s="4">
        <v>21.041951638366331</v>
      </c>
      <c r="G631" s="4">
        <v>22.079395814541765</v>
      </c>
      <c r="H631" s="4">
        <v>23.175349532329623</v>
      </c>
      <c r="I631" s="4">
        <v>24.372053741713689</v>
      </c>
      <c r="J631" s="4">
        <v>25.711792277624301</v>
      </c>
      <c r="K631" s="4">
        <v>27.193741390855603</v>
      </c>
      <c r="L631" s="4">
        <v>28.770170101539374</v>
      </c>
      <c r="M631" s="4">
        <v>30.399624593846685</v>
      </c>
      <c r="N631" s="4">
        <v>32.081684118717384</v>
      </c>
      <c r="O631" s="11">
        <f t="shared" si="9"/>
        <v>4.2389425492562603E-2</v>
      </c>
      <c r="P631"/>
      <c r="Q631" s="11"/>
    </row>
    <row r="632" spans="1:17" x14ac:dyDescent="0.35">
      <c r="A632" s="2" t="s">
        <v>91</v>
      </c>
      <c r="O632" s="11" t="str">
        <f t="shared" si="9"/>
        <v/>
      </c>
      <c r="P632"/>
      <c r="Q632" s="11"/>
    </row>
    <row r="633" spans="1:17" x14ac:dyDescent="0.35">
      <c r="A633" s="3" t="s">
        <v>92</v>
      </c>
      <c r="B633" s="4">
        <v>53.262798296428691</v>
      </c>
      <c r="C633" s="4">
        <v>56.51587138901165</v>
      </c>
      <c r="D633" s="4">
        <v>60.061821952209336</v>
      </c>
      <c r="E633" s="4">
        <v>63.930357574965832</v>
      </c>
      <c r="F633" s="4">
        <v>68.17592330830692</v>
      </c>
      <c r="G633" s="4">
        <v>72.885236249302281</v>
      </c>
      <c r="H633" s="4">
        <v>78.08991474923252</v>
      </c>
      <c r="I633" s="4">
        <v>83.82243515566924</v>
      </c>
      <c r="J633" s="4">
        <v>90.003716275033796</v>
      </c>
      <c r="K633" s="4">
        <v>96.580818422911477</v>
      </c>
      <c r="L633" s="4">
        <v>103.44538656193403</v>
      </c>
      <c r="M633" s="4">
        <v>110.55648745869834</v>
      </c>
      <c r="N633" s="4">
        <v>117.98306362044445</v>
      </c>
      <c r="O633" s="11">
        <f t="shared" si="9"/>
        <v>5.4975159174891361E-2</v>
      </c>
      <c r="P633"/>
      <c r="Q633" s="11"/>
    </row>
    <row r="634" spans="1:17" x14ac:dyDescent="0.35">
      <c r="A634" s="3" t="s">
        <v>93</v>
      </c>
      <c r="B634" s="4">
        <v>81.06307702657935</v>
      </c>
      <c r="C634" s="4">
        <v>85.331305039482473</v>
      </c>
      <c r="D634" s="4">
        <v>89.880011561149587</v>
      </c>
      <c r="E634" s="4">
        <v>94.816612172660001</v>
      </c>
      <c r="F634" s="4">
        <v>100.15968979862373</v>
      </c>
      <c r="G634" s="4">
        <v>105.90115516714737</v>
      </c>
      <c r="H634" s="4">
        <v>112.06442566266236</v>
      </c>
      <c r="I634" s="4">
        <v>118.54463549145547</v>
      </c>
      <c r="J634" s="4">
        <v>125.35681406840412</v>
      </c>
      <c r="K634" s="4">
        <v>132.5768744274514</v>
      </c>
      <c r="L634" s="4">
        <v>140.29346412663625</v>
      </c>
      <c r="M634" s="4">
        <v>148.61381309178333</v>
      </c>
      <c r="N634" s="4">
        <v>157.38652054155301</v>
      </c>
      <c r="O634" s="11">
        <f t="shared" si="9"/>
        <v>4.5005406691502083E-2</v>
      </c>
      <c r="P634"/>
      <c r="Q634" s="11"/>
    </row>
    <row r="635" spans="1:17" x14ac:dyDescent="0.35">
      <c r="A635" s="2" t="s">
        <v>94</v>
      </c>
      <c r="O635" s="11" t="str">
        <f t="shared" si="9"/>
        <v/>
      </c>
      <c r="P635"/>
      <c r="Q635" s="11"/>
    </row>
    <row r="636" spans="1:17" x14ac:dyDescent="0.35">
      <c r="A636" s="3" t="s">
        <v>48</v>
      </c>
      <c r="B636" s="4">
        <v>9.6368610149419016</v>
      </c>
      <c r="C636" s="4">
        <v>10.2562508669642</v>
      </c>
      <c r="D636" s="4">
        <v>10.917331017285127</v>
      </c>
      <c r="E636" s="4">
        <v>11.65087905333678</v>
      </c>
      <c r="F636" s="4">
        <v>12.456835369912868</v>
      </c>
      <c r="G636" s="4">
        <v>13.334134911863208</v>
      </c>
      <c r="H636" s="4">
        <v>14.27590629948484</v>
      </c>
      <c r="I636" s="4">
        <v>15.272296463791792</v>
      </c>
      <c r="J636" s="4">
        <v>16.323344994538825</v>
      </c>
      <c r="K636" s="4">
        <v>17.468225726901043</v>
      </c>
      <c r="L636" s="4">
        <v>18.718053783724326</v>
      </c>
      <c r="M636" s="4">
        <v>20.059432272327339</v>
      </c>
      <c r="N636" s="4">
        <v>21.480483963502515</v>
      </c>
      <c r="O636" s="11">
        <f t="shared" si="9"/>
        <v>5.4408265983941523E-2</v>
      </c>
      <c r="P636"/>
      <c r="Q636" s="11"/>
    </row>
    <row r="637" spans="1:17" x14ac:dyDescent="0.35">
      <c r="A637" s="3" t="s">
        <v>95</v>
      </c>
      <c r="B637" s="4">
        <v>7.843420017001149</v>
      </c>
      <c r="C637" s="4">
        <v>8.482420857058564</v>
      </c>
      <c r="D637" s="4">
        <v>9.1884756866980588</v>
      </c>
      <c r="E637" s="4">
        <v>9.9571335930911165</v>
      </c>
      <c r="F637" s="4">
        <v>10.773479238843562</v>
      </c>
      <c r="G637" s="4">
        <v>11.651016498506495</v>
      </c>
      <c r="H637" s="4">
        <v>12.601173434062563</v>
      </c>
      <c r="I637" s="4">
        <v>13.64696947126326</v>
      </c>
      <c r="J637" s="4">
        <v>14.800315824169756</v>
      </c>
      <c r="K637" s="4">
        <v>16.068681364729855</v>
      </c>
      <c r="L637" s="4">
        <v>17.439410649468623</v>
      </c>
      <c r="M637" s="4">
        <v>18.899487554843951</v>
      </c>
      <c r="N637" s="4">
        <v>20.466695866503571</v>
      </c>
      <c r="O637" s="11">
        <f t="shared" si="9"/>
        <v>6.4601569468398262E-2</v>
      </c>
      <c r="P637"/>
      <c r="Q637" s="11"/>
    </row>
    <row r="638" spans="1:17" x14ac:dyDescent="0.35">
      <c r="A638" s="3" t="s">
        <v>96</v>
      </c>
      <c r="B638" s="4">
        <v>21.680233063536321</v>
      </c>
      <c r="C638" s="4">
        <v>23.162584982284059</v>
      </c>
      <c r="D638" s="4">
        <v>24.789126700867058</v>
      </c>
      <c r="E638" s="4">
        <v>26.529441767359799</v>
      </c>
      <c r="F638" s="4">
        <v>28.448718615071272</v>
      </c>
      <c r="G638" s="4">
        <v>30.589088317835376</v>
      </c>
      <c r="H638" s="4">
        <v>33.001406529569266</v>
      </c>
      <c r="I638" s="4">
        <v>35.670558331350833</v>
      </c>
      <c r="J638" s="4">
        <v>38.562608027337205</v>
      </c>
      <c r="K638" s="4">
        <v>41.571183762471151</v>
      </c>
      <c r="L638" s="4">
        <v>44.684751908827195</v>
      </c>
      <c r="M638" s="4">
        <v>48.00665281322793</v>
      </c>
      <c r="N638" s="4">
        <v>51.529841425939821</v>
      </c>
      <c r="O638" s="11">
        <f t="shared" si="9"/>
        <v>5.9658211885949462E-2</v>
      </c>
      <c r="P638"/>
      <c r="Q638" s="11"/>
    </row>
    <row r="639" spans="1:17" x14ac:dyDescent="0.35">
      <c r="A639" s="3" t="s">
        <v>97</v>
      </c>
      <c r="B639" s="4">
        <v>23.033210392640857</v>
      </c>
      <c r="C639" s="4">
        <v>24.202742595419071</v>
      </c>
      <c r="D639" s="4">
        <v>25.457014113447016</v>
      </c>
      <c r="E639" s="4">
        <v>26.812350510426587</v>
      </c>
      <c r="F639" s="4">
        <v>28.280383001964353</v>
      </c>
      <c r="G639" s="4">
        <v>29.873907299329474</v>
      </c>
      <c r="H639" s="4">
        <v>31.602744593209426</v>
      </c>
      <c r="I639" s="4">
        <v>33.453678361605739</v>
      </c>
      <c r="J639" s="4">
        <v>35.412461476358274</v>
      </c>
      <c r="K639" s="4">
        <v>37.469662586367988</v>
      </c>
      <c r="L639" s="4">
        <v>39.615325516371122</v>
      </c>
      <c r="M639" s="4">
        <v>41.862635202415404</v>
      </c>
      <c r="N639" s="4">
        <v>44.196824680396659</v>
      </c>
      <c r="O639" s="11">
        <f t="shared" si="9"/>
        <v>4.447943454693503E-2</v>
      </c>
      <c r="P639"/>
      <c r="Q639" s="11"/>
    </row>
    <row r="640" spans="1:17" x14ac:dyDescent="0.35">
      <c r="A640" s="3" t="s">
        <v>98</v>
      </c>
      <c r="B640" s="4">
        <v>39.449685558430602</v>
      </c>
      <c r="C640" s="4">
        <v>41.712322281021066</v>
      </c>
      <c r="D640" s="4">
        <v>44.148431156601397</v>
      </c>
      <c r="E640" s="4">
        <v>46.789358782062095</v>
      </c>
      <c r="F640" s="4">
        <v>49.65900586654454</v>
      </c>
      <c r="G640" s="4">
        <v>52.783869761432108</v>
      </c>
      <c r="H640" s="4">
        <v>56.185802745027864</v>
      </c>
      <c r="I640" s="4">
        <v>59.846187406238087</v>
      </c>
      <c r="J640" s="4">
        <v>63.744040848673357</v>
      </c>
      <c r="K640" s="4">
        <v>67.866474222360765</v>
      </c>
      <c r="L640" s="4">
        <v>72.199280012320202</v>
      </c>
      <c r="M640" s="4">
        <v>76.770027350066584</v>
      </c>
      <c r="N640" s="4">
        <v>81.555670743708347</v>
      </c>
      <c r="O640" s="11">
        <f t="shared" si="9"/>
        <v>4.9529791537198338E-2</v>
      </c>
      <c r="P640"/>
      <c r="Q640" s="11"/>
    </row>
    <row r="641" spans="1:17" x14ac:dyDescent="0.35">
      <c r="A641" s="3" t="s">
        <v>99</v>
      </c>
      <c r="B641" s="4">
        <v>13.983376674949765</v>
      </c>
      <c r="C641" s="4">
        <v>14.508082396183498</v>
      </c>
      <c r="D641" s="4">
        <v>15.05513667396125</v>
      </c>
      <c r="E641" s="4">
        <v>15.66399196098895</v>
      </c>
      <c r="F641" s="4">
        <v>16.328554471372275</v>
      </c>
      <c r="G641" s="4">
        <v>17.041748292156733</v>
      </c>
      <c r="H641" s="4">
        <v>17.78952580397457</v>
      </c>
      <c r="I641" s="4">
        <v>18.55528976253245</v>
      </c>
      <c r="J641" s="4">
        <v>19.335931991204156</v>
      </c>
      <c r="K641" s="4">
        <v>20.174882828577072</v>
      </c>
      <c r="L641" s="4">
        <v>21.078701477318692</v>
      </c>
      <c r="M641" s="4">
        <v>22.025405633672754</v>
      </c>
      <c r="N641" s="4">
        <v>22.996563389465244</v>
      </c>
      <c r="O641" s="11">
        <f t="shared" si="9"/>
        <v>3.3858200839844532E-2</v>
      </c>
      <c r="P641"/>
      <c r="Q641" s="11"/>
    </row>
    <row r="642" spans="1:17" x14ac:dyDescent="0.35">
      <c r="A642" s="3" t="s">
        <v>100</v>
      </c>
      <c r="B642" s="4">
        <v>18.699088601507441</v>
      </c>
      <c r="C642" s="4">
        <v>19.522772449563661</v>
      </c>
      <c r="D642" s="4">
        <v>20.386318164499016</v>
      </c>
      <c r="E642" s="4">
        <v>21.343814080360513</v>
      </c>
      <c r="F642" s="4">
        <v>22.388636543221796</v>
      </c>
      <c r="G642" s="4">
        <v>23.512626335326239</v>
      </c>
      <c r="H642" s="4">
        <v>24.697781006566355</v>
      </c>
      <c r="I642" s="4">
        <v>25.922090850342542</v>
      </c>
      <c r="J642" s="4">
        <v>27.181827181156372</v>
      </c>
      <c r="K642" s="4">
        <v>28.538582358955004</v>
      </c>
      <c r="L642" s="4">
        <v>30.003327340540118</v>
      </c>
      <c r="M642" s="4">
        <v>31.546659723927686</v>
      </c>
      <c r="N642" s="4">
        <v>33.143504092481287</v>
      </c>
      <c r="O642" s="11">
        <f t="shared" si="9"/>
        <v>3.8882341721720511E-2</v>
      </c>
      <c r="P642"/>
      <c r="Q642" s="11"/>
    </row>
    <row r="643" spans="1:17" x14ac:dyDescent="0.35">
      <c r="A643" s="1" t="s">
        <v>21</v>
      </c>
      <c r="O643" s="11" t="str">
        <f t="shared" si="9"/>
        <v/>
      </c>
      <c r="P643"/>
      <c r="Q643" s="11"/>
    </row>
    <row r="644" spans="1:17" x14ac:dyDescent="0.35">
      <c r="A644" s="2" t="s">
        <v>54</v>
      </c>
      <c r="O644" s="11" t="str">
        <f t="shared" si="9"/>
        <v/>
      </c>
      <c r="P644"/>
      <c r="Q644" s="11"/>
    </row>
    <row r="645" spans="1:17" x14ac:dyDescent="0.35">
      <c r="A645" s="3" t="s">
        <v>55</v>
      </c>
      <c r="B645" s="4">
        <v>10.701691925628534</v>
      </c>
      <c r="C645" s="4">
        <v>11.64909335739025</v>
      </c>
      <c r="D645" s="4">
        <v>12.699781680090197</v>
      </c>
      <c r="E645" s="4">
        <v>13.866402989793892</v>
      </c>
      <c r="F645" s="4">
        <v>15.167924717845541</v>
      </c>
      <c r="G645" s="4">
        <v>16.632057059094244</v>
      </c>
      <c r="H645" s="4">
        <v>18.276327580442914</v>
      </c>
      <c r="I645" s="4">
        <v>20.11970584786938</v>
      </c>
      <c r="J645" s="4">
        <v>22.155716626739416</v>
      </c>
      <c r="K645" s="4">
        <v>24.382990749774923</v>
      </c>
      <c r="L645" s="4">
        <v>26.785402730790238</v>
      </c>
      <c r="M645" s="4">
        <v>29.362020746403648</v>
      </c>
      <c r="N645" s="4">
        <v>32.140454537547896</v>
      </c>
      <c r="O645" s="11">
        <f t="shared" si="9"/>
        <v>7.5943734531572701E-2</v>
      </c>
      <c r="P645"/>
      <c r="Q645" s="11"/>
    </row>
    <row r="646" spans="1:17" x14ac:dyDescent="0.35">
      <c r="A646" s="3" t="s">
        <v>56</v>
      </c>
      <c r="B646" s="4">
        <v>29.622639855426325</v>
      </c>
      <c r="C646" s="4">
        <v>31.667871937146153</v>
      </c>
      <c r="D646" s="4">
        <v>33.89389755215543</v>
      </c>
      <c r="E646" s="4">
        <v>36.250976473858799</v>
      </c>
      <c r="F646" s="4">
        <v>38.699471476372267</v>
      </c>
      <c r="G646" s="4">
        <v>41.293995123552193</v>
      </c>
      <c r="H646" s="4">
        <v>44.083110080682907</v>
      </c>
      <c r="I646" s="4">
        <v>47.192859197879358</v>
      </c>
      <c r="J646" s="4">
        <v>50.675355736133831</v>
      </c>
      <c r="K646" s="4">
        <v>54.452842206585998</v>
      </c>
      <c r="L646" s="4">
        <v>58.552752992750378</v>
      </c>
      <c r="M646" s="4">
        <v>62.902805077019188</v>
      </c>
      <c r="N646" s="4">
        <v>67.481680809002242</v>
      </c>
      <c r="O646" s="11">
        <f t="shared" si="9"/>
        <v>5.6087464507236048E-2</v>
      </c>
      <c r="P646"/>
      <c r="Q646" s="11"/>
    </row>
    <row r="647" spans="1:17" x14ac:dyDescent="0.35">
      <c r="A647" s="3" t="s">
        <v>57</v>
      </c>
      <c r="B647" s="4">
        <v>69.851892868025288</v>
      </c>
      <c r="C647" s="4">
        <v>73.976149119402862</v>
      </c>
      <c r="D647" s="4">
        <v>78.436383484146873</v>
      </c>
      <c r="E647" s="4">
        <v>83.106710893374739</v>
      </c>
      <c r="F647" s="4">
        <v>87.888909580039581</v>
      </c>
      <c r="G647" s="4">
        <v>92.902345250728388</v>
      </c>
      <c r="H647" s="4">
        <v>98.248212854803356</v>
      </c>
      <c r="I647" s="4">
        <v>104.19644166366794</v>
      </c>
      <c r="J647" s="4">
        <v>110.84343175327705</v>
      </c>
      <c r="K647" s="4">
        <v>117.99758499342634</v>
      </c>
      <c r="L647" s="4">
        <v>125.70198600706348</v>
      </c>
      <c r="M647" s="4">
        <v>133.78372749087805</v>
      </c>
      <c r="N647" s="4">
        <v>142.18439174053827</v>
      </c>
      <c r="O647" s="11">
        <f t="shared" si="9"/>
        <v>4.8422031311413989E-2</v>
      </c>
      <c r="P647"/>
      <c r="Q647" s="11"/>
    </row>
    <row r="648" spans="1:17" x14ac:dyDescent="0.35">
      <c r="A648" s="2" t="s">
        <v>47</v>
      </c>
      <c r="O648" s="11" t="str">
        <f t="shared" si="9"/>
        <v/>
      </c>
      <c r="P648"/>
      <c r="Q648" s="11"/>
    </row>
    <row r="649" spans="1:17" x14ac:dyDescent="0.35">
      <c r="A649" s="3" t="s">
        <v>82</v>
      </c>
      <c r="B649" s="4">
        <v>40.324331781054859</v>
      </c>
      <c r="C649" s="4">
        <v>43.316965294536402</v>
      </c>
      <c r="D649" s="4">
        <v>46.593679232245627</v>
      </c>
      <c r="E649" s="4">
        <v>50.117379463652689</v>
      </c>
      <c r="F649" s="4">
        <v>53.867396194217804</v>
      </c>
      <c r="G649" s="4">
        <v>57.926052182646437</v>
      </c>
      <c r="H649" s="4">
        <v>62.359437661125824</v>
      </c>
      <c r="I649" s="4">
        <v>67.312565045748741</v>
      </c>
      <c r="J649" s="4">
        <v>72.831072362873243</v>
      </c>
      <c r="K649" s="4">
        <v>78.835832956360917</v>
      </c>
      <c r="L649" s="4">
        <v>85.338155723540609</v>
      </c>
      <c r="M649" s="4">
        <v>92.264825823422839</v>
      </c>
      <c r="N649" s="4">
        <v>99.622135346550138</v>
      </c>
      <c r="O649"/>
      <c r="P649"/>
      <c r="Q649" s="11"/>
    </row>
    <row r="650" spans="1:17" x14ac:dyDescent="0.35">
      <c r="A650" s="3" t="s">
        <v>83</v>
      </c>
      <c r="B650" s="4">
        <v>69.851892868025288</v>
      </c>
      <c r="C650" s="4">
        <v>73.976149119402862</v>
      </c>
      <c r="D650" s="4">
        <v>78.436383484146873</v>
      </c>
      <c r="E650" s="4">
        <v>83.106710893374739</v>
      </c>
      <c r="F650" s="4">
        <v>87.888909580039581</v>
      </c>
      <c r="G650" s="4">
        <v>92.902345250728388</v>
      </c>
      <c r="H650" s="4">
        <v>98.248212854803356</v>
      </c>
      <c r="I650" s="4">
        <v>104.19644166366794</v>
      </c>
      <c r="J650" s="4">
        <v>110.84343175327705</v>
      </c>
      <c r="K650" s="4">
        <v>117.99758499342634</v>
      </c>
      <c r="L650" s="4">
        <v>125.70198600706348</v>
      </c>
      <c r="M650" s="4">
        <v>133.78372749087805</v>
      </c>
      <c r="N650" s="4">
        <v>142.18439174053827</v>
      </c>
      <c r="O650"/>
      <c r="P650"/>
      <c r="Q650" s="11"/>
    </row>
    <row r="651" spans="1:17" x14ac:dyDescent="0.35">
      <c r="A651" s="2" t="s">
        <v>59</v>
      </c>
      <c r="O651"/>
      <c r="P651"/>
      <c r="Q651" s="11"/>
    </row>
    <row r="652" spans="1:17" x14ac:dyDescent="0.35">
      <c r="A652" s="3" t="s">
        <v>60</v>
      </c>
      <c r="O652"/>
      <c r="P652"/>
      <c r="Q652" s="11"/>
    </row>
    <row r="653" spans="1:17" x14ac:dyDescent="0.35">
      <c r="A653" s="34" t="s">
        <v>61</v>
      </c>
      <c r="B653" s="4">
        <v>21.972687001477055</v>
      </c>
      <c r="C653" s="4">
        <v>23.611984174098538</v>
      </c>
      <c r="D653" s="4">
        <v>25.461347006513378</v>
      </c>
      <c r="E653" s="4">
        <v>27.37959890773304</v>
      </c>
      <c r="F653" s="4">
        <v>29.237238065940602</v>
      </c>
      <c r="G653" s="4">
        <v>31.108197541884039</v>
      </c>
      <c r="H653" s="4">
        <v>33.019690414069487</v>
      </c>
      <c r="I653" s="4">
        <v>35.244428662885795</v>
      </c>
      <c r="J653" s="4">
        <v>37.904418876987592</v>
      </c>
      <c r="K653" s="4">
        <v>40.813215971576085</v>
      </c>
      <c r="L653" s="4">
        <v>44.01361017357155</v>
      </c>
      <c r="M653" s="4">
        <v>47.317934938341864</v>
      </c>
      <c r="N653" s="4">
        <v>50.702672344445631</v>
      </c>
      <c r="O653"/>
      <c r="P653"/>
      <c r="Q653" s="11"/>
    </row>
    <row r="654" spans="1:17" x14ac:dyDescent="0.35">
      <c r="A654" s="43" t="s">
        <v>62</v>
      </c>
      <c r="B654" s="4">
        <v>4.1956029760320792</v>
      </c>
      <c r="C654" s="4">
        <v>4.5704549933212473</v>
      </c>
      <c r="D654" s="4">
        <v>4.9864152200392002</v>
      </c>
      <c r="E654" s="4">
        <v>5.4485429627750541</v>
      </c>
      <c r="F654" s="4">
        <v>5.9643965654518825</v>
      </c>
      <c r="G654" s="4">
        <v>6.5449948771200557</v>
      </c>
      <c r="H654" s="4">
        <v>7.1973826145472026</v>
      </c>
      <c r="I654" s="4">
        <v>7.9291933972763831</v>
      </c>
      <c r="J654" s="4">
        <v>8.738055824701064</v>
      </c>
      <c r="K654" s="4">
        <v>9.6236054895701066</v>
      </c>
      <c r="L654" s="4">
        <v>10.57965310241549</v>
      </c>
      <c r="M654" s="4">
        <v>11.605992466883569</v>
      </c>
      <c r="N654" s="4">
        <v>12.713698734238578</v>
      </c>
      <c r="O654"/>
      <c r="P654"/>
      <c r="Q654" s="11"/>
    </row>
    <row r="655" spans="1:17" x14ac:dyDescent="0.35">
      <c r="A655" s="43" t="s">
        <v>63</v>
      </c>
      <c r="B655" s="4">
        <v>7.8184779282453327</v>
      </c>
      <c r="C655" s="4">
        <v>8.3479994206087973</v>
      </c>
      <c r="D655" s="4">
        <v>8.9221293002064161</v>
      </c>
      <c r="E655" s="4">
        <v>9.5483843854427146</v>
      </c>
      <c r="F655" s="4">
        <v>10.233033323079214</v>
      </c>
      <c r="G655" s="4">
        <v>10.983097849249186</v>
      </c>
      <c r="H655" s="4">
        <v>11.804877021675688</v>
      </c>
      <c r="I655" s="4">
        <v>12.696378798968285</v>
      </c>
      <c r="J655" s="4">
        <v>13.654994992697022</v>
      </c>
      <c r="K655" s="4">
        <v>14.67971490323538</v>
      </c>
      <c r="L655" s="4">
        <v>15.769170287123526</v>
      </c>
      <c r="M655" s="4">
        <v>16.931031857937363</v>
      </c>
      <c r="N655" s="4">
        <v>18.162075692586754</v>
      </c>
      <c r="O655"/>
      <c r="P655"/>
      <c r="Q655" s="11"/>
    </row>
    <row r="656" spans="1:17" x14ac:dyDescent="0.35">
      <c r="A656" s="43" t="s">
        <v>64</v>
      </c>
      <c r="B656" s="4">
        <v>9.9586060971996435</v>
      </c>
      <c r="C656" s="4">
        <v>10.693529760168493</v>
      </c>
      <c r="D656" s="4">
        <v>11.552802486267762</v>
      </c>
      <c r="E656" s="4">
        <v>12.382671559515272</v>
      </c>
      <c r="F656" s="4">
        <v>13.039808177409505</v>
      </c>
      <c r="G656" s="4">
        <v>13.580104815514797</v>
      </c>
      <c r="H656" s="4">
        <v>14.017430777846595</v>
      </c>
      <c r="I656" s="4">
        <v>14.618856466641127</v>
      </c>
      <c r="J656" s="4">
        <v>15.511368059589508</v>
      </c>
      <c r="K656" s="4">
        <v>16.509895578770596</v>
      </c>
      <c r="L656" s="4">
        <v>17.664786784032536</v>
      </c>
      <c r="M656" s="4">
        <v>18.78091061352093</v>
      </c>
      <c r="N656" s="4">
        <v>19.8268979176203</v>
      </c>
      <c r="O656"/>
      <c r="P656"/>
      <c r="Q656" s="11"/>
    </row>
    <row r="657" spans="1:17" x14ac:dyDescent="0.35">
      <c r="A657" s="34" t="s">
        <v>65</v>
      </c>
      <c r="B657" s="4">
        <v>20.257172130488605</v>
      </c>
      <c r="C657" s="4">
        <v>21.467070793487803</v>
      </c>
      <c r="D657" s="4">
        <v>22.771722299179309</v>
      </c>
      <c r="E657" s="4">
        <v>24.18792334921611</v>
      </c>
      <c r="F657" s="4">
        <v>25.728769498027717</v>
      </c>
      <c r="G657" s="4">
        <v>27.408815864985137</v>
      </c>
      <c r="H657" s="4">
        <v>29.240332313459238</v>
      </c>
      <c r="I657" s="4">
        <v>31.214633271191722</v>
      </c>
      <c r="J657" s="4">
        <v>33.321718361673312</v>
      </c>
      <c r="K657" s="4">
        <v>35.555726143870196</v>
      </c>
      <c r="L657" s="4">
        <v>37.910049379678988</v>
      </c>
      <c r="M657" s="4">
        <v>40.399955228427025</v>
      </c>
      <c r="N657" s="4">
        <v>43.014208910258134</v>
      </c>
      <c r="O657"/>
      <c r="P657"/>
      <c r="Q657" s="11"/>
    </row>
    <row r="658" spans="1:17" x14ac:dyDescent="0.35">
      <c r="A658" s="34" t="s">
        <v>66</v>
      </c>
      <c r="B658" s="4">
        <v>12.888078703570537</v>
      </c>
      <c r="C658" s="4">
        <v>13.602766256064196</v>
      </c>
      <c r="D658" s="4">
        <v>14.305705662988082</v>
      </c>
      <c r="E658" s="4">
        <v>15.019912704610274</v>
      </c>
      <c r="F658" s="4">
        <v>15.788108555607918</v>
      </c>
      <c r="G658" s="4">
        <v>16.649478920636653</v>
      </c>
      <c r="H658" s="4">
        <v>17.63016907795221</v>
      </c>
      <c r="I658" s="4">
        <v>18.707147983623198</v>
      </c>
      <c r="J658" s="4">
        <v>19.836636699316628</v>
      </c>
      <c r="K658" s="4">
        <v>21.014397271193776</v>
      </c>
      <c r="L658" s="4">
        <v>22.260118546458973</v>
      </c>
      <c r="M658" s="4">
        <v>23.595772630083733</v>
      </c>
      <c r="N658" s="4">
        <v>25.003242085923745</v>
      </c>
      <c r="O658"/>
      <c r="P658"/>
      <c r="Q658" s="11"/>
    </row>
    <row r="659" spans="1:17" x14ac:dyDescent="0.35">
      <c r="A659" s="34" t="s">
        <v>67</v>
      </c>
      <c r="B659" s="4">
        <v>8.1797190812861373</v>
      </c>
      <c r="C659" s="4">
        <v>8.5801310122295771</v>
      </c>
      <c r="D659" s="4">
        <v>9.0173040879232254</v>
      </c>
      <c r="E659" s="4">
        <v>9.473746148483416</v>
      </c>
      <c r="F659" s="4">
        <v>9.9406609424198003</v>
      </c>
      <c r="G659" s="4">
        <v>10.404079262677397</v>
      </c>
      <c r="H659" s="4">
        <v>10.892569458515849</v>
      </c>
      <c r="I659" s="4">
        <v>11.425780284765164</v>
      </c>
      <c r="J659" s="4">
        <v>12.023178672310959</v>
      </c>
      <c r="K659" s="4">
        <v>12.683873920958783</v>
      </c>
      <c r="L659" s="4">
        <v>13.385103517386405</v>
      </c>
      <c r="M659" s="4">
        <v>14.107253877295406</v>
      </c>
      <c r="N659" s="4">
        <v>14.84995057690438</v>
      </c>
      <c r="O659"/>
      <c r="P659"/>
      <c r="Q659" s="11"/>
    </row>
    <row r="660" spans="1:17" x14ac:dyDescent="0.35">
      <c r="A660" s="34" t="s">
        <v>68</v>
      </c>
      <c r="B660" s="4">
        <v>13.485554083962507</v>
      </c>
      <c r="C660" s="4">
        <v>14.519731482085822</v>
      </c>
      <c r="D660" s="4">
        <v>15.651367328177912</v>
      </c>
      <c r="E660" s="4">
        <v>16.859461850611968</v>
      </c>
      <c r="F660" s="4">
        <v>18.127087600883165</v>
      </c>
      <c r="G660" s="4">
        <v>19.480959791562714</v>
      </c>
      <c r="H660" s="4">
        <v>20.945690189875297</v>
      </c>
      <c r="I660" s="4">
        <v>22.583387506706277</v>
      </c>
      <c r="J660" s="4">
        <v>24.422528773930136</v>
      </c>
      <c r="K660" s="4">
        <v>26.429762546012931</v>
      </c>
      <c r="L660" s="4">
        <v>28.621788756453231</v>
      </c>
      <c r="M660" s="4">
        <v>30.966994997161827</v>
      </c>
      <c r="N660" s="4">
        <v>33.457911772005779</v>
      </c>
      <c r="O660"/>
      <c r="P660"/>
      <c r="Q660" s="11"/>
    </row>
    <row r="661" spans="1:17" x14ac:dyDescent="0.35">
      <c r="A661" s="34" t="s">
        <v>69</v>
      </c>
      <c r="B661" s="4">
        <v>15.36570539838922</v>
      </c>
      <c r="C661" s="4">
        <v>16.012920295201742</v>
      </c>
      <c r="D661" s="4">
        <v>16.707412513399856</v>
      </c>
      <c r="E661" s="4">
        <v>17.419494814309804</v>
      </c>
      <c r="F661" s="4">
        <v>18.127087600883165</v>
      </c>
      <c r="G661" s="4">
        <v>18.854359786947377</v>
      </c>
      <c r="H661" s="4">
        <v>19.620237851892362</v>
      </c>
      <c r="I661" s="4">
        <v>20.476087164879058</v>
      </c>
      <c r="J661" s="4">
        <v>21.435816542337498</v>
      </c>
      <c r="K661" s="4">
        <v>22.456606009248954</v>
      </c>
      <c r="L661" s="4">
        <v>23.542848681449772</v>
      </c>
      <c r="M661" s="4">
        <v>24.658090867890056</v>
      </c>
      <c r="N661" s="4">
        <v>25.78917576675434</v>
      </c>
      <c r="O661"/>
      <c r="P661"/>
      <c r="Q661" s="11"/>
    </row>
    <row r="662" spans="1:17" x14ac:dyDescent="0.35">
      <c r="A662" s="3" t="s">
        <v>70</v>
      </c>
      <c r="O662"/>
      <c r="P662"/>
      <c r="Q662" s="11"/>
    </row>
    <row r="663" spans="1:17" x14ac:dyDescent="0.35">
      <c r="A663" s="34" t="s">
        <v>71</v>
      </c>
      <c r="B663" s="4">
        <v>2.4856208680788492</v>
      </c>
      <c r="C663" s="4">
        <v>2.7389582749087911</v>
      </c>
      <c r="D663" s="4">
        <v>3.0229579229855363</v>
      </c>
      <c r="E663" s="4">
        <v>3.3376661912840526</v>
      </c>
      <c r="F663" s="4">
        <v>3.6795684289823996</v>
      </c>
      <c r="G663" s="4">
        <v>4.0545347659780839</v>
      </c>
      <c r="H663" s="4">
        <v>4.4681091823084573</v>
      </c>
      <c r="I663" s="4">
        <v>4.9303058758253169</v>
      </c>
      <c r="J663" s="4">
        <v>5.4478130143527563</v>
      </c>
      <c r="K663" s="4">
        <v>6.0260986578768296</v>
      </c>
      <c r="L663" s="4">
        <v>6.6633942164875188</v>
      </c>
      <c r="M663" s="4">
        <v>7.357548933133061</v>
      </c>
      <c r="N663" s="4">
        <v>8.1181343109697384</v>
      </c>
      <c r="O663"/>
      <c r="P663"/>
      <c r="Q663" s="11"/>
    </row>
    <row r="664" spans="1:17" x14ac:dyDescent="0.35">
      <c r="A664" s="34" t="s">
        <v>72</v>
      </c>
      <c r="B664" s="4">
        <v>1.8860517278415492</v>
      </c>
      <c r="C664" s="4">
        <v>2.0860846899307863</v>
      </c>
      <c r="D664" s="4">
        <v>2.3108097771746556</v>
      </c>
      <c r="E664" s="4">
        <v>2.5635948979421643</v>
      </c>
      <c r="F664" s="4">
        <v>2.8491599897567998</v>
      </c>
      <c r="G664" s="4">
        <v>3.1741326340072593</v>
      </c>
      <c r="H664" s="4">
        <v>3.5435776773532406</v>
      </c>
      <c r="I664" s="4">
        <v>3.9631104862334086</v>
      </c>
      <c r="J664" s="4">
        <v>4.4336338450030155</v>
      </c>
      <c r="K664" s="4">
        <v>4.9570646976937125</v>
      </c>
      <c r="L664" s="4">
        <v>5.532377200055735</v>
      </c>
      <c r="M664" s="4">
        <v>6.1615510775783271</v>
      </c>
      <c r="N664" s="4">
        <v>6.8526165134466659</v>
      </c>
      <c r="O664"/>
      <c r="P664"/>
      <c r="Q664" s="11"/>
    </row>
    <row r="665" spans="1:17" x14ac:dyDescent="0.35">
      <c r="A665" s="34" t="s">
        <v>73</v>
      </c>
      <c r="B665" s="4">
        <v>1.832076363558405</v>
      </c>
      <c r="C665" s="4">
        <v>1.9563758987542639</v>
      </c>
      <c r="D665" s="4">
        <v>2.0923693194307109</v>
      </c>
      <c r="E665" s="4">
        <v>2.2413033234223483</v>
      </c>
      <c r="F665" s="4">
        <v>2.4053209963775997</v>
      </c>
      <c r="G665" s="4">
        <v>2.5877556057905351</v>
      </c>
      <c r="H665" s="4">
        <v>2.7900652950224289</v>
      </c>
      <c r="I665" s="4">
        <v>3.0137716047267662</v>
      </c>
      <c r="J665" s="4">
        <v>3.2564191866238978</v>
      </c>
      <c r="K665" s="4">
        <v>3.5164320901443697</v>
      </c>
      <c r="L665" s="4">
        <v>3.7901731882188976</v>
      </c>
      <c r="M665" s="4">
        <v>4.0763802704283032</v>
      </c>
      <c r="N665" s="4">
        <v>4.3778076487620083</v>
      </c>
      <c r="O665"/>
      <c r="P665"/>
      <c r="Q665" s="11"/>
    </row>
    <row r="666" spans="1:17" x14ac:dyDescent="0.35">
      <c r="A666" s="34" t="s">
        <v>74</v>
      </c>
      <c r="B666" s="4">
        <v>2.176177340338346</v>
      </c>
      <c r="C666" s="4">
        <v>2.3496358739214154</v>
      </c>
      <c r="D666" s="4">
        <v>2.539381946868263</v>
      </c>
      <c r="E666" s="4">
        <v>2.7480485208576062</v>
      </c>
      <c r="F666" s="4">
        <v>2.9780164717055992</v>
      </c>
      <c r="G666" s="4">
        <v>3.2319797275026261</v>
      </c>
      <c r="H666" s="4">
        <v>3.5125257216306323</v>
      </c>
      <c r="I666" s="4">
        <v>3.8198743942776821</v>
      </c>
      <c r="J666" s="4">
        <v>4.1540526450105251</v>
      </c>
      <c r="K666" s="4">
        <v>4.515557291160456</v>
      </c>
      <c r="L666" s="4">
        <v>4.9047802620226442</v>
      </c>
      <c r="M666" s="4">
        <v>5.3249251347605799</v>
      </c>
      <c r="N666" s="4">
        <v>5.7758946245595464</v>
      </c>
      <c r="O666"/>
      <c r="P666"/>
      <c r="Q666" s="11"/>
    </row>
    <row r="667" spans="1:17" x14ac:dyDescent="0.35">
      <c r="A667" s="34" t="s">
        <v>75</v>
      </c>
      <c r="B667" s="4">
        <v>1.6920320942894524</v>
      </c>
      <c r="C667" s="4">
        <v>1.8474599532486748</v>
      </c>
      <c r="D667" s="4">
        <v>2.0194745373371847</v>
      </c>
      <c r="E667" s="4">
        <v>2.2059905688542467</v>
      </c>
      <c r="F667" s="4">
        <v>2.4053209963775997</v>
      </c>
      <c r="G667" s="4">
        <v>2.6214600005755861</v>
      </c>
      <c r="H667" s="4">
        <v>2.8583317034865812</v>
      </c>
      <c r="I667" s="4">
        <v>3.1251818193086649</v>
      </c>
      <c r="J667" s="4">
        <v>3.4271015544405641</v>
      </c>
      <c r="K667" s="4">
        <v>3.7607596871442261</v>
      </c>
      <c r="L667" s="4">
        <v>4.12972290976849</v>
      </c>
      <c r="M667" s="4">
        <v>4.5307549095133499</v>
      </c>
      <c r="N667" s="4">
        <v>4.9639344707768727</v>
      </c>
      <c r="O667"/>
      <c r="P667"/>
      <c r="Q667" s="11"/>
    </row>
    <row r="668" spans="1:17" x14ac:dyDescent="0.35">
      <c r="A668" s="3" t="s">
        <v>76</v>
      </c>
      <c r="O668"/>
      <c r="P668"/>
      <c r="Q668" s="11"/>
    </row>
    <row r="669" spans="1:17" x14ac:dyDescent="0.35">
      <c r="A669" s="34" t="s">
        <v>77</v>
      </c>
      <c r="B669" s="4">
        <v>2.318653772495026</v>
      </c>
      <c r="C669" s="4">
        <v>2.4962296902695487</v>
      </c>
      <c r="D669" s="4">
        <v>2.6905256860991895</v>
      </c>
      <c r="E669" s="4">
        <v>2.897926968893366</v>
      </c>
      <c r="F669" s="4">
        <v>3.1155200883066279</v>
      </c>
      <c r="G669" s="4">
        <v>3.3478935977134081</v>
      </c>
      <c r="H669" s="4">
        <v>3.5992728143774961</v>
      </c>
      <c r="I669" s="4">
        <v>3.880324855134182</v>
      </c>
      <c r="J669" s="4">
        <v>4.1959341207123018</v>
      </c>
      <c r="K669" s="4">
        <v>4.5403606640410556</v>
      </c>
      <c r="L669" s="4">
        <v>4.9164650008237674</v>
      </c>
      <c r="M669" s="4">
        <v>5.3188077703359307</v>
      </c>
      <c r="N669" s="4">
        <v>5.7460983643082937</v>
      </c>
      <c r="O669"/>
      <c r="P669"/>
      <c r="Q669" s="11"/>
    </row>
    <row r="670" spans="1:17" x14ac:dyDescent="0.35">
      <c r="A670" s="34" t="s">
        <v>78</v>
      </c>
      <c r="B670" s="4">
        <v>2.2105745689306047</v>
      </c>
      <c r="C670" s="4">
        <v>2.3494012453617716</v>
      </c>
      <c r="D670" s="4">
        <v>2.5010995547125883</v>
      </c>
      <c r="E670" s="4">
        <v>2.6636361729231055</v>
      </c>
      <c r="F670" s="4">
        <v>2.8322909893696622</v>
      </c>
      <c r="G670" s="4">
        <v>3.0101163012623355</v>
      </c>
      <c r="H670" s="4">
        <v>3.199401212566003</v>
      </c>
      <c r="I670" s="4">
        <v>3.4051977676976857</v>
      </c>
      <c r="J670" s="4">
        <v>3.6294113287542391</v>
      </c>
      <c r="K670" s="4">
        <v>3.8726909475148896</v>
      </c>
      <c r="L670" s="4">
        <v>4.130751221886273</v>
      </c>
      <c r="M670" s="4">
        <v>4.3994745104117028</v>
      </c>
      <c r="N670" s="4">
        <v>4.6821619809284245</v>
      </c>
      <c r="O670"/>
      <c r="P670"/>
      <c r="Q670" s="11"/>
    </row>
    <row r="671" spans="1:17" x14ac:dyDescent="0.35">
      <c r="A671" s="34" t="s">
        <v>79</v>
      </c>
      <c r="B671" s="4">
        <v>1.2901373346640708</v>
      </c>
      <c r="C671" s="4">
        <v>1.4154638424835757</v>
      </c>
      <c r="D671" s="4">
        <v>1.5476183662919982</v>
      </c>
      <c r="E671" s="4">
        <v>1.6894006934000201</v>
      </c>
      <c r="F671" s="4">
        <v>1.8462341264039279</v>
      </c>
      <c r="G671" s="4">
        <v>2.0239282183974416</v>
      </c>
      <c r="H671" s="4">
        <v>2.2275166978844445</v>
      </c>
      <c r="I671" s="4">
        <v>2.4564516825862968</v>
      </c>
      <c r="J671" s="4">
        <v>2.7071718673963518</v>
      </c>
      <c r="K671" s="4">
        <v>2.9807630007146608</v>
      </c>
      <c r="L671" s="4">
        <v>3.2817247611236957</v>
      </c>
      <c r="M671" s="4">
        <v>3.6154457078066358</v>
      </c>
      <c r="N671" s="4">
        <v>3.9818271257028841</v>
      </c>
      <c r="O671"/>
      <c r="P671"/>
      <c r="Q671" s="11"/>
    </row>
    <row r="672" spans="1:17" x14ac:dyDescent="0.35">
      <c r="A672" s="34" t="s">
        <v>80</v>
      </c>
      <c r="B672" s="4">
        <v>0.93587815935356056</v>
      </c>
      <c r="C672" s="4">
        <v>0.97925051126932794</v>
      </c>
      <c r="D672" s="4">
        <v>1.026264996319656</v>
      </c>
      <c r="E672" s="4">
        <v>1.0772471205291245</v>
      </c>
      <c r="F672" s="4">
        <v>1.132916395747865</v>
      </c>
      <c r="G672" s="4">
        <v>1.1944836219096022</v>
      </c>
      <c r="H672" s="4">
        <v>1.2621837868147991</v>
      </c>
      <c r="I672" s="4">
        <v>1.3362453851554943</v>
      </c>
      <c r="J672" s="4">
        <v>1.4150981368649784</v>
      </c>
      <c r="K672" s="4">
        <v>1.4976606444850222</v>
      </c>
      <c r="L672" s="4">
        <v>1.5820448590397436</v>
      </c>
      <c r="M672" s="4">
        <v>1.6674921810821959</v>
      </c>
      <c r="N672" s="4">
        <v>1.7549398310682185</v>
      </c>
      <c r="O672"/>
      <c r="P672"/>
      <c r="Q672" s="11"/>
    </row>
    <row r="673" spans="1:17" x14ac:dyDescent="0.35">
      <c r="A673" s="34" t="s">
        <v>81</v>
      </c>
      <c r="B673" s="4">
        <v>1.2001060203562444</v>
      </c>
      <c r="C673" s="4">
        <v>1.2796504206234145</v>
      </c>
      <c r="D673" s="4">
        <v>1.3647017109909669</v>
      </c>
      <c r="E673" s="4">
        <v>1.459138123956774</v>
      </c>
      <c r="F673" s="4">
        <v>1.5630050274669616</v>
      </c>
      <c r="G673" s="4">
        <v>1.6762217915446052</v>
      </c>
      <c r="H673" s="4">
        <v>1.797977118720653</v>
      </c>
      <c r="I673" s="4">
        <v>1.9270779644199478</v>
      </c>
      <c r="J673" s="4">
        <v>2.0635704904355188</v>
      </c>
      <c r="K673" s="4">
        <v>2.2124484061512915</v>
      </c>
      <c r="L673" s="4">
        <v>2.3751890561784315</v>
      </c>
      <c r="M673" s="4">
        <v>2.5501702800508763</v>
      </c>
      <c r="N673" s="4">
        <v>2.7359507602737234</v>
      </c>
      <c r="O673"/>
      <c r="P673"/>
      <c r="Q673" s="11"/>
    </row>
    <row r="674" spans="1:17" x14ac:dyDescent="0.35">
      <c r="A674" s="2" t="s">
        <v>84</v>
      </c>
      <c r="O674"/>
      <c r="P674"/>
      <c r="Q674" s="11"/>
    </row>
    <row r="675" spans="1:17" x14ac:dyDescent="0.35">
      <c r="A675" s="3" t="s">
        <v>85</v>
      </c>
      <c r="B675" s="4">
        <v>7.577585647504204</v>
      </c>
      <c r="C675" s="4">
        <v>7.8757431074670228</v>
      </c>
      <c r="D675" s="4">
        <v>8.1987584939847391</v>
      </c>
      <c r="E675" s="4">
        <v>8.548686617057335</v>
      </c>
      <c r="F675" s="4">
        <v>8.9306472637782157</v>
      </c>
      <c r="G675" s="4">
        <v>9.3534892096529898</v>
      </c>
      <c r="H675" s="4">
        <v>9.8181763839185976</v>
      </c>
      <c r="I675" s="4">
        <v>10.32558585942399</v>
      </c>
      <c r="J675" s="4">
        <v>10.862660434861255</v>
      </c>
      <c r="K675" s="4">
        <v>11.420428610368175</v>
      </c>
      <c r="L675" s="4">
        <v>11.983995812914193</v>
      </c>
      <c r="M675" s="4">
        <v>12.547410872741242</v>
      </c>
      <c r="N675" s="4">
        <v>13.11763911723221</v>
      </c>
      <c r="O675"/>
      <c r="P675"/>
      <c r="Q675" s="11"/>
    </row>
    <row r="676" spans="1:17" x14ac:dyDescent="0.35">
      <c r="A676" s="3" t="s">
        <v>86</v>
      </c>
      <c r="B676" s="4">
        <v>20.952316942226311</v>
      </c>
      <c r="C676" s="4">
        <v>22.009091908726543</v>
      </c>
      <c r="D676" s="4">
        <v>23.146678948234886</v>
      </c>
      <c r="E676" s="4">
        <v>24.325704600384519</v>
      </c>
      <c r="F676" s="4">
        <v>25.516135039366329</v>
      </c>
      <c r="G676" s="4">
        <v>26.752063673219801</v>
      </c>
      <c r="H676" s="4">
        <v>28.061233188567652</v>
      </c>
      <c r="I676" s="4">
        <v>29.518653416809666</v>
      </c>
      <c r="J676" s="4">
        <v>31.147703508728213</v>
      </c>
      <c r="K676" s="4">
        <v>32.890016995599886</v>
      </c>
      <c r="L676" s="4">
        <v>34.754458030616512</v>
      </c>
      <c r="M676" s="4">
        <v>36.689834439672815</v>
      </c>
      <c r="N676" s="4">
        <v>38.677951676289744</v>
      </c>
      <c r="O676"/>
      <c r="P676"/>
      <c r="Q676" s="11"/>
    </row>
    <row r="677" spans="1:17" x14ac:dyDescent="0.35">
      <c r="A677" s="3" t="s">
        <v>87</v>
      </c>
      <c r="B677" s="4">
        <v>36.085928773154691</v>
      </c>
      <c r="C677" s="4">
        <v>38.86915261002413</v>
      </c>
      <c r="D677" s="4">
        <v>42.026341716896283</v>
      </c>
      <c r="E677" s="4">
        <v>45.42224192345823</v>
      </c>
      <c r="F677" s="4">
        <v>48.905925492118797</v>
      </c>
      <c r="G677" s="4">
        <v>52.566972484559273</v>
      </c>
      <c r="H677" s="4">
        <v>56.422907658647361</v>
      </c>
      <c r="I677" s="4">
        <v>60.795526894469504</v>
      </c>
      <c r="J677" s="4">
        <v>65.85381424205579</v>
      </c>
      <c r="K677" s="4">
        <v>71.393318296735956</v>
      </c>
      <c r="L677" s="4">
        <v>77.479130972407006</v>
      </c>
      <c r="M677" s="4">
        <v>83.914511217089199</v>
      </c>
      <c r="N677" s="4">
        <v>90.67720966280018</v>
      </c>
      <c r="O677"/>
      <c r="P677"/>
      <c r="Q677" s="11"/>
    </row>
    <row r="678" spans="1:17" x14ac:dyDescent="0.35">
      <c r="A678" s="3" t="s">
        <v>88</v>
      </c>
      <c r="B678" s="4">
        <v>24.430712755569921</v>
      </c>
      <c r="C678" s="4">
        <v>26.139569800666933</v>
      </c>
      <c r="D678" s="4">
        <v>27.869222757513683</v>
      </c>
      <c r="E678" s="4">
        <v>29.664511477468494</v>
      </c>
      <c r="F678" s="4">
        <v>31.611656187659396</v>
      </c>
      <c r="G678" s="4">
        <v>33.794500237885401</v>
      </c>
      <c r="H678" s="4">
        <v>36.27487638011862</v>
      </c>
      <c r="I678" s="4">
        <v>39.016566700908015</v>
      </c>
      <c r="J678" s="4">
        <v>41.937779425455837</v>
      </c>
      <c r="K678" s="4">
        <v>45.035584629497698</v>
      </c>
      <c r="L678" s="4">
        <v>48.35800015829502</v>
      </c>
      <c r="M678" s="4">
        <v>51.960468504823083</v>
      </c>
      <c r="N678" s="4">
        <v>55.812969362082427</v>
      </c>
      <c r="O678"/>
      <c r="P678"/>
      <c r="Q678" s="11"/>
    </row>
    <row r="679" spans="1:17" x14ac:dyDescent="0.35">
      <c r="A679" s="3" t="s">
        <v>89</v>
      </c>
      <c r="B679" s="4">
        <v>6.9198988971911879</v>
      </c>
      <c r="C679" s="4">
        <v>7.3678406171535729</v>
      </c>
      <c r="D679" s="4">
        <v>7.8578031858603525</v>
      </c>
      <c r="E679" s="4">
        <v>8.3836261585416558</v>
      </c>
      <c r="F679" s="4">
        <v>8.9306472637782157</v>
      </c>
      <c r="G679" s="4">
        <v>9.5086048848264184</v>
      </c>
      <c r="H679" s="4">
        <v>10.124897102823541</v>
      </c>
      <c r="I679" s="4">
        <v>10.795719069299444</v>
      </c>
      <c r="J679" s="4">
        <v>11.527406916320125</v>
      </c>
      <c r="K679" s="4">
        <v>12.322351696491946</v>
      </c>
      <c r="L679" s="4">
        <v>13.167260136212416</v>
      </c>
      <c r="M679" s="4">
        <v>14.049276608118278</v>
      </c>
      <c r="N679" s="4">
        <v>14.979142890379478</v>
      </c>
      <c r="O679"/>
      <c r="P679"/>
      <c r="Q679" s="11"/>
    </row>
    <row r="680" spans="1:17" x14ac:dyDescent="0.35">
      <c r="A680" s="3" t="s">
        <v>90</v>
      </c>
      <c r="B680" s="4">
        <v>14.209781633433836</v>
      </c>
      <c r="C680" s="4">
        <v>15.031716369901064</v>
      </c>
      <c r="D680" s="4">
        <v>15.931257613902565</v>
      </c>
      <c r="E680" s="4">
        <v>16.879319580117187</v>
      </c>
      <c r="F680" s="4">
        <v>17.861294527556446</v>
      </c>
      <c r="G680" s="4">
        <v>18.852766943230929</v>
      </c>
      <c r="H680" s="4">
        <v>19.9055598018534</v>
      </c>
      <c r="I680" s="4">
        <v>21.056954768506053</v>
      </c>
      <c r="J680" s="4">
        <v>22.34513958872904</v>
      </c>
      <c r="K680" s="4">
        <v>23.771717721093584</v>
      </c>
      <c r="L680" s="4">
        <v>25.29729662015896</v>
      </c>
      <c r="M680" s="4">
        <v>26.887051671856259</v>
      </c>
      <c r="N680" s="4">
        <v>28.541614378304349</v>
      </c>
      <c r="O680"/>
      <c r="P680"/>
      <c r="Q680" s="11"/>
    </row>
    <row r="681" spans="1:17" x14ac:dyDescent="0.35">
      <c r="A681" s="2" t="s">
        <v>91</v>
      </c>
      <c r="O681"/>
      <c r="P681"/>
      <c r="Q681" s="11"/>
    </row>
    <row r="682" spans="1:17" x14ac:dyDescent="0.35">
      <c r="A682" s="3" t="s">
        <v>92</v>
      </c>
      <c r="B682" s="4">
        <v>45.164409289990687</v>
      </c>
      <c r="C682" s="4">
        <v>48.191163502161167</v>
      </c>
      <c r="D682" s="4">
        <v>51.501078363381623</v>
      </c>
      <c r="E682" s="4">
        <v>55.124163318557102</v>
      </c>
      <c r="F682" s="4">
        <v>59.112379507865327</v>
      </c>
      <c r="G682" s="4">
        <v>63.546774918608023</v>
      </c>
      <c r="H682" s="4">
        <v>68.462098330190912</v>
      </c>
      <c r="I682" s="4">
        <v>73.894544686071654</v>
      </c>
      <c r="J682" s="4">
        <v>79.78268549720913</v>
      </c>
      <c r="K682" s="4">
        <v>86.086822719582969</v>
      </c>
      <c r="L682" s="4">
        <v>92.71691625881266</v>
      </c>
      <c r="M682" s="4">
        <v>99.641295982943618</v>
      </c>
      <c r="N682" s="4">
        <v>106.92656505464599</v>
      </c>
      <c r="O682"/>
      <c r="P682"/>
      <c r="Q682" s="11"/>
    </row>
    <row r="683" spans="1:17" x14ac:dyDescent="0.35">
      <c r="A683" s="3" t="s">
        <v>93</v>
      </c>
      <c r="B683" s="4">
        <v>65.011815359089468</v>
      </c>
      <c r="C683" s="4">
        <v>69.10195091177809</v>
      </c>
      <c r="D683" s="4">
        <v>73.528984353010884</v>
      </c>
      <c r="E683" s="4">
        <v>78.099927038470327</v>
      </c>
      <c r="F683" s="4">
        <v>82.643926266392057</v>
      </c>
      <c r="G683" s="4">
        <v>87.281622514766795</v>
      </c>
      <c r="H683" s="4">
        <v>92.145552185738268</v>
      </c>
      <c r="I683" s="4">
        <v>97.614462023345013</v>
      </c>
      <c r="J683" s="4">
        <v>103.89181861894114</v>
      </c>
      <c r="K683" s="4">
        <v>110.74659523020428</v>
      </c>
      <c r="L683" s="4">
        <v>118.32322547179143</v>
      </c>
      <c r="M683" s="4">
        <v>126.40725733135726</v>
      </c>
      <c r="N683" s="4">
        <v>134.87996203244239</v>
      </c>
      <c r="O683"/>
      <c r="P683"/>
      <c r="Q683" s="11"/>
    </row>
    <row r="684" spans="1:17" x14ac:dyDescent="0.35">
      <c r="A684" s="2" t="s">
        <v>94</v>
      </c>
      <c r="O684"/>
      <c r="P684"/>
      <c r="Q684" s="11"/>
    </row>
    <row r="685" spans="1:17" x14ac:dyDescent="0.35">
      <c r="A685" s="3" t="s">
        <v>48</v>
      </c>
      <c r="B685" s="4">
        <v>12.134807290650977</v>
      </c>
      <c r="C685" s="4">
        <v>13.006329071926872</v>
      </c>
      <c r="D685" s="4">
        <v>13.956701453247629</v>
      </c>
      <c r="E685" s="4">
        <v>14.966050012246237</v>
      </c>
      <c r="F685" s="4">
        <v>16.018462552491084</v>
      </c>
      <c r="G685" s="4">
        <v>17.136871504495645</v>
      </c>
      <c r="H685" s="4">
        <v>18.341936198061298</v>
      </c>
      <c r="I685" s="4">
        <v>19.686766841693135</v>
      </c>
      <c r="J685" s="4">
        <v>21.194182451669747</v>
      </c>
      <c r="K685" s="4">
        <v>22.832916502009592</v>
      </c>
      <c r="L685" s="4">
        <v>24.615482145919049</v>
      </c>
      <c r="M685" s="4">
        <v>26.512597195994896</v>
      </c>
      <c r="N685" s="4">
        <v>28.51615399493889</v>
      </c>
      <c r="O685"/>
      <c r="P685"/>
      <c r="Q685" s="11"/>
    </row>
    <row r="686" spans="1:17" x14ac:dyDescent="0.35">
      <c r="A686" s="3" t="s">
        <v>95</v>
      </c>
      <c r="B686" s="4">
        <v>7.7863328478036049</v>
      </c>
      <c r="C686" s="4">
        <v>8.4292216064616241</v>
      </c>
      <c r="D686" s="4">
        <v>9.1267366320788863</v>
      </c>
      <c r="E686" s="4">
        <v>9.9069308876457658</v>
      </c>
      <c r="F686" s="4">
        <v>10.773479238843562</v>
      </c>
      <c r="G686" s="4">
        <v>11.729307495794069</v>
      </c>
      <c r="H686" s="4">
        <v>12.772300136622411</v>
      </c>
      <c r="I686" s="4">
        <v>13.897393541081557</v>
      </c>
      <c r="J686" s="4">
        <v>15.108049906799543</v>
      </c>
      <c r="K686" s="4">
        <v>16.444069118926311</v>
      </c>
      <c r="L686" s="4">
        <v>17.921436772378371</v>
      </c>
      <c r="M686" s="4">
        <v>19.533570450639669</v>
      </c>
      <c r="N686" s="4">
        <v>21.274702864314659</v>
      </c>
      <c r="O686"/>
      <c r="P686"/>
      <c r="Q686" s="11"/>
    </row>
    <row r="687" spans="1:17" x14ac:dyDescent="0.35">
      <c r="A687" s="3" t="s">
        <v>96</v>
      </c>
      <c r="B687" s="4">
        <v>19.286989078308324</v>
      </c>
      <c r="C687" s="4">
        <v>20.770033243653486</v>
      </c>
      <c r="D687" s="4">
        <v>22.554248600085629</v>
      </c>
      <c r="E687" s="4">
        <v>24.417883452424846</v>
      </c>
      <c r="F687" s="4">
        <v>26.224916568237632</v>
      </c>
      <c r="G687" s="4">
        <v>28.017736155508246</v>
      </c>
      <c r="H687" s="4">
        <v>29.856189946830341</v>
      </c>
      <c r="I687" s="4">
        <v>32.09935418710603</v>
      </c>
      <c r="J687" s="4">
        <v>34.942293339529328</v>
      </c>
      <c r="K687" s="4">
        <v>38.074681316676077</v>
      </c>
      <c r="L687" s="4">
        <v>41.526187167857813</v>
      </c>
      <c r="M687" s="4">
        <v>45.100546793844785</v>
      </c>
      <c r="N687" s="4">
        <v>48.769622094518837</v>
      </c>
      <c r="O687"/>
      <c r="P687"/>
      <c r="Q687" s="11"/>
    </row>
    <row r="688" spans="1:17" x14ac:dyDescent="0.35">
      <c r="A688" s="3" t="s">
        <v>97</v>
      </c>
      <c r="B688" s="4">
        <v>16.537467699775714</v>
      </c>
      <c r="C688" s="4">
        <v>17.532566790731945</v>
      </c>
      <c r="D688" s="4">
        <v>18.618536580663203</v>
      </c>
      <c r="E688" s="4">
        <v>19.779538064168875</v>
      </c>
      <c r="F688" s="4">
        <v>20.97993325459009</v>
      </c>
      <c r="G688" s="4">
        <v>22.24200626167249</v>
      </c>
      <c r="H688" s="4">
        <v>23.582179395140248</v>
      </c>
      <c r="I688" s="4">
        <v>25.037074517133082</v>
      </c>
      <c r="J688" s="4">
        <v>26.619811455282044</v>
      </c>
      <c r="K688" s="4">
        <v>28.334161221569353</v>
      </c>
      <c r="L688" s="4">
        <v>30.147749621123424</v>
      </c>
      <c r="M688" s="4">
        <v>32.029739879471904</v>
      </c>
      <c r="N688" s="4">
        <v>34.003606270533766</v>
      </c>
      <c r="O688"/>
      <c r="P688"/>
      <c r="Q688" s="11"/>
    </row>
    <row r="689" spans="1:17" x14ac:dyDescent="0.35">
      <c r="A689" s="3" t="s">
        <v>98</v>
      </c>
      <c r="B689" s="4">
        <v>29.494296921185267</v>
      </c>
      <c r="C689" s="4">
        <v>31.403743470578444</v>
      </c>
      <c r="D689" s="4">
        <v>33.318189328390552</v>
      </c>
      <c r="E689" s="4">
        <v>35.290984770968471</v>
      </c>
      <c r="F689" s="4">
        <v>37.423664724403949</v>
      </c>
      <c r="G689" s="4">
        <v>39.812952731610856</v>
      </c>
      <c r="H689" s="4">
        <v>42.527729838775556</v>
      </c>
      <c r="I689" s="4">
        <v>45.520551026484377</v>
      </c>
      <c r="J689" s="4">
        <v>48.691672955830342</v>
      </c>
      <c r="K689" s="4">
        <v>52.034800975350088</v>
      </c>
      <c r="L689" s="4">
        <v>55.602595985502099</v>
      </c>
      <c r="M689" s="4">
        <v>59.455202303360245</v>
      </c>
      <c r="N689" s="4">
        <v>63.553767860066067</v>
      </c>
      <c r="O689"/>
      <c r="P689"/>
      <c r="Q689" s="11"/>
    </row>
    <row r="690" spans="1:17" x14ac:dyDescent="0.35">
      <c r="A690" s="3" t="s">
        <v>99</v>
      </c>
      <c r="B690" s="4">
        <v>10.004632778993784</v>
      </c>
      <c r="C690" s="4">
        <v>10.429759542655455</v>
      </c>
      <c r="D690" s="4">
        <v>10.874863284620977</v>
      </c>
      <c r="E690" s="4">
        <v>11.368703367935868</v>
      </c>
      <c r="F690" s="4">
        <v>11.907529685037622</v>
      </c>
      <c r="G690" s="4">
        <v>12.486797218754905</v>
      </c>
      <c r="H690" s="4">
        <v>13.096759910394915</v>
      </c>
      <c r="I690" s="4">
        <v>13.72560388100165</v>
      </c>
      <c r="J690" s="4">
        <v>14.371264487385252</v>
      </c>
      <c r="K690" s="4">
        <v>15.066224812394214</v>
      </c>
      <c r="L690" s="4">
        <v>15.816050593189011</v>
      </c>
      <c r="M690" s="4">
        <v>16.604991359681947</v>
      </c>
      <c r="N690" s="4">
        <v>17.419666635353583</v>
      </c>
      <c r="O690"/>
      <c r="P690"/>
      <c r="Q690" s="11"/>
    </row>
    <row r="691" spans="1:17" x14ac:dyDescent="0.35">
      <c r="A691" s="3" t="s">
        <v>100</v>
      </c>
      <c r="B691" s="4">
        <v>14.931698032362497</v>
      </c>
      <c r="C691" s="4">
        <v>15.721460687931428</v>
      </c>
      <c r="D691" s="4">
        <v>16.580786837305638</v>
      </c>
      <c r="E691" s="4">
        <v>17.493999801637358</v>
      </c>
      <c r="F691" s="4">
        <v>18.428319750653461</v>
      </c>
      <c r="G691" s="4">
        <v>19.402726065538602</v>
      </c>
      <c r="H691" s="4">
        <v>20.430555090104416</v>
      </c>
      <c r="I691" s="4">
        <v>21.542262714916859</v>
      </c>
      <c r="J691" s="4">
        <v>22.74722951965402</v>
      </c>
      <c r="K691" s="4">
        <v>24.04656400286159</v>
      </c>
      <c r="L691" s="4">
        <v>25.410639444634313</v>
      </c>
      <c r="M691" s="4">
        <v>26.811905331307422</v>
      </c>
      <c r="N691" s="4">
        <v>28.269007367362583</v>
      </c>
      <c r="O691"/>
      <c r="P691"/>
      <c r="Q691" s="11"/>
    </row>
    <row r="692" spans="1:17" x14ac:dyDescent="0.35">
      <c r="A692" s="1" t="s">
        <v>37</v>
      </c>
      <c r="O692"/>
      <c r="P692"/>
      <c r="Q692" s="11"/>
    </row>
    <row r="693" spans="1:17" x14ac:dyDescent="0.35">
      <c r="A693" s="2" t="s">
        <v>54</v>
      </c>
      <c r="O693"/>
      <c r="P693"/>
      <c r="Q693" s="11"/>
    </row>
    <row r="694" spans="1:17" x14ac:dyDescent="0.35">
      <c r="A694" s="3" t="s">
        <v>55</v>
      </c>
      <c r="B694" s="4">
        <v>9.7044553880152744</v>
      </c>
      <c r="C694" s="4">
        <v>10.439877512124889</v>
      </c>
      <c r="D694" s="4">
        <v>11.248431122224703</v>
      </c>
      <c r="E694" s="4">
        <v>12.138353440397786</v>
      </c>
      <c r="F694" s="4">
        <v>13.122958882469037</v>
      </c>
      <c r="G694" s="4">
        <v>14.222425387451352</v>
      </c>
      <c r="H694" s="4">
        <v>15.447192950827938</v>
      </c>
      <c r="I694" s="4">
        <v>16.808326051716016</v>
      </c>
      <c r="J694" s="4">
        <v>18.294998496639387</v>
      </c>
      <c r="K694" s="4">
        <v>19.900968331385723</v>
      </c>
      <c r="L694" s="4">
        <v>21.608111322229689</v>
      </c>
      <c r="M694" s="4">
        <v>23.411277365892452</v>
      </c>
      <c r="N694" s="4">
        <v>25.328204579881053</v>
      </c>
      <c r="O694"/>
      <c r="P694"/>
      <c r="Q694" s="11"/>
    </row>
    <row r="695" spans="1:17" x14ac:dyDescent="0.35">
      <c r="A695" s="3" t="s">
        <v>56</v>
      </c>
      <c r="B695" s="4">
        <v>24.212837932187639</v>
      </c>
      <c r="C695" s="4">
        <v>25.575938012489058</v>
      </c>
      <c r="D695" s="4">
        <v>27.047745894365185</v>
      </c>
      <c r="E695" s="4">
        <v>28.583965483685606</v>
      </c>
      <c r="F695" s="4">
        <v>30.150269167986718</v>
      </c>
      <c r="G695" s="4">
        <v>31.787325810130532</v>
      </c>
      <c r="H695" s="4">
        <v>33.529162699728808</v>
      </c>
      <c r="I695" s="4">
        <v>35.467033789996165</v>
      </c>
      <c r="J695" s="4">
        <v>37.632175070593263</v>
      </c>
      <c r="K695" s="4">
        <v>39.957714962961639</v>
      </c>
      <c r="L695" s="4">
        <v>42.456933564371319</v>
      </c>
      <c r="M695" s="4">
        <v>45.070012820032197</v>
      </c>
      <c r="N695" s="4">
        <v>47.776313160072526</v>
      </c>
      <c r="O695"/>
      <c r="P695"/>
      <c r="Q695" s="11"/>
    </row>
    <row r="696" spans="1:17" x14ac:dyDescent="0.35">
      <c r="A696" s="3" t="s">
        <v>57</v>
      </c>
      <c r="B696" s="4">
        <v>54.508271370852256</v>
      </c>
      <c r="C696" s="4">
        <v>56.891320371671227</v>
      </c>
      <c r="D696" s="4">
        <v>59.388983767414729</v>
      </c>
      <c r="E696" s="4">
        <v>62.158719534836791</v>
      </c>
      <c r="F696" s="4">
        <v>65.18097758978422</v>
      </c>
      <c r="G696" s="4">
        <v>68.431761974687717</v>
      </c>
      <c r="H696" s="4">
        <v>71.858458819723495</v>
      </c>
      <c r="I696" s="4">
        <v>75.396861070897174</v>
      </c>
      <c r="J696" s="4">
        <v>79.036014348392328</v>
      </c>
      <c r="K696" s="4">
        <v>82.954910528415624</v>
      </c>
      <c r="L696" s="4">
        <v>87.185171442125508</v>
      </c>
      <c r="M696" s="4">
        <v>91.641060020097882</v>
      </c>
      <c r="N696" s="4">
        <v>96.249516268929327</v>
      </c>
      <c r="O696"/>
      <c r="P696"/>
      <c r="Q696" s="11"/>
    </row>
    <row r="697" spans="1:17" x14ac:dyDescent="0.35">
      <c r="A697" s="2" t="s">
        <v>47</v>
      </c>
      <c r="O697"/>
      <c r="P697"/>
      <c r="Q697" s="11"/>
    </row>
    <row r="698" spans="1:17" x14ac:dyDescent="0.35">
      <c r="A698" s="3" t="s">
        <v>82</v>
      </c>
      <c r="B698" s="4">
        <v>33.917293320202916</v>
      </c>
      <c r="C698" s="4">
        <v>36.015815524613949</v>
      </c>
      <c r="D698" s="4">
        <v>38.296177016589887</v>
      </c>
      <c r="E698" s="4">
        <v>40.722318924083396</v>
      </c>
      <c r="F698" s="4">
        <v>43.273228050455756</v>
      </c>
      <c r="G698" s="4">
        <v>46.009751197581885</v>
      </c>
      <c r="H698" s="4">
        <v>48.976355650556748</v>
      </c>
      <c r="I698" s="4">
        <v>52.275359841712181</v>
      </c>
      <c r="J698" s="4">
        <v>55.92717356723265</v>
      </c>
      <c r="K698" s="4">
        <v>59.858683294347358</v>
      </c>
      <c r="L698" s="4">
        <v>64.065044886601015</v>
      </c>
      <c r="M698" s="4">
        <v>68.481290185924649</v>
      </c>
      <c r="N698" s="4">
        <v>73.104517739953579</v>
      </c>
      <c r="O698"/>
      <c r="P698"/>
      <c r="Q698" s="11"/>
    </row>
    <row r="699" spans="1:17" x14ac:dyDescent="0.35">
      <c r="A699" s="3" t="s">
        <v>83</v>
      </c>
      <c r="B699" s="4">
        <v>54.508271370852256</v>
      </c>
      <c r="C699" s="4">
        <v>56.891320371671227</v>
      </c>
      <c r="D699" s="4">
        <v>59.388983767414729</v>
      </c>
      <c r="E699" s="4">
        <v>62.158719534836791</v>
      </c>
      <c r="F699" s="4">
        <v>65.18097758978422</v>
      </c>
      <c r="G699" s="4">
        <v>68.431761974687717</v>
      </c>
      <c r="H699" s="4">
        <v>71.858458819723495</v>
      </c>
      <c r="I699" s="4">
        <v>75.396861070897174</v>
      </c>
      <c r="J699" s="4">
        <v>79.036014348392328</v>
      </c>
      <c r="K699" s="4">
        <v>82.954910528415624</v>
      </c>
      <c r="L699" s="4">
        <v>87.185171442125508</v>
      </c>
      <c r="M699" s="4">
        <v>91.641060020097882</v>
      </c>
      <c r="N699" s="4">
        <v>96.249516268929327</v>
      </c>
      <c r="O699"/>
      <c r="P699"/>
      <c r="Q699" s="11"/>
    </row>
    <row r="700" spans="1:17" x14ac:dyDescent="0.35">
      <c r="A700" s="2" t="s">
        <v>59</v>
      </c>
      <c r="O700"/>
      <c r="P700"/>
      <c r="Q700" s="11"/>
    </row>
    <row r="701" spans="1:17" x14ac:dyDescent="0.35">
      <c r="A701" s="3" t="s">
        <v>60</v>
      </c>
      <c r="O701"/>
      <c r="P701"/>
      <c r="Q701" s="11"/>
    </row>
    <row r="702" spans="1:17" x14ac:dyDescent="0.35">
      <c r="A702" s="34" t="s">
        <v>61</v>
      </c>
      <c r="B702" s="4">
        <v>17.797775112797154</v>
      </c>
      <c r="C702" s="4">
        <v>18.815431902176847</v>
      </c>
      <c r="D702" s="4">
        <v>19.860066377604838</v>
      </c>
      <c r="E702" s="4">
        <v>21.071769412761626</v>
      </c>
      <c r="F702" s="4">
        <v>22.430932627336986</v>
      </c>
      <c r="G702" s="4">
        <v>23.941839384273635</v>
      </c>
      <c r="H702" s="4">
        <v>25.506001630270106</v>
      </c>
      <c r="I702" s="4">
        <v>27.072000896637178</v>
      </c>
      <c r="J702" s="4">
        <v>28.624569026035388</v>
      </c>
      <c r="K702" s="4">
        <v>30.289197745293819</v>
      </c>
      <c r="L702" s="4">
        <v>32.138840283818126</v>
      </c>
      <c r="M702" s="4">
        <v>34.119319199249105</v>
      </c>
      <c r="N702" s="4">
        <v>36.174625944755718</v>
      </c>
      <c r="O702"/>
      <c r="P702"/>
      <c r="Q702" s="11"/>
    </row>
    <row r="703" spans="1:17" x14ac:dyDescent="0.35">
      <c r="A703" s="43" t="s">
        <v>62</v>
      </c>
      <c r="B703" s="4">
        <v>3.6621402961951652</v>
      </c>
      <c r="C703" s="4">
        <v>3.9725796230903332</v>
      </c>
      <c r="D703" s="4">
        <v>4.3163573946205052</v>
      </c>
      <c r="E703" s="4">
        <v>4.6916854240089361</v>
      </c>
      <c r="F703" s="4">
        <v>5.0918217064054963</v>
      </c>
      <c r="G703" s="4">
        <v>5.5233725157962104</v>
      </c>
      <c r="H703" s="4">
        <v>5.9920398763463938</v>
      </c>
      <c r="I703" s="4">
        <v>6.5091061975406372</v>
      </c>
      <c r="J703" s="4">
        <v>7.0806919549763858</v>
      </c>
      <c r="K703" s="4">
        <v>7.7108649861313721</v>
      </c>
      <c r="L703" s="4">
        <v>8.3940834821701582</v>
      </c>
      <c r="M703" s="4">
        <v>9.124562495510764</v>
      </c>
      <c r="N703" s="4">
        <v>9.9113148442010388</v>
      </c>
      <c r="O703"/>
      <c r="P703"/>
      <c r="Q703" s="11"/>
    </row>
    <row r="704" spans="1:17" x14ac:dyDescent="0.35">
      <c r="A704" s="43" t="s">
        <v>63</v>
      </c>
      <c r="B704" s="4">
        <v>6.1801155406391075</v>
      </c>
      <c r="C704" s="4">
        <v>6.5495005300844635</v>
      </c>
      <c r="D704" s="4">
        <v>6.9525415110332016</v>
      </c>
      <c r="E704" s="4">
        <v>7.3832848868784646</v>
      </c>
      <c r="F704" s="4">
        <v>7.8283954869406074</v>
      </c>
      <c r="G704" s="4">
        <v>8.2961712053942271</v>
      </c>
      <c r="H704" s="4">
        <v>8.7927108744289963</v>
      </c>
      <c r="I704" s="4">
        <v>9.3316354939720103</v>
      </c>
      <c r="J704" s="4">
        <v>9.9177858294363137</v>
      </c>
      <c r="K704" s="4">
        <v>10.552512142728547</v>
      </c>
      <c r="L704" s="4">
        <v>11.223700987944643</v>
      </c>
      <c r="M704" s="4">
        <v>11.919829512198968</v>
      </c>
      <c r="N704" s="4">
        <v>12.649604023030475</v>
      </c>
      <c r="O704"/>
      <c r="P704"/>
      <c r="Q704" s="11"/>
    </row>
    <row r="705" spans="1:17" x14ac:dyDescent="0.35">
      <c r="A705" s="43" t="s">
        <v>64</v>
      </c>
      <c r="B705" s="4">
        <v>7.9555192759628817</v>
      </c>
      <c r="C705" s="4">
        <v>8.293351749002051</v>
      </c>
      <c r="D705" s="4">
        <v>8.5911674719511311</v>
      </c>
      <c r="E705" s="4">
        <v>8.9967991018742239</v>
      </c>
      <c r="F705" s="4">
        <v>9.5107154339908817</v>
      </c>
      <c r="G705" s="4">
        <v>10.122295663083197</v>
      </c>
      <c r="H705" s="4">
        <v>10.721250879494715</v>
      </c>
      <c r="I705" s="4">
        <v>11.23125920512453</v>
      </c>
      <c r="J705" s="4">
        <v>11.626091241622689</v>
      </c>
      <c r="K705" s="4">
        <v>12.025820616433901</v>
      </c>
      <c r="L705" s="4">
        <v>12.521055813703327</v>
      </c>
      <c r="M705" s="4">
        <v>13.074927191539373</v>
      </c>
      <c r="N705" s="4">
        <v>13.613707077524204</v>
      </c>
      <c r="O705"/>
      <c r="P705"/>
      <c r="Q705" s="11"/>
    </row>
    <row r="706" spans="1:17" x14ac:dyDescent="0.35">
      <c r="A706" s="34" t="s">
        <v>65</v>
      </c>
      <c r="B706" s="4">
        <v>15.921664974183681</v>
      </c>
      <c r="C706" s="4">
        <v>16.725305431386253</v>
      </c>
      <c r="D706" s="4">
        <v>17.590415990687223</v>
      </c>
      <c r="E706" s="4">
        <v>18.487081278354562</v>
      </c>
      <c r="F706" s="4">
        <v>19.39247960212003</v>
      </c>
      <c r="G706" s="4">
        <v>20.332523251544913</v>
      </c>
      <c r="H706" s="4">
        <v>21.328301448908345</v>
      </c>
      <c r="I706" s="4">
        <v>22.436832438699927</v>
      </c>
      <c r="J706" s="4">
        <v>23.675898643444473</v>
      </c>
      <c r="K706" s="4">
        <v>25.001148768893827</v>
      </c>
      <c r="L706" s="4">
        <v>26.419330167039742</v>
      </c>
      <c r="M706" s="4">
        <v>27.891538077593243</v>
      </c>
      <c r="N706" s="4">
        <v>29.403946950668249</v>
      </c>
      <c r="O706"/>
      <c r="P706"/>
      <c r="Q706" s="11"/>
    </row>
    <row r="707" spans="1:17" x14ac:dyDescent="0.35">
      <c r="A707" s="34" t="s">
        <v>66</v>
      </c>
      <c r="B707" s="4">
        <v>10.182555611567851</v>
      </c>
      <c r="C707" s="4">
        <v>10.632984183336603</v>
      </c>
      <c r="D707" s="4">
        <v>11.124603573971754</v>
      </c>
      <c r="E707" s="4">
        <v>11.635244941612145</v>
      </c>
      <c r="F707" s="4">
        <v>12.153812100867853</v>
      </c>
      <c r="G707" s="4">
        <v>12.663080932734193</v>
      </c>
      <c r="H707" s="4">
        <v>13.197910165673912</v>
      </c>
      <c r="I707" s="4">
        <v>13.781723900951068</v>
      </c>
      <c r="J707" s="4">
        <v>14.437301901341796</v>
      </c>
      <c r="K707" s="4">
        <v>15.162564333905815</v>
      </c>
      <c r="L707" s="4">
        <v>15.929314742534256</v>
      </c>
      <c r="M707" s="4">
        <v>16.713599597876687</v>
      </c>
      <c r="N707" s="4">
        <v>17.5146817926822</v>
      </c>
      <c r="O707"/>
      <c r="P707"/>
      <c r="Q707" s="11"/>
    </row>
    <row r="708" spans="1:17" x14ac:dyDescent="0.35">
      <c r="A708" s="34" t="s">
        <v>67</v>
      </c>
      <c r="B708" s="4">
        <v>6.4772046747234633</v>
      </c>
      <c r="C708" s="4">
        <v>6.7140614757354244</v>
      </c>
      <c r="D708" s="4">
        <v>6.9730077199755716</v>
      </c>
      <c r="E708" s="4">
        <v>7.2396166023110711</v>
      </c>
      <c r="F708" s="4">
        <v>7.5067662975948508</v>
      </c>
      <c r="G708" s="4">
        <v>7.7637560625769426</v>
      </c>
      <c r="H708" s="4">
        <v>8.0321316409308157</v>
      </c>
      <c r="I708" s="4">
        <v>8.3258486224555739</v>
      </c>
      <c r="J708" s="4">
        <v>8.6580590018624726</v>
      </c>
      <c r="K708" s="4">
        <v>9.0266130926286792</v>
      </c>
      <c r="L708" s="4">
        <v>9.4138645728097643</v>
      </c>
      <c r="M708" s="4">
        <v>9.8051777415687624</v>
      </c>
      <c r="N708" s="4">
        <v>10.199957684641689</v>
      </c>
      <c r="O708"/>
      <c r="P708"/>
      <c r="Q708" s="11"/>
    </row>
    <row r="709" spans="1:17" x14ac:dyDescent="0.35">
      <c r="A709" s="34" t="s">
        <v>68</v>
      </c>
      <c r="B709" s="4">
        <v>10.958606918645165</v>
      </c>
      <c r="C709" s="4">
        <v>11.635040073479798</v>
      </c>
      <c r="D709" s="4">
        <v>12.355359909028536</v>
      </c>
      <c r="E709" s="4">
        <v>13.154064270962166</v>
      </c>
      <c r="F709" s="4">
        <v>14.030503675266564</v>
      </c>
      <c r="G709" s="4">
        <v>14.982899479734106</v>
      </c>
      <c r="H709" s="4">
        <v>16.002962535316843</v>
      </c>
      <c r="I709" s="4">
        <v>17.079136823517089</v>
      </c>
      <c r="J709" s="4">
        <v>18.211036231163074</v>
      </c>
      <c r="K709" s="4">
        <v>19.441935492699496</v>
      </c>
      <c r="L709" s="4">
        <v>20.78346532802405</v>
      </c>
      <c r="M709" s="4">
        <v>22.219924831902279</v>
      </c>
      <c r="N709" s="4">
        <v>23.737440834285916</v>
      </c>
      <c r="O709"/>
      <c r="P709"/>
      <c r="Q709" s="11"/>
    </row>
    <row r="710" spans="1:17" x14ac:dyDescent="0.35">
      <c r="A710" s="34" t="s">
        <v>69</v>
      </c>
      <c r="B710" s="4">
        <v>12.509751840338001</v>
      </c>
      <c r="C710" s="4">
        <v>12.800253512310311</v>
      </c>
      <c r="D710" s="4">
        <v>13.118834974949614</v>
      </c>
      <c r="E710" s="4">
        <v>13.467210235845581</v>
      </c>
      <c r="F710" s="4">
        <v>13.851771144371449</v>
      </c>
      <c r="G710" s="4">
        <v>14.28425138081341</v>
      </c>
      <c r="H710" s="4">
        <v>14.76356444250986</v>
      </c>
      <c r="I710" s="4">
        <v>15.288488150875217</v>
      </c>
      <c r="J710" s="4">
        <v>15.837171868393602</v>
      </c>
      <c r="K710" s="4">
        <v>16.394989007794926</v>
      </c>
      <c r="L710" s="4">
        <v>16.939663614039858</v>
      </c>
      <c r="M710" s="4">
        <v>17.462907527636968</v>
      </c>
      <c r="N710" s="4">
        <v>17.974930740210631</v>
      </c>
      <c r="O710"/>
      <c r="P710"/>
      <c r="Q710" s="11"/>
    </row>
    <row r="711" spans="1:17" x14ac:dyDescent="0.35">
      <c r="A711" s="3" t="s">
        <v>70</v>
      </c>
      <c r="O711"/>
      <c r="P711"/>
      <c r="Q711" s="11"/>
    </row>
    <row r="712" spans="1:17" x14ac:dyDescent="0.35">
      <c r="A712" s="34" t="s">
        <v>71</v>
      </c>
      <c r="B712" s="4">
        <v>2.0199089134365327</v>
      </c>
      <c r="C712" s="4">
        <v>2.1918235624367317</v>
      </c>
      <c r="D712" s="4">
        <v>2.3806660804656352</v>
      </c>
      <c r="E712" s="4">
        <v>2.5891514493304428</v>
      </c>
      <c r="F712" s="4">
        <v>2.8198093466462382</v>
      </c>
      <c r="G712" s="4">
        <v>3.0755139676239827</v>
      </c>
      <c r="H712" s="4">
        <v>3.3590927718916053</v>
      </c>
      <c r="I712" s="4">
        <v>3.6711624226976598</v>
      </c>
      <c r="J712" s="4">
        <v>4.012163080763008</v>
      </c>
      <c r="K712" s="4">
        <v>4.3829943404391498</v>
      </c>
      <c r="L712" s="4">
        <v>4.7844687104314163</v>
      </c>
      <c r="M712" s="4">
        <v>5.2201542997897006</v>
      </c>
      <c r="N712" s="4">
        <v>5.6904510138507858</v>
      </c>
      <c r="O712"/>
      <c r="P712"/>
      <c r="Q712" s="11"/>
    </row>
    <row r="713" spans="1:17" x14ac:dyDescent="0.35">
      <c r="A713" s="34" t="s">
        <v>72</v>
      </c>
      <c r="B713" s="4">
        <v>1.4872976412883512</v>
      </c>
      <c r="C713" s="4">
        <v>1.6316517380979307</v>
      </c>
      <c r="D713" s="4">
        <v>1.7917259006205004</v>
      </c>
      <c r="E713" s="4">
        <v>1.9700425122569878</v>
      </c>
      <c r="F713" s="4">
        <v>2.1690841128047995</v>
      </c>
      <c r="G713" s="4">
        <v>2.3916959209038056</v>
      </c>
      <c r="H713" s="4">
        <v>2.6407987350470323</v>
      </c>
      <c r="I713" s="4">
        <v>2.9176886790930916</v>
      </c>
      <c r="J713" s="4">
        <v>3.2235621359510738</v>
      </c>
      <c r="K713" s="4">
        <v>3.5600202777492087</v>
      </c>
      <c r="L713" s="4">
        <v>3.9286463863383645</v>
      </c>
      <c r="M713" s="4">
        <v>4.3333376477483956</v>
      </c>
      <c r="N713" s="4">
        <v>4.7755130153803513</v>
      </c>
      <c r="O713"/>
      <c r="P713"/>
      <c r="Q713" s="11"/>
    </row>
    <row r="714" spans="1:17" x14ac:dyDescent="0.35">
      <c r="A714" s="34" t="s">
        <v>73</v>
      </c>
      <c r="B714" s="4">
        <v>1.4712310767067385</v>
      </c>
      <c r="C714" s="4">
        <v>1.5528288158006673</v>
      </c>
      <c r="D714" s="4">
        <v>1.6415401945364534</v>
      </c>
      <c r="E714" s="4">
        <v>1.738055455744355</v>
      </c>
      <c r="F714" s="4">
        <v>1.8437214958840797</v>
      </c>
      <c r="G714" s="4">
        <v>1.9607281518749566</v>
      </c>
      <c r="H714" s="4">
        <v>2.0897353421611089</v>
      </c>
      <c r="I714" s="4">
        <v>2.2314101023765565</v>
      </c>
      <c r="J714" s="4">
        <v>2.3834335844757701</v>
      </c>
      <c r="K714" s="4">
        <v>2.5442253011707834</v>
      </c>
      <c r="L714" s="4">
        <v>2.710775933150269</v>
      </c>
      <c r="M714" s="4">
        <v>2.8819041951084801</v>
      </c>
      <c r="N714" s="4">
        <v>3.0593165732683691</v>
      </c>
      <c r="O714"/>
      <c r="P714"/>
      <c r="Q714" s="11"/>
    </row>
    <row r="715" spans="1:17" x14ac:dyDescent="0.35">
      <c r="A715" s="34" t="s">
        <v>74</v>
      </c>
      <c r="B715" s="4">
        <v>1.6515855011814022</v>
      </c>
      <c r="C715" s="4">
        <v>1.7679489896885103</v>
      </c>
      <c r="D715" s="4">
        <v>1.8947208767272081</v>
      </c>
      <c r="E715" s="4">
        <v>2.0291619804840462</v>
      </c>
      <c r="F715" s="4">
        <v>2.1690841128047995</v>
      </c>
      <c r="G715" s="4">
        <v>2.3175701211360593</v>
      </c>
      <c r="H715" s="4">
        <v>2.4773796170122186</v>
      </c>
      <c r="I715" s="4">
        <v>2.655641015387245</v>
      </c>
      <c r="J715" s="4">
        <v>2.8553601573720302</v>
      </c>
      <c r="K715" s="4">
        <v>3.0722408223457229</v>
      </c>
      <c r="L715" s="4">
        <v>3.3078989743658349</v>
      </c>
      <c r="M715" s="4">
        <v>3.5583255332172992</v>
      </c>
      <c r="N715" s="4">
        <v>3.8223733028900946</v>
      </c>
      <c r="O715"/>
      <c r="P715"/>
      <c r="Q715" s="11"/>
    </row>
    <row r="716" spans="1:17" x14ac:dyDescent="0.35">
      <c r="A716" s="34" t="s">
        <v>75</v>
      </c>
      <c r="B716" s="4">
        <v>1.3457613108666473</v>
      </c>
      <c r="C716" s="4">
        <v>1.4544583394917481</v>
      </c>
      <c r="D716" s="4">
        <v>1.5745059372072514</v>
      </c>
      <c r="E716" s="4">
        <v>1.7051187752440786</v>
      </c>
      <c r="F716" s="4">
        <v>1.8437214958840797</v>
      </c>
      <c r="G716" s="4">
        <v>1.9926088574256084</v>
      </c>
      <c r="H716" s="4">
        <v>2.1537146034679715</v>
      </c>
      <c r="I716" s="4">
        <v>2.3309485227489044</v>
      </c>
      <c r="J716" s="4">
        <v>2.5263128895950548</v>
      </c>
      <c r="K716" s="4">
        <v>2.7410464336522851</v>
      </c>
      <c r="L716" s="4">
        <v>2.9729517087811024</v>
      </c>
      <c r="M716" s="4">
        <v>3.2197753216284899</v>
      </c>
      <c r="N716" s="4">
        <v>3.4845167416319023</v>
      </c>
      <c r="O716"/>
      <c r="P716"/>
      <c r="Q716" s="11"/>
    </row>
    <row r="717" spans="1:17" x14ac:dyDescent="0.35">
      <c r="A717" s="3" t="s">
        <v>76</v>
      </c>
      <c r="O717"/>
      <c r="P717"/>
      <c r="Q717" s="11"/>
    </row>
    <row r="718" spans="1:17" x14ac:dyDescent="0.35">
      <c r="A718" s="34" t="s">
        <v>77</v>
      </c>
      <c r="B718" s="4">
        <v>1.9776475350318388</v>
      </c>
      <c r="C718" s="4">
        <v>2.1031985577322438</v>
      </c>
      <c r="D718" s="4">
        <v>2.2287760488362065</v>
      </c>
      <c r="E718" s="4">
        <v>2.3579476206041639</v>
      </c>
      <c r="F718" s="4">
        <v>2.4974834474834458</v>
      </c>
      <c r="G718" s="4">
        <v>2.653800502497746</v>
      </c>
      <c r="H718" s="4">
        <v>2.8314294703439153</v>
      </c>
      <c r="I718" s="4">
        <v>3.0271348264219764</v>
      </c>
      <c r="J718" s="4">
        <v>3.2342182135695738</v>
      </c>
      <c r="K718" s="4">
        <v>3.452219559701617</v>
      </c>
      <c r="L718" s="4">
        <v>3.684592160681798</v>
      </c>
      <c r="M718" s="4">
        <v>3.9352688300459664</v>
      </c>
      <c r="N718" s="4">
        <v>4.2016112629864155</v>
      </c>
      <c r="O718"/>
      <c r="P718"/>
      <c r="Q718" s="11"/>
    </row>
    <row r="719" spans="1:17" x14ac:dyDescent="0.35">
      <c r="A719" s="34" t="s">
        <v>78</v>
      </c>
      <c r="B719" s="4">
        <v>1.817821652426783</v>
      </c>
      <c r="C719" s="4">
        <v>1.9058135943529002</v>
      </c>
      <c r="D719" s="4">
        <v>1.9908662143184015</v>
      </c>
      <c r="E719" s="4">
        <v>2.0762273968231564</v>
      </c>
      <c r="F719" s="4">
        <v>2.1677826623371166</v>
      </c>
      <c r="G719" s="4">
        <v>2.2707739040600918</v>
      </c>
      <c r="H719" s="4">
        <v>2.3885224500800706</v>
      </c>
      <c r="I719" s="4">
        <v>2.5175959223008308</v>
      </c>
      <c r="J719" s="4">
        <v>2.651857202442744</v>
      </c>
      <c r="K719" s="4">
        <v>2.7906150250241715</v>
      </c>
      <c r="L719" s="4">
        <v>2.9363721806363881</v>
      </c>
      <c r="M719" s="4">
        <v>3.0918644945637102</v>
      </c>
      <c r="N719" s="4">
        <v>3.2544996452535044</v>
      </c>
      <c r="O719"/>
      <c r="P719"/>
      <c r="Q719" s="11"/>
    </row>
    <row r="720" spans="1:17" x14ac:dyDescent="0.35">
      <c r="A720" s="34" t="s">
        <v>79</v>
      </c>
      <c r="B720" s="4">
        <v>1.0199908109090892</v>
      </c>
      <c r="C720" s="4">
        <v>1.1039797950457304</v>
      </c>
      <c r="D720" s="4">
        <v>1.1960412245488419</v>
      </c>
      <c r="E720" s="4">
        <v>1.2974740946242103</v>
      </c>
      <c r="F720" s="4">
        <v>1.4094708565005589</v>
      </c>
      <c r="G720" s="4">
        <v>1.5333835167134156</v>
      </c>
      <c r="H720" s="4">
        <v>1.6705264575664329</v>
      </c>
      <c r="I720" s="4">
        <v>1.8211005964650357</v>
      </c>
      <c r="J720" s="4">
        <v>1.9852164951626456</v>
      </c>
      <c r="K720" s="4">
        <v>2.16321011236839</v>
      </c>
      <c r="L720" s="4">
        <v>2.3553701830664253</v>
      </c>
      <c r="M720" s="4">
        <v>2.563338215392688</v>
      </c>
      <c r="N720" s="4">
        <v>2.7871824333254245</v>
      </c>
      <c r="O720"/>
      <c r="P720"/>
      <c r="Q720" s="11"/>
    </row>
    <row r="721" spans="1:17" x14ac:dyDescent="0.35">
      <c r="A721" s="34" t="s">
        <v>80</v>
      </c>
      <c r="B721" s="4">
        <v>0.82527470493683819</v>
      </c>
      <c r="C721" s="4">
        <v>0.8590481845629796</v>
      </c>
      <c r="D721" s="4">
        <v>0.8959219038848677</v>
      </c>
      <c r="E721" s="4">
        <v>0.93407974731229293</v>
      </c>
      <c r="F721" s="4">
        <v>0.97261731618167202</v>
      </c>
      <c r="G721" s="4">
        <v>1.0101511932854566</v>
      </c>
      <c r="H721" s="4">
        <v>1.0494702419557678</v>
      </c>
      <c r="I721" s="4">
        <v>1.092418682787536</v>
      </c>
      <c r="J721" s="4">
        <v>1.1407661379738805</v>
      </c>
      <c r="K721" s="4">
        <v>1.1942953619792906</v>
      </c>
      <c r="L721" s="4">
        <v>1.2507344856986005</v>
      </c>
      <c r="M721" s="4">
        <v>1.3081731216522834</v>
      </c>
      <c r="N721" s="4">
        <v>1.366541935408804</v>
      </c>
      <c r="O721"/>
      <c r="P721"/>
      <c r="Q721" s="11"/>
    </row>
    <row r="722" spans="1:17" x14ac:dyDescent="0.35">
      <c r="A722" s="34" t="s">
        <v>81</v>
      </c>
      <c r="B722" s="4">
        <v>0.96148641201561758</v>
      </c>
      <c r="C722" s="4">
        <v>1.0133077406505024</v>
      </c>
      <c r="D722" s="4">
        <v>1.0681078566417128</v>
      </c>
      <c r="E722" s="4">
        <v>1.1287926846493002</v>
      </c>
      <c r="F722" s="4">
        <v>1.1951653461554443</v>
      </c>
      <c r="G722" s="4">
        <v>1.2669365450712624</v>
      </c>
      <c r="H722" s="4">
        <v>1.3432729171442233</v>
      </c>
      <c r="I722" s="4">
        <v>1.4230893091944732</v>
      </c>
      <c r="J722" s="4">
        <v>1.5062613460784118</v>
      </c>
      <c r="K722" s="4">
        <v>1.5962781471158096</v>
      </c>
      <c r="L722" s="4">
        <v>1.6939268973105306</v>
      </c>
      <c r="M722" s="4">
        <v>1.7977415710484597</v>
      </c>
      <c r="N722" s="4">
        <v>1.9064441376428185</v>
      </c>
      <c r="O722"/>
      <c r="P722"/>
      <c r="Q722" s="11"/>
    </row>
    <row r="723" spans="1:17" x14ac:dyDescent="0.35">
      <c r="A723" s="2" t="s">
        <v>84</v>
      </c>
      <c r="O723"/>
      <c r="P723"/>
      <c r="Q723" s="11"/>
    </row>
    <row r="724" spans="1:17" x14ac:dyDescent="0.35">
      <c r="A724" s="3" t="s">
        <v>85</v>
      </c>
      <c r="B724" s="4">
        <v>4.7056752368671395</v>
      </c>
      <c r="C724" s="4">
        <v>4.8702601574936173</v>
      </c>
      <c r="D724" s="4">
        <v>5.0492109770187099</v>
      </c>
      <c r="E724" s="4">
        <v>5.2368433264919867</v>
      </c>
      <c r="F724" s="4">
        <v>5.422710282011999</v>
      </c>
      <c r="G724" s="4">
        <v>5.6122862502480197</v>
      </c>
      <c r="H724" s="4">
        <v>5.8090394506791529</v>
      </c>
      <c r="I724" s="4">
        <v>6.0210584784842558</v>
      </c>
      <c r="J724" s="4">
        <v>6.2499741042291994</v>
      </c>
      <c r="K724" s="4">
        <v>6.4950025305354879</v>
      </c>
      <c r="L724" s="4">
        <v>6.7470772738352318</v>
      </c>
      <c r="M724" s="4">
        <v>6.9982642159374402</v>
      </c>
      <c r="N724" s="4">
        <v>7.253207398764105</v>
      </c>
      <c r="O724"/>
      <c r="P724"/>
      <c r="Q724" s="11"/>
    </row>
    <row r="725" spans="1:17" x14ac:dyDescent="0.35">
      <c r="A725" s="3" t="s">
        <v>86</v>
      </c>
      <c r="B725" s="4">
        <v>14.200310915576265</v>
      </c>
      <c r="C725" s="4">
        <v>14.749934165791901</v>
      </c>
      <c r="D725" s="4">
        <v>15.350330460607834</v>
      </c>
      <c r="E725" s="4">
        <v>15.970049118926287</v>
      </c>
      <c r="F725" s="4">
        <v>16.593493462956715</v>
      </c>
      <c r="G725" s="4">
        <v>17.197026728696155</v>
      </c>
      <c r="H725" s="4">
        <v>17.82824385663222</v>
      </c>
      <c r="I725" s="4">
        <v>18.518286306573991</v>
      </c>
      <c r="J725" s="4">
        <v>19.296764481069957</v>
      </c>
      <c r="K725" s="4">
        <v>20.159426631028186</v>
      </c>
      <c r="L725" s="4">
        <v>21.067373914413075</v>
      </c>
      <c r="M725" s="4">
        <v>21.988123812135584</v>
      </c>
      <c r="N725" s="4">
        <v>22.92041280010169</v>
      </c>
      <c r="O725"/>
      <c r="P725"/>
      <c r="Q725" s="11"/>
    </row>
    <row r="726" spans="1:17" x14ac:dyDescent="0.35">
      <c r="A726" s="3" t="s">
        <v>87</v>
      </c>
      <c r="B726" s="4">
        <v>25.952317842130498</v>
      </c>
      <c r="C726" s="4">
        <v>27.505813126547835</v>
      </c>
      <c r="D726" s="4">
        <v>29.106877411074393</v>
      </c>
      <c r="E726" s="4">
        <v>30.956754083411141</v>
      </c>
      <c r="F726" s="4">
        <v>33.078532720273202</v>
      </c>
      <c r="G726" s="4">
        <v>35.464430702904238</v>
      </c>
      <c r="H726" s="4">
        <v>38.016086930407141</v>
      </c>
      <c r="I726" s="4">
        <v>40.633561326059933</v>
      </c>
      <c r="J726" s="4">
        <v>43.286403031450618</v>
      </c>
      <c r="K726" s="4">
        <v>46.160051458719849</v>
      </c>
      <c r="L726" s="4">
        <v>49.360828930696357</v>
      </c>
      <c r="M726" s="4">
        <v>52.8566927584898</v>
      </c>
      <c r="N726" s="4">
        <v>56.562840569737247</v>
      </c>
      <c r="O726"/>
      <c r="P726"/>
      <c r="Q726" s="11"/>
    </row>
    <row r="727" spans="1:17" x14ac:dyDescent="0.35">
      <c r="A727" s="3" t="s">
        <v>88</v>
      </c>
      <c r="B727" s="4">
        <v>21.076568163875166</v>
      </c>
      <c r="C727" s="4">
        <v>22.309176130728115</v>
      </c>
      <c r="D727" s="4">
        <v>23.641756421007504</v>
      </c>
      <c r="E727" s="4">
        <v>25.03620359247185</v>
      </c>
      <c r="F727" s="4">
        <v>26.462826176218552</v>
      </c>
      <c r="G727" s="4">
        <v>27.957509703721062</v>
      </c>
      <c r="H727" s="4">
        <v>29.550595276033594</v>
      </c>
      <c r="I727" s="4">
        <v>31.323110449065673</v>
      </c>
      <c r="J727" s="4">
        <v>33.303745417996893</v>
      </c>
      <c r="K727" s="4">
        <v>35.43459846823508</v>
      </c>
      <c r="L727" s="4">
        <v>37.728364526856964</v>
      </c>
      <c r="M727" s="4">
        <v>40.132883167798404</v>
      </c>
      <c r="N727" s="4">
        <v>42.630448190955349</v>
      </c>
      <c r="O727"/>
      <c r="P727"/>
      <c r="Q727" s="11"/>
    </row>
    <row r="728" spans="1:17" x14ac:dyDescent="0.35">
      <c r="A728" s="3" t="s">
        <v>89</v>
      </c>
      <c r="B728" s="4">
        <v>8.00705536375491</v>
      </c>
      <c r="C728" s="4">
        <v>8.4278341884292249</v>
      </c>
      <c r="D728" s="4">
        <v>8.8856236706256357</v>
      </c>
      <c r="E728" s="4">
        <v>9.371986270772414</v>
      </c>
      <c r="F728" s="4">
        <v>9.8693327132618371</v>
      </c>
      <c r="G728" s="4">
        <v>10.38781619817477</v>
      </c>
      <c r="H728" s="4">
        <v>10.934555603412161</v>
      </c>
      <c r="I728" s="4">
        <v>11.525823041164129</v>
      </c>
      <c r="J728" s="4">
        <v>12.166593553841331</v>
      </c>
      <c r="K728" s="4">
        <v>12.85741131144534</v>
      </c>
      <c r="L728" s="4">
        <v>13.582385978059959</v>
      </c>
      <c r="M728" s="4">
        <v>14.326757403752788</v>
      </c>
      <c r="N728" s="4">
        <v>15.100469071383909</v>
      </c>
      <c r="O728"/>
      <c r="P728"/>
      <c r="Q728" s="11"/>
    </row>
    <row r="729" spans="1:17" x14ac:dyDescent="0.35">
      <c r="A729" s="3" t="s">
        <v>90</v>
      </c>
      <c r="B729" s="4">
        <v>14.483637168851198</v>
      </c>
      <c r="C729" s="4">
        <v>15.044118127294494</v>
      </c>
      <c r="D729" s="4">
        <v>15.651361843670532</v>
      </c>
      <c r="E729" s="4">
        <v>16.309202066846517</v>
      </c>
      <c r="F729" s="4">
        <v>17.027310285517679</v>
      </c>
      <c r="G729" s="4">
        <v>17.822443588525356</v>
      </c>
      <c r="H729" s="4">
        <v>18.696293353115962</v>
      </c>
      <c r="I729" s="4">
        <v>19.650381311261384</v>
      </c>
      <c r="J729" s="4">
        <v>20.65970732703698</v>
      </c>
      <c r="K729" s="4">
        <v>21.707103422799054</v>
      </c>
      <c r="L729" s="4">
        <v>22.76418570486495</v>
      </c>
      <c r="M729" s="4">
        <v>23.819628847908518</v>
      </c>
      <c r="N729" s="4">
        <v>24.886655977940606</v>
      </c>
      <c r="O729"/>
      <c r="P729"/>
      <c r="Q729" s="11"/>
    </row>
    <row r="730" spans="1:17" x14ac:dyDescent="0.35">
      <c r="A730" s="2" t="s">
        <v>91</v>
      </c>
      <c r="O730"/>
      <c r="P730"/>
      <c r="Q730" s="11"/>
    </row>
    <row r="731" spans="1:17" x14ac:dyDescent="0.35">
      <c r="A731" s="3" t="s">
        <v>92</v>
      </c>
      <c r="B731" s="4">
        <v>39.666582277669406</v>
      </c>
      <c r="C731" s="4">
        <v>42.050272574437813</v>
      </c>
      <c r="D731" s="4">
        <v>44.418375243790464</v>
      </c>
      <c r="E731" s="4">
        <v>46.842037550423775</v>
      </c>
      <c r="F731" s="4">
        <v>49.455117771949432</v>
      </c>
      <c r="G731" s="4">
        <v>52.382759455893748</v>
      </c>
      <c r="H731" s="4">
        <v>55.711261175370851</v>
      </c>
      <c r="I731" s="4">
        <v>59.372997961132292</v>
      </c>
      <c r="J731" s="4">
        <v>63.233262000909107</v>
      </c>
      <c r="K731" s="4">
        <v>67.280998605476398</v>
      </c>
      <c r="L731" s="4">
        <v>71.58154608722343</v>
      </c>
      <c r="M731" s="4">
        <v>76.208712412103523</v>
      </c>
      <c r="N731" s="4">
        <v>81.108094282358749</v>
      </c>
      <c r="O731"/>
      <c r="P731"/>
      <c r="Q731" s="11"/>
    </row>
    <row r="732" spans="1:17" x14ac:dyDescent="0.35">
      <c r="A732" s="3" t="s">
        <v>93</v>
      </c>
      <c r="B732" s="4">
        <v>48.758982413385766</v>
      </c>
      <c r="C732" s="4">
        <v>50.856863321847371</v>
      </c>
      <c r="D732" s="4">
        <v>53.266785540214144</v>
      </c>
      <c r="E732" s="4">
        <v>56.039000908496412</v>
      </c>
      <c r="F732" s="4">
        <v>58.999087868290545</v>
      </c>
      <c r="G732" s="4">
        <v>62.058753716375847</v>
      </c>
      <c r="H732" s="4">
        <v>65.123553294909385</v>
      </c>
      <c r="I732" s="4">
        <v>68.299222951477077</v>
      </c>
      <c r="J732" s="4">
        <v>71.729925914715878</v>
      </c>
      <c r="K732" s="4">
        <v>75.532595217286584</v>
      </c>
      <c r="L732" s="4">
        <v>79.668670241503108</v>
      </c>
      <c r="M732" s="4">
        <v>83.913637793919008</v>
      </c>
      <c r="N732" s="4">
        <v>88.245939726524156</v>
      </c>
      <c r="O732"/>
      <c r="P732"/>
      <c r="Q732" s="11"/>
    </row>
    <row r="733" spans="1:17" x14ac:dyDescent="0.35">
      <c r="A733" s="2" t="s">
        <v>94</v>
      </c>
      <c r="O733"/>
      <c r="P733"/>
      <c r="Q733" s="11"/>
    </row>
    <row r="734" spans="1:17" x14ac:dyDescent="0.35">
      <c r="A734" s="3" t="s">
        <v>48</v>
      </c>
      <c r="B734" s="4">
        <v>9.0935175835655855</v>
      </c>
      <c r="C734" s="4">
        <v>9.6189663694120391</v>
      </c>
      <c r="D734" s="4">
        <v>10.190808660928576</v>
      </c>
      <c r="E734" s="4">
        <v>10.813631345124024</v>
      </c>
      <c r="F734" s="4">
        <v>11.496145797865438</v>
      </c>
      <c r="G734" s="4">
        <v>12.252394303447007</v>
      </c>
      <c r="H734" s="4">
        <v>13.086979863118543</v>
      </c>
      <c r="I734" s="4">
        <v>14.004588112581779</v>
      </c>
      <c r="J734" s="4">
        <v>14.991203688140798</v>
      </c>
      <c r="K734" s="4">
        <v>16.037331655776342</v>
      </c>
      <c r="L734" s="4">
        <v>17.124386684807401</v>
      </c>
      <c r="M734" s="4">
        <v>18.245168430613873</v>
      </c>
      <c r="N734" s="4">
        <v>19.410695074203581</v>
      </c>
      <c r="O734"/>
      <c r="P734"/>
      <c r="Q734" s="11"/>
    </row>
    <row r="735" spans="1:17" x14ac:dyDescent="0.35">
      <c r="A735" s="3" t="s">
        <v>95</v>
      </c>
      <c r="B735" s="4">
        <v>5.738918111027802</v>
      </c>
      <c r="C735" s="4">
        <v>6.1918140007803997</v>
      </c>
      <c r="D735" s="4">
        <v>6.6913964741826755</v>
      </c>
      <c r="E735" s="4">
        <v>7.2340786924521767</v>
      </c>
      <c r="F735" s="4">
        <v>7.8087028060972781</v>
      </c>
      <c r="G735" s="4">
        <v>8.4248125546033421</v>
      </c>
      <c r="H735" s="4">
        <v>9.0903588203818053</v>
      </c>
      <c r="I735" s="4">
        <v>9.8215771378807126</v>
      </c>
      <c r="J735" s="4">
        <v>10.626552902815018</v>
      </c>
      <c r="K735" s="4">
        <v>11.510102670220164</v>
      </c>
      <c r="L735" s="4">
        <v>12.462578989124678</v>
      </c>
      <c r="M735" s="4">
        <v>13.474163568112242</v>
      </c>
      <c r="N735" s="4">
        <v>14.557085468368221</v>
      </c>
      <c r="O735"/>
      <c r="P735"/>
      <c r="Q735" s="11"/>
    </row>
    <row r="736" spans="1:17" x14ac:dyDescent="0.35">
      <c r="A736" s="3" t="s">
        <v>96</v>
      </c>
      <c r="B736" s="4">
        <v>7.7360218189890304</v>
      </c>
      <c r="C736" s="4">
        <v>8.246101862194223</v>
      </c>
      <c r="D736" s="4">
        <v>8.8724970488116242</v>
      </c>
      <c r="E736" s="4">
        <v>9.7048582712570379</v>
      </c>
      <c r="F736" s="4">
        <v>10.628512152743511</v>
      </c>
      <c r="G736" s="4">
        <v>11.574932354802272</v>
      </c>
      <c r="H736" s="4">
        <v>12.427290940703401</v>
      </c>
      <c r="I736" s="4">
        <v>13.219144571486183</v>
      </c>
      <c r="J736" s="4">
        <v>14.037680608356979</v>
      </c>
      <c r="K736" s="4">
        <v>15.035175892940543</v>
      </c>
      <c r="L736" s="4">
        <v>16.266074786905506</v>
      </c>
      <c r="M736" s="4">
        <v>17.589770396423717</v>
      </c>
      <c r="N736" s="4">
        <v>18.965398688410261</v>
      </c>
      <c r="O736"/>
      <c r="P736"/>
      <c r="Q736" s="11"/>
    </row>
    <row r="737" spans="1:17" x14ac:dyDescent="0.35">
      <c r="A737" s="3" t="s">
        <v>97</v>
      </c>
      <c r="B737" s="4">
        <v>7.4546340734456349</v>
      </c>
      <c r="C737" s="4">
        <v>7.8374638467388262</v>
      </c>
      <c r="D737" s="4">
        <v>8.2497505208614683</v>
      </c>
      <c r="E737" s="4">
        <v>8.67753805890462</v>
      </c>
      <c r="F737" s="4">
        <v>9.110153273780158</v>
      </c>
      <c r="G737" s="4">
        <v>9.5597812718047699</v>
      </c>
      <c r="H737" s="4">
        <v>10.03638037180192</v>
      </c>
      <c r="I737" s="4">
        <v>10.566849271831229</v>
      </c>
      <c r="J737" s="4">
        <v>11.159698155104694</v>
      </c>
      <c r="K737" s="4">
        <v>11.794178363224857</v>
      </c>
      <c r="L737" s="4">
        <v>12.473577325456457</v>
      </c>
      <c r="M737" s="4">
        <v>13.179639217855195</v>
      </c>
      <c r="N737" s="4">
        <v>13.905898004534233</v>
      </c>
      <c r="O737"/>
      <c r="P737"/>
      <c r="Q737" s="11"/>
    </row>
    <row r="738" spans="1:17" x14ac:dyDescent="0.35">
      <c r="A738" s="3" t="s">
        <v>98</v>
      </c>
      <c r="B738" s="4">
        <v>21.400269442113888</v>
      </c>
      <c r="C738" s="4">
        <v>22.573045458297724</v>
      </c>
      <c r="D738" s="4">
        <v>23.833739813174258</v>
      </c>
      <c r="E738" s="4">
        <v>25.198607840943424</v>
      </c>
      <c r="F738" s="4">
        <v>26.679734587499034</v>
      </c>
      <c r="G738" s="4">
        <v>28.290479705806398</v>
      </c>
      <c r="H738" s="4">
        <v>30.041580215221209</v>
      </c>
      <c r="I738" s="4">
        <v>31.922026461561995</v>
      </c>
      <c r="J738" s="4">
        <v>33.919646802103188</v>
      </c>
      <c r="K738" s="4">
        <v>36.026687578832309</v>
      </c>
      <c r="L738" s="4">
        <v>38.234764082640787</v>
      </c>
      <c r="M738" s="4">
        <v>40.557690736424334</v>
      </c>
      <c r="N738" s="4">
        <v>42.98240472869297</v>
      </c>
      <c r="O738"/>
      <c r="P738"/>
      <c r="Q738" s="11"/>
    </row>
    <row r="739" spans="1:17" x14ac:dyDescent="0.35">
      <c r="A739" s="3" t="s">
        <v>99</v>
      </c>
      <c r="B739" s="4">
        <v>27.290484561768128</v>
      </c>
      <c r="C739" s="4">
        <v>28.295628796983038</v>
      </c>
      <c r="D739" s="4">
        <v>29.230916352752228</v>
      </c>
      <c r="E739" s="4">
        <v>30.145918697250448</v>
      </c>
      <c r="F739" s="4">
        <v>31.12635701874887</v>
      </c>
      <c r="G739" s="4">
        <v>32.244916869775984</v>
      </c>
      <c r="H739" s="4">
        <v>33.543744662906079</v>
      </c>
      <c r="I739" s="4">
        <v>34.968186356898443</v>
      </c>
      <c r="J739" s="4">
        <v>36.428293915824845</v>
      </c>
      <c r="K739" s="4">
        <v>37.912780505300496</v>
      </c>
      <c r="L739" s="4">
        <v>39.454213515607371</v>
      </c>
      <c r="M739" s="4">
        <v>41.086830281671133</v>
      </c>
      <c r="N739" s="4">
        <v>42.772505693012135</v>
      </c>
      <c r="O739"/>
      <c r="P739"/>
      <c r="Q739" s="11"/>
    </row>
    <row r="740" spans="1:17" x14ac:dyDescent="0.35">
      <c r="A740" s="3" t="s">
        <v>100</v>
      </c>
      <c r="B740" s="4">
        <v>9.7117191001450962</v>
      </c>
      <c r="C740" s="4">
        <v>10.144115561878937</v>
      </c>
      <c r="D740" s="4">
        <v>10.61605191329379</v>
      </c>
      <c r="E740" s="4">
        <v>11.106405552988466</v>
      </c>
      <c r="F740" s="4">
        <v>11.604600003505675</v>
      </c>
      <c r="G740" s="4">
        <v>12.094196112029822</v>
      </c>
      <c r="H740" s="4">
        <v>12.60847959614728</v>
      </c>
      <c r="I740" s="4">
        <v>13.169849000369027</v>
      </c>
      <c r="J740" s="4">
        <v>13.800111843279451</v>
      </c>
      <c r="K740" s="4">
        <v>14.49733715646826</v>
      </c>
      <c r="L740" s="4">
        <v>15.234620944184345</v>
      </c>
      <c r="M740" s="4">
        <v>15.989087574922014</v>
      </c>
      <c r="N740" s="4">
        <v>16.760046351661526</v>
      </c>
      <c r="O740"/>
      <c r="P740"/>
      <c r="Q740" s="11"/>
    </row>
    <row r="741" spans="1:17" x14ac:dyDescent="0.35">
      <c r="A741" s="1" t="s">
        <v>38</v>
      </c>
      <c r="O741"/>
      <c r="P741"/>
      <c r="Q741" s="11"/>
    </row>
    <row r="742" spans="1:17" x14ac:dyDescent="0.35">
      <c r="A742" s="2" t="s">
        <v>54</v>
      </c>
      <c r="O742"/>
      <c r="P742"/>
      <c r="Q742" s="11"/>
    </row>
    <row r="743" spans="1:17" x14ac:dyDescent="0.35">
      <c r="A743" s="3" t="s">
        <v>55</v>
      </c>
      <c r="B743" s="4">
        <v>21.708371077472179</v>
      </c>
      <c r="C743" s="4">
        <v>23.881003740568968</v>
      </c>
      <c r="D743" s="4">
        <v>26.180876715972563</v>
      </c>
      <c r="E743" s="4">
        <v>28.656382261561962</v>
      </c>
      <c r="F743" s="4">
        <v>31.400932696405757</v>
      </c>
      <c r="G743" s="4">
        <v>34.515512832552815</v>
      </c>
      <c r="H743" s="4">
        <v>38.088955085488905</v>
      </c>
      <c r="I743" s="4">
        <v>42.115589949317091</v>
      </c>
      <c r="J743" s="4">
        <v>46.538009810843889</v>
      </c>
      <c r="K743" s="4">
        <v>51.378071150302169</v>
      </c>
      <c r="L743" s="4">
        <v>56.716702310900864</v>
      </c>
      <c r="M743" s="4">
        <v>62.651052579668352</v>
      </c>
      <c r="N743" s="4">
        <v>69.184213592022815</v>
      </c>
      <c r="O743"/>
      <c r="P743"/>
      <c r="Q743" s="11"/>
    </row>
    <row r="744" spans="1:17" x14ac:dyDescent="0.35">
      <c r="A744" s="3" t="s">
        <v>56</v>
      </c>
      <c r="B744" s="4">
        <v>54.122055743285308</v>
      </c>
      <c r="C744" s="4">
        <v>58.194669652270619</v>
      </c>
      <c r="D744" s="4">
        <v>62.690131770680509</v>
      </c>
      <c r="E744" s="4">
        <v>67.511965747577264</v>
      </c>
      <c r="F744" s="4">
        <v>72.614656860438316</v>
      </c>
      <c r="G744" s="4">
        <v>77.90938061785981</v>
      </c>
      <c r="H744" s="4">
        <v>83.616140851216187</v>
      </c>
      <c r="I744" s="4">
        <v>89.908146089553554</v>
      </c>
      <c r="J744" s="4">
        <v>96.973310313123434</v>
      </c>
      <c r="K744" s="4">
        <v>104.85226494563935</v>
      </c>
      <c r="L744" s="4">
        <v>113.40632509222287</v>
      </c>
      <c r="M744" s="4">
        <v>122.50703435787227</v>
      </c>
      <c r="N744" s="4">
        <v>132.17814852135598</v>
      </c>
      <c r="O744"/>
      <c r="P744"/>
      <c r="Q744" s="11"/>
    </row>
    <row r="745" spans="1:17" x14ac:dyDescent="0.35">
      <c r="A745" s="3" t="s">
        <v>57</v>
      </c>
      <c r="B745" s="4">
        <v>139.22995167423633</v>
      </c>
      <c r="C745" s="4">
        <v>147.34493296539478</v>
      </c>
      <c r="D745" s="4">
        <v>156.17846870536144</v>
      </c>
      <c r="E745" s="4">
        <v>165.80188477124327</v>
      </c>
      <c r="F745" s="4">
        <v>176.34988094677874</v>
      </c>
      <c r="G745" s="4">
        <v>188.03918664735744</v>
      </c>
      <c r="H745" s="4">
        <v>200.94207301890663</v>
      </c>
      <c r="I745" s="4">
        <v>215.13221471728548</v>
      </c>
      <c r="J745" s="4">
        <v>230.39614759626613</v>
      </c>
      <c r="K745" s="4">
        <v>246.58948052597208</v>
      </c>
      <c r="L745" s="4">
        <v>263.42777866113272</v>
      </c>
      <c r="M745" s="4">
        <v>280.80121076030537</v>
      </c>
      <c r="N745" s="4">
        <v>298.88012987691076</v>
      </c>
      <c r="O745"/>
      <c r="P745"/>
      <c r="Q745" s="11"/>
    </row>
    <row r="746" spans="1:17" x14ac:dyDescent="0.35">
      <c r="A746" s="2" t="s">
        <v>47</v>
      </c>
      <c r="O746"/>
      <c r="P746"/>
      <c r="Q746" s="11"/>
    </row>
    <row r="747" spans="1:17" x14ac:dyDescent="0.35">
      <c r="A747" s="3" t="s">
        <v>82</v>
      </c>
      <c r="B747" s="4">
        <v>75.830426820757481</v>
      </c>
      <c r="C747" s="4">
        <v>82.07567339283959</v>
      </c>
      <c r="D747" s="4">
        <v>88.871008486653068</v>
      </c>
      <c r="E747" s="4">
        <v>96.168348009139223</v>
      </c>
      <c r="F747" s="4">
        <v>104.01558955684408</v>
      </c>
      <c r="G747" s="4">
        <v>112.42489345041263</v>
      </c>
      <c r="H747" s="4">
        <v>121.70509593670509</v>
      </c>
      <c r="I747" s="4">
        <v>132.02373603887065</v>
      </c>
      <c r="J747" s="4">
        <v>143.51132012396732</v>
      </c>
      <c r="K747" s="4">
        <v>156.23033609594151</v>
      </c>
      <c r="L747" s="4">
        <v>170.12302740312373</v>
      </c>
      <c r="M747" s="4">
        <v>185.15808693754062</v>
      </c>
      <c r="N747" s="4">
        <v>201.36236211337879</v>
      </c>
      <c r="O747"/>
      <c r="P747"/>
      <c r="Q747" s="11"/>
    </row>
    <row r="748" spans="1:17" x14ac:dyDescent="0.35">
      <c r="A748" s="3" t="s">
        <v>83</v>
      </c>
      <c r="B748" s="4">
        <v>139.22995167423633</v>
      </c>
      <c r="C748" s="4">
        <v>147.34493296539478</v>
      </c>
      <c r="D748" s="4">
        <v>156.17846870536144</v>
      </c>
      <c r="E748" s="4">
        <v>165.80188477124327</v>
      </c>
      <c r="F748" s="4">
        <v>176.34988094677874</v>
      </c>
      <c r="G748" s="4">
        <v>188.03918664735744</v>
      </c>
      <c r="H748" s="4">
        <v>200.94207301890663</v>
      </c>
      <c r="I748" s="4">
        <v>215.13221471728548</v>
      </c>
      <c r="J748" s="4">
        <v>230.39614759626613</v>
      </c>
      <c r="K748" s="4">
        <v>246.58948052597208</v>
      </c>
      <c r="L748" s="4">
        <v>263.42777866113272</v>
      </c>
      <c r="M748" s="4">
        <v>280.80121076030537</v>
      </c>
      <c r="N748" s="4">
        <v>298.88012987691076</v>
      </c>
      <c r="O748"/>
      <c r="P748"/>
      <c r="Q748" s="11"/>
    </row>
    <row r="749" spans="1:17" x14ac:dyDescent="0.35">
      <c r="A749" s="2" t="s">
        <v>59</v>
      </c>
      <c r="O749"/>
      <c r="P749"/>
      <c r="Q749" s="11"/>
    </row>
    <row r="750" spans="1:17" x14ac:dyDescent="0.35">
      <c r="A750" s="3" t="s">
        <v>60</v>
      </c>
      <c r="O750"/>
      <c r="P750"/>
      <c r="Q750" s="11"/>
    </row>
    <row r="751" spans="1:17" x14ac:dyDescent="0.35">
      <c r="A751" s="34" t="s">
        <v>61</v>
      </c>
      <c r="B751" s="4">
        <v>43.878148409571338</v>
      </c>
      <c r="C751" s="4">
        <v>46.867265967191656</v>
      </c>
      <c r="D751" s="4">
        <v>50.150590926364202</v>
      </c>
      <c r="E751" s="4">
        <v>53.647302470099731</v>
      </c>
      <c r="F751" s="4">
        <v>57.474921453242644</v>
      </c>
      <c r="G751" s="4">
        <v>61.733443692331406</v>
      </c>
      <c r="H751" s="4">
        <v>66.57703592769991</v>
      </c>
      <c r="I751" s="4">
        <v>72.08895115782525</v>
      </c>
      <c r="J751" s="4">
        <v>78.143866319074448</v>
      </c>
      <c r="K751" s="4">
        <v>84.55090921667545</v>
      </c>
      <c r="L751" s="4">
        <v>91.020518370822913</v>
      </c>
      <c r="M751" s="4">
        <v>97.530565665464337</v>
      </c>
      <c r="N751" s="4">
        <v>104.26473775908744</v>
      </c>
      <c r="O751"/>
      <c r="P751"/>
      <c r="Q751" s="11"/>
    </row>
    <row r="752" spans="1:17" x14ac:dyDescent="0.35">
      <c r="A752" s="43" t="s">
        <v>62</v>
      </c>
      <c r="B752" s="4">
        <v>8.3972525459583345</v>
      </c>
      <c r="C752" s="4">
        <v>9.2482094861344279</v>
      </c>
      <c r="D752" s="4">
        <v>10.196960573605205</v>
      </c>
      <c r="E752" s="4">
        <v>11.23539398353965</v>
      </c>
      <c r="F752" s="4">
        <v>12.357108112447168</v>
      </c>
      <c r="G752" s="4">
        <v>13.584632869772539</v>
      </c>
      <c r="H752" s="4">
        <v>14.940889236782883</v>
      </c>
      <c r="I752" s="4">
        <v>16.477373574737719</v>
      </c>
      <c r="J752" s="4">
        <v>18.225417650840654</v>
      </c>
      <c r="K752" s="4">
        <v>20.172576491108437</v>
      </c>
      <c r="L752" s="4">
        <v>22.342894429888201</v>
      </c>
      <c r="M752" s="4">
        <v>24.724368648598155</v>
      </c>
      <c r="N752" s="4">
        <v>27.322591799803622</v>
      </c>
      <c r="O752"/>
      <c r="P752"/>
      <c r="Q752" s="11"/>
    </row>
    <row r="753" spans="1:17" x14ac:dyDescent="0.35">
      <c r="A753" s="43" t="s">
        <v>63</v>
      </c>
      <c r="B753" s="4">
        <v>14.214199389287387</v>
      </c>
      <c r="C753" s="4">
        <v>15.299276445054284</v>
      </c>
      <c r="D753" s="4">
        <v>16.486309712679393</v>
      </c>
      <c r="E753" s="4">
        <v>17.753077242603769</v>
      </c>
      <c r="F753" s="4">
        <v>19.081673922476561</v>
      </c>
      <c r="G753" s="4">
        <v>20.500158676424057</v>
      </c>
      <c r="H753" s="4">
        <v>22.034340180969114</v>
      </c>
      <c r="I753" s="4">
        <v>23.749439080230434</v>
      </c>
      <c r="J753" s="4">
        <v>25.675222740663326</v>
      </c>
      <c r="K753" s="4">
        <v>27.776419883346467</v>
      </c>
      <c r="L753" s="4">
        <v>30.070406152262297</v>
      </c>
      <c r="M753" s="4">
        <v>32.523776704437779</v>
      </c>
      <c r="N753" s="4">
        <v>35.128526066748734</v>
      </c>
      <c r="O753"/>
      <c r="P753"/>
      <c r="Q753" s="11"/>
    </row>
    <row r="754" spans="1:17" x14ac:dyDescent="0.35">
      <c r="A754" s="43" t="s">
        <v>64</v>
      </c>
      <c r="B754" s="4">
        <v>21.266696474325617</v>
      </c>
      <c r="C754" s="4">
        <v>22.319780036002946</v>
      </c>
      <c r="D754" s="4">
        <v>23.467320640079606</v>
      </c>
      <c r="E754" s="4">
        <v>24.658831243956314</v>
      </c>
      <c r="F754" s="4">
        <v>26.036139418318914</v>
      </c>
      <c r="G754" s="4">
        <v>27.648652146134808</v>
      </c>
      <c r="H754" s="4">
        <v>29.601806509947913</v>
      </c>
      <c r="I754" s="4">
        <v>31.862138502857093</v>
      </c>
      <c r="J754" s="4">
        <v>34.243225927570464</v>
      </c>
      <c r="K754" s="4">
        <v>36.601912842220543</v>
      </c>
      <c r="L754" s="4">
        <v>38.607217788672415</v>
      </c>
      <c r="M754" s="4">
        <v>40.2824203124284</v>
      </c>
      <c r="N754" s="4">
        <v>41.813619892535087</v>
      </c>
      <c r="O754"/>
      <c r="P754"/>
      <c r="Q754" s="11"/>
    </row>
    <row r="755" spans="1:17" x14ac:dyDescent="0.35">
      <c r="A755" s="34" t="s">
        <v>65</v>
      </c>
      <c r="B755" s="4">
        <v>39.582577465453902</v>
      </c>
      <c r="C755" s="4">
        <v>42.029685771287788</v>
      </c>
      <c r="D755" s="4">
        <v>44.698130797541459</v>
      </c>
      <c r="E755" s="4">
        <v>47.61049103094733</v>
      </c>
      <c r="F755" s="4">
        <v>50.807830564666524</v>
      </c>
      <c r="G755" s="4">
        <v>54.355378811421566</v>
      </c>
      <c r="H755" s="4">
        <v>58.277456254386557</v>
      </c>
      <c r="I755" s="4">
        <v>62.599090804031071</v>
      </c>
      <c r="J755" s="4">
        <v>67.262067702006874</v>
      </c>
      <c r="K755" s="4">
        <v>72.227546182439212</v>
      </c>
      <c r="L755" s="4">
        <v>77.415135413365846</v>
      </c>
      <c r="M755" s="4">
        <v>82.794676844465528</v>
      </c>
      <c r="N755" s="4">
        <v>88.418212447533676</v>
      </c>
      <c r="O755"/>
      <c r="P755"/>
      <c r="Q755" s="11"/>
    </row>
    <row r="756" spans="1:17" x14ac:dyDescent="0.35">
      <c r="A756" s="34" t="s">
        <v>66</v>
      </c>
      <c r="B756" s="4">
        <v>24.11849383644217</v>
      </c>
      <c r="C756" s="4">
        <v>25.61620913568326</v>
      </c>
      <c r="D756" s="4">
        <v>27.258162292622931</v>
      </c>
      <c r="E756" s="4">
        <v>28.996275654007999</v>
      </c>
      <c r="F756" s="4">
        <v>30.806557898938074</v>
      </c>
      <c r="G756" s="4">
        <v>32.647708037532119</v>
      </c>
      <c r="H756" s="4">
        <v>34.609776856743032</v>
      </c>
      <c r="I756" s="4">
        <v>36.758982053932527</v>
      </c>
      <c r="J756" s="4">
        <v>39.164178987335482</v>
      </c>
      <c r="K756" s="4">
        <v>41.831189479153565</v>
      </c>
      <c r="L756" s="4">
        <v>44.693762341795654</v>
      </c>
      <c r="M756" s="4">
        <v>47.692633800696925</v>
      </c>
      <c r="N756" s="4">
        <v>50.830468369202237</v>
      </c>
      <c r="O756"/>
      <c r="P756"/>
      <c r="Q756" s="11"/>
    </row>
    <row r="757" spans="1:17" x14ac:dyDescent="0.35">
      <c r="A757" s="34" t="s">
        <v>67</v>
      </c>
      <c r="B757" s="4">
        <v>15.831546821670786</v>
      </c>
      <c r="C757" s="4">
        <v>16.68615538427018</v>
      </c>
      <c r="D757" s="4">
        <v>17.607754580824317</v>
      </c>
      <c r="E757" s="4">
        <v>18.567049146259198</v>
      </c>
      <c r="F757" s="4">
        <v>19.541473294102509</v>
      </c>
      <c r="G757" s="4">
        <v>20.55726581805818</v>
      </c>
      <c r="H757" s="4">
        <v>21.636139260410523</v>
      </c>
      <c r="I757" s="4">
        <v>22.836541875216184</v>
      </c>
      <c r="J757" s="4">
        <v>24.177763230913474</v>
      </c>
      <c r="K757" s="4">
        <v>25.615889674689534</v>
      </c>
      <c r="L757" s="4">
        <v>27.158769764645633</v>
      </c>
      <c r="M757" s="4">
        <v>28.767420864056707</v>
      </c>
      <c r="N757" s="4">
        <v>30.428203438197727</v>
      </c>
      <c r="O757"/>
      <c r="P757"/>
      <c r="Q757" s="11"/>
    </row>
    <row r="758" spans="1:17" x14ac:dyDescent="0.35">
      <c r="A758" s="34" t="s">
        <v>68</v>
      </c>
      <c r="B758" s="4">
        <v>26.038880851965835</v>
      </c>
      <c r="C758" s="4">
        <v>28.111291757357304</v>
      </c>
      <c r="D758" s="4">
        <v>30.353797564094535</v>
      </c>
      <c r="E758" s="4">
        <v>32.858206103956235</v>
      </c>
      <c r="F758" s="4">
        <v>35.634451301010458</v>
      </c>
      <c r="G758" s="4">
        <v>38.689865509562757</v>
      </c>
      <c r="H758" s="4">
        <v>42.015054891471237</v>
      </c>
      <c r="I758" s="4">
        <v>45.591012299870975</v>
      </c>
      <c r="J758" s="4">
        <v>49.426889621733572</v>
      </c>
      <c r="K758" s="4">
        <v>53.650601945212294</v>
      </c>
      <c r="L758" s="4">
        <v>58.310948602554518</v>
      </c>
      <c r="M758" s="4">
        <v>63.382740972990874</v>
      </c>
      <c r="N758" s="4">
        <v>68.843682209118995</v>
      </c>
      <c r="O758"/>
      <c r="P758"/>
      <c r="Q758" s="11"/>
    </row>
    <row r="759" spans="1:17" x14ac:dyDescent="0.35">
      <c r="A759" s="34" t="s">
        <v>69</v>
      </c>
      <c r="B759" s="4">
        <v>29.729033805596291</v>
      </c>
      <c r="C759" s="4">
        <v>31.051019227083856</v>
      </c>
      <c r="D759" s="4">
        <v>32.46432010186026</v>
      </c>
      <c r="E759" s="4">
        <v>33.987939111235342</v>
      </c>
      <c r="F759" s="4">
        <v>35.634451301010458</v>
      </c>
      <c r="G759" s="4">
        <v>37.417572584171467</v>
      </c>
      <c r="H759" s="4">
        <v>39.346937175759919</v>
      </c>
      <c r="I759" s="4">
        <v>41.403234885034735</v>
      </c>
      <c r="J759" s="4">
        <v>43.566306057828974</v>
      </c>
      <c r="K759" s="4">
        <v>45.822364995799006</v>
      </c>
      <c r="L759" s="4">
        <v>48.157285692731421</v>
      </c>
      <c r="M759" s="4">
        <v>50.585385872531027</v>
      </c>
      <c r="N759" s="4">
        <v>53.086844153468491</v>
      </c>
      <c r="O759"/>
      <c r="P759"/>
      <c r="Q759" s="11"/>
    </row>
    <row r="760" spans="1:17" x14ac:dyDescent="0.35">
      <c r="A760" s="3" t="s">
        <v>70</v>
      </c>
      <c r="O760"/>
      <c r="P760"/>
      <c r="Q760" s="11"/>
    </row>
    <row r="761" spans="1:17" x14ac:dyDescent="0.35">
      <c r="A761" s="34" t="s">
        <v>71</v>
      </c>
      <c r="B761" s="4">
        <v>5.4299590395668567</v>
      </c>
      <c r="C761" s="4">
        <v>5.9921075460840454</v>
      </c>
      <c r="D761" s="4">
        <v>6.6135522420819779</v>
      </c>
      <c r="E761" s="4">
        <v>7.3175342730963662</v>
      </c>
      <c r="F761" s="4">
        <v>8.1109730616698084</v>
      </c>
      <c r="G761" s="4">
        <v>9.000595794630966</v>
      </c>
      <c r="H761" s="4">
        <v>9.9896067270883506</v>
      </c>
      <c r="I761" s="4">
        <v>11.078967861203518</v>
      </c>
      <c r="J761" s="4">
        <v>12.276325279886866</v>
      </c>
      <c r="K761" s="4">
        <v>13.619255231655467</v>
      </c>
      <c r="L761" s="4">
        <v>15.128307886872626</v>
      </c>
      <c r="M761" s="4">
        <v>16.806286932793139</v>
      </c>
      <c r="N761" s="4">
        <v>18.656596785141794</v>
      </c>
      <c r="O761"/>
      <c r="P761"/>
      <c r="Q761" s="11"/>
    </row>
    <row r="762" spans="1:17" x14ac:dyDescent="0.35">
      <c r="A762" s="34" t="s">
        <v>72</v>
      </c>
      <c r="B762" s="4">
        <v>4.186307686273234</v>
      </c>
      <c r="C762" s="4">
        <v>4.6775119916160488</v>
      </c>
      <c r="D762" s="4">
        <v>5.208684443706658</v>
      </c>
      <c r="E762" s="4">
        <v>5.7910527442624247</v>
      </c>
      <c r="F762" s="4">
        <v>6.4456021668782881</v>
      </c>
      <c r="G762" s="4">
        <v>7.1961327324718356</v>
      </c>
      <c r="H762" s="4">
        <v>8.0653154730230945</v>
      </c>
      <c r="I762" s="4">
        <v>9.0571058509580649</v>
      </c>
      <c r="J762" s="4">
        <v>10.164427023395502</v>
      </c>
      <c r="K762" s="4">
        <v>11.396920160639146</v>
      </c>
      <c r="L762" s="4">
        <v>12.777793431260326</v>
      </c>
      <c r="M762" s="4">
        <v>14.335210412982072</v>
      </c>
      <c r="N762" s="4">
        <v>16.077393891193168</v>
      </c>
      <c r="O762"/>
      <c r="P762"/>
      <c r="Q762" s="11"/>
    </row>
    <row r="763" spans="1:17" x14ac:dyDescent="0.35">
      <c r="A763" s="34" t="s">
        <v>73</v>
      </c>
      <c r="B763" s="4">
        <v>3.7771828678786212</v>
      </c>
      <c r="C763" s="4">
        <v>4.0760452331706647</v>
      </c>
      <c r="D763" s="4">
        <v>4.3831585873037522</v>
      </c>
      <c r="E763" s="4">
        <v>4.7057342182319664</v>
      </c>
      <c r="F763" s="4">
        <v>5.0577930878853561</v>
      </c>
      <c r="G763" s="4">
        <v>5.4534535059152143</v>
      </c>
      <c r="H763" s="4">
        <v>5.9037552899970533</v>
      </c>
      <c r="I763" s="4">
        <v>6.404139726190313</v>
      </c>
      <c r="J763" s="4">
        <v>6.9423890415244074</v>
      </c>
      <c r="K763" s="4">
        <v>7.5189037793985181</v>
      </c>
      <c r="L763" s="4">
        <v>8.1425902592414054</v>
      </c>
      <c r="M763" s="4">
        <v>8.8238955579105376</v>
      </c>
      <c r="N763" s="4">
        <v>9.5590930502615841</v>
      </c>
      <c r="O763"/>
      <c r="P763"/>
      <c r="Q763" s="11"/>
    </row>
    <row r="764" spans="1:17" x14ac:dyDescent="0.35">
      <c r="A764" s="34" t="s">
        <v>74</v>
      </c>
      <c r="B764" s="4">
        <v>4.4060221031013143</v>
      </c>
      <c r="C764" s="4">
        <v>4.7837987046368058</v>
      </c>
      <c r="D764" s="4">
        <v>5.1948432438325796</v>
      </c>
      <c r="E764" s="4">
        <v>5.6554135329309645</v>
      </c>
      <c r="F764" s="4">
        <v>6.1680403510797026</v>
      </c>
      <c r="G764" s="4">
        <v>6.7348532869408331</v>
      </c>
      <c r="H764" s="4">
        <v>7.355110297667073</v>
      </c>
      <c r="I764" s="4">
        <v>8.026361276264657</v>
      </c>
      <c r="J764" s="4">
        <v>8.7510500017235753</v>
      </c>
      <c r="K764" s="4">
        <v>9.5526952787561896</v>
      </c>
      <c r="L764" s="4">
        <v>10.441254852569875</v>
      </c>
      <c r="M764" s="4">
        <v>11.413651678497313</v>
      </c>
      <c r="N764" s="4">
        <v>12.467246431647887</v>
      </c>
      <c r="O764"/>
      <c r="P764"/>
      <c r="Q764" s="11"/>
    </row>
    <row r="765" spans="1:17" x14ac:dyDescent="0.35">
      <c r="A765" s="34" t="s">
        <v>75</v>
      </c>
      <c r="B765" s="4">
        <v>3.4874010754042053</v>
      </c>
      <c r="C765" s="4">
        <v>3.8268561272149171</v>
      </c>
      <c r="D765" s="4">
        <v>4.2041364698552348</v>
      </c>
      <c r="E765" s="4">
        <v>4.6154588521111419</v>
      </c>
      <c r="F765" s="4">
        <v>5.0577930878853561</v>
      </c>
      <c r="G765" s="4">
        <v>5.5399906534158276</v>
      </c>
      <c r="H765" s="4">
        <v>6.0709297453663691</v>
      </c>
      <c r="I765" s="4">
        <v>6.6709655245587687</v>
      </c>
      <c r="J765" s="4">
        <v>7.3519880037775858</v>
      </c>
      <c r="K765" s="4">
        <v>8.1080483855670469</v>
      </c>
      <c r="L765" s="4">
        <v>8.9479411955981618</v>
      </c>
      <c r="M765" s="4">
        <v>9.8658884969299692</v>
      </c>
      <c r="N765" s="4">
        <v>10.863206923678026</v>
      </c>
      <c r="O765"/>
      <c r="P765"/>
      <c r="Q765" s="11"/>
    </row>
    <row r="766" spans="1:17" x14ac:dyDescent="0.35">
      <c r="A766" s="3" t="s">
        <v>76</v>
      </c>
      <c r="O766"/>
      <c r="P766"/>
      <c r="Q766" s="11"/>
    </row>
    <row r="767" spans="1:17" x14ac:dyDescent="0.35">
      <c r="A767" s="34" t="s">
        <v>77</v>
      </c>
      <c r="B767" s="4">
        <v>4.2717555600409334</v>
      </c>
      <c r="C767" s="4">
        <v>4.624234804944571</v>
      </c>
      <c r="D767" s="4">
        <v>5.0150469594129561</v>
      </c>
      <c r="E767" s="4">
        <v>5.4372164939951526</v>
      </c>
      <c r="F767" s="4">
        <v>5.8876748805760792</v>
      </c>
      <c r="G767" s="4">
        <v>6.3597520354328392</v>
      </c>
      <c r="H767" s="4">
        <v>6.8718005251566048</v>
      </c>
      <c r="I767" s="4">
        <v>7.4388196408787621</v>
      </c>
      <c r="J767" s="4">
        <v>8.0774217851695376</v>
      </c>
      <c r="K767" s="4">
        <v>8.792385953228127</v>
      </c>
      <c r="L767" s="4">
        <v>9.5735651891363513</v>
      </c>
      <c r="M767" s="4">
        <v>10.411385291487614</v>
      </c>
      <c r="N767" s="4">
        <v>11.308935755680244</v>
      </c>
      <c r="O767"/>
      <c r="P767"/>
      <c r="Q767" s="11"/>
    </row>
    <row r="768" spans="1:17" x14ac:dyDescent="0.35">
      <c r="A768" s="34" t="s">
        <v>78</v>
      </c>
      <c r="B768" s="4">
        <v>4.0813285591990569</v>
      </c>
      <c r="C768" s="4">
        <v>4.3565489906640007</v>
      </c>
      <c r="D768" s="4">
        <v>4.6590417428724358</v>
      </c>
      <c r="E768" s="4">
        <v>4.9809847719214222</v>
      </c>
      <c r="F768" s="4">
        <v>5.3185329754537261</v>
      </c>
      <c r="G768" s="4">
        <v>5.6647731760504287</v>
      </c>
      <c r="H768" s="4">
        <v>6.0354421125574493</v>
      </c>
      <c r="I768" s="4">
        <v>6.4424362955069672</v>
      </c>
      <c r="J768" s="4">
        <v>6.8983505239477134</v>
      </c>
      <c r="K768" s="4">
        <v>7.4049242015228351</v>
      </c>
      <c r="L768" s="4">
        <v>7.9511659336728124</v>
      </c>
      <c r="M768" s="4">
        <v>8.527100923429245</v>
      </c>
      <c r="N768" s="4">
        <v>9.133622315147079</v>
      </c>
      <c r="O768"/>
      <c r="P768"/>
      <c r="Q768" s="11"/>
    </row>
    <row r="769" spans="1:17" x14ac:dyDescent="0.35">
      <c r="A769" s="34" t="s">
        <v>79</v>
      </c>
      <c r="B769" s="4">
        <v>2.310580471474541</v>
      </c>
      <c r="C769" s="4">
        <v>2.534297490366304</v>
      </c>
      <c r="D769" s="4">
        <v>2.7838992609169848</v>
      </c>
      <c r="E769" s="4">
        <v>3.0627240248195449</v>
      </c>
      <c r="F769" s="4">
        <v>3.375600264863619</v>
      </c>
      <c r="G769" s="4">
        <v>3.7294403525519599</v>
      </c>
      <c r="H769" s="4">
        <v>4.1290729991407042</v>
      </c>
      <c r="I769" s="4">
        <v>4.5797869064908445</v>
      </c>
      <c r="J769" s="4">
        <v>5.0812256257156001</v>
      </c>
      <c r="K769" s="4">
        <v>5.6341791512465189</v>
      </c>
      <c r="L769" s="4">
        <v>6.2360383048158905</v>
      </c>
      <c r="M769" s="4">
        <v>6.8876390208863487</v>
      </c>
      <c r="N769" s="4">
        <v>7.5965249074601751</v>
      </c>
      <c r="O769"/>
      <c r="P769"/>
      <c r="Q769" s="11"/>
    </row>
    <row r="770" spans="1:17" x14ac:dyDescent="0.35">
      <c r="A770" s="34" t="s">
        <v>80</v>
      </c>
      <c r="B770" s="4">
        <v>1.7918487523198015</v>
      </c>
      <c r="C770" s="4">
        <v>1.890769154334252</v>
      </c>
      <c r="D770" s="4">
        <v>1.9971313397493538</v>
      </c>
      <c r="E770" s="4">
        <v>2.1123060286660493</v>
      </c>
      <c r="F770" s="4">
        <v>2.2373164546189104</v>
      </c>
      <c r="G770" s="4">
        <v>2.3732942959306862</v>
      </c>
      <c r="H770" s="4">
        <v>2.5211529388606273</v>
      </c>
      <c r="I770" s="4">
        <v>2.6799821295963402</v>
      </c>
      <c r="J770" s="4">
        <v>2.8487726759862939</v>
      </c>
      <c r="K770" s="4">
        <v>3.0268849041479662</v>
      </c>
      <c r="L770" s="4">
        <v>3.2136251536500589</v>
      </c>
      <c r="M770" s="4">
        <v>3.4101645472778874</v>
      </c>
      <c r="N770" s="4">
        <v>3.615416110199833</v>
      </c>
      <c r="O770"/>
      <c r="P770"/>
      <c r="Q770" s="11"/>
    </row>
    <row r="771" spans="1:17" x14ac:dyDescent="0.35">
      <c r="A771" s="34" t="s">
        <v>81</v>
      </c>
      <c r="B771" s="4">
        <v>2.1393111890349092</v>
      </c>
      <c r="C771" s="4">
        <v>2.2968090723286902</v>
      </c>
      <c r="D771" s="4">
        <v>2.4572266389748552</v>
      </c>
      <c r="E771" s="4">
        <v>2.6245443238416595</v>
      </c>
      <c r="F771" s="4">
        <v>2.8064583597412645</v>
      </c>
      <c r="G771" s="4">
        <v>3.0105598113519814</v>
      </c>
      <c r="H771" s="4">
        <v>3.2425824802832257</v>
      </c>
      <c r="I771" s="4">
        <v>3.499572468597171</v>
      </c>
      <c r="J771" s="4">
        <v>3.7744458402135632</v>
      </c>
      <c r="K771" s="4">
        <v>4.0671180817826613</v>
      </c>
      <c r="L771" s="4">
        <v>4.3821036715229296</v>
      </c>
      <c r="M771" s="4">
        <v>4.7246508154464557</v>
      </c>
      <c r="N771" s="4">
        <v>5.0923074432711113</v>
      </c>
      <c r="O771"/>
      <c r="P771"/>
      <c r="Q771" s="11"/>
    </row>
    <row r="772" spans="1:17" x14ac:dyDescent="0.35">
      <c r="A772" s="2" t="s">
        <v>84</v>
      </c>
      <c r="O772"/>
      <c r="P772"/>
      <c r="Q772" s="11"/>
    </row>
    <row r="773" spans="1:17" x14ac:dyDescent="0.35">
      <c r="A773" s="3" t="s">
        <v>85</v>
      </c>
      <c r="B773" s="4">
        <v>15.707034184599578</v>
      </c>
      <c r="C773" s="4">
        <v>16.531099419781043</v>
      </c>
      <c r="D773" s="4">
        <v>17.431461210069056</v>
      </c>
      <c r="E773" s="4">
        <v>18.375050470946451</v>
      </c>
      <c r="F773" s="4">
        <v>19.345217464749975</v>
      </c>
      <c r="G773" s="4">
        <v>20.315020145890802</v>
      </c>
      <c r="H773" s="4">
        <v>21.340212058839167</v>
      </c>
      <c r="I773" s="4">
        <v>22.459820424263881</v>
      </c>
      <c r="J773" s="4">
        <v>23.713034803205481</v>
      </c>
      <c r="K773" s="4">
        <v>25.099410871131013</v>
      </c>
      <c r="L773" s="4">
        <v>26.575207505445029</v>
      </c>
      <c r="M773" s="4">
        <v>28.102344506919415</v>
      </c>
      <c r="N773" s="4">
        <v>29.680554492790936</v>
      </c>
      <c r="O773"/>
      <c r="P773"/>
      <c r="Q773" s="11"/>
    </row>
    <row r="774" spans="1:17" x14ac:dyDescent="0.35">
      <c r="A774" s="3" t="s">
        <v>86</v>
      </c>
      <c r="B774" s="4">
        <v>39.823269121577077</v>
      </c>
      <c r="C774" s="4">
        <v>42.094784317140913</v>
      </c>
      <c r="D774" s="4">
        <v>44.58005607564894</v>
      </c>
      <c r="E774" s="4">
        <v>47.197198005768556</v>
      </c>
      <c r="F774" s="4">
        <v>49.905053749644857</v>
      </c>
      <c r="G774" s="4">
        <v>52.635187783304822</v>
      </c>
      <c r="H774" s="4">
        <v>55.532223132718279</v>
      </c>
      <c r="I774" s="4">
        <v>58.699775457574113</v>
      </c>
      <c r="J774" s="4">
        <v>62.243670561094739</v>
      </c>
      <c r="K774" s="4">
        <v>66.167505183846657</v>
      </c>
      <c r="L774" s="4">
        <v>70.360753774750577</v>
      </c>
      <c r="M774" s="4">
        <v>74.725927738892253</v>
      </c>
      <c r="N774" s="4">
        <v>79.264372817288788</v>
      </c>
      <c r="O774"/>
      <c r="P774"/>
      <c r="Q774" s="11"/>
    </row>
    <row r="775" spans="1:17" x14ac:dyDescent="0.35">
      <c r="A775" s="3" t="s">
        <v>87</v>
      </c>
      <c r="B775" s="4">
        <v>69.029768225764371</v>
      </c>
      <c r="C775" s="4">
        <v>74.059684452178516</v>
      </c>
      <c r="D775" s="4">
        <v>79.558236047665247</v>
      </c>
      <c r="E775" s="4">
        <v>85.545619832858677</v>
      </c>
      <c r="F775" s="4">
        <v>92.240239795691934</v>
      </c>
      <c r="G775" s="4">
        <v>99.89549733610221</v>
      </c>
      <c r="H775" s="4">
        <v>108.64498421192602</v>
      </c>
      <c r="I775" s="4">
        <v>118.56059444467118</v>
      </c>
      <c r="J775" s="4">
        <v>129.39807797834868</v>
      </c>
      <c r="K775" s="4">
        <v>140.99390417068491</v>
      </c>
      <c r="L775" s="4">
        <v>153.11683421065925</v>
      </c>
      <c r="M775" s="4">
        <v>165.78345297580114</v>
      </c>
      <c r="N775" s="4">
        <v>179.24963558757162</v>
      </c>
      <c r="O775"/>
      <c r="P775"/>
      <c r="Q775" s="11"/>
    </row>
    <row r="776" spans="1:17" x14ac:dyDescent="0.35">
      <c r="A776" s="3" t="s">
        <v>88</v>
      </c>
      <c r="B776" s="4">
        <v>46.509814781619312</v>
      </c>
      <c r="C776" s="4">
        <v>49.936913778527611</v>
      </c>
      <c r="D776" s="4">
        <v>53.668855143560251</v>
      </c>
      <c r="E776" s="4">
        <v>57.755727008219587</v>
      </c>
      <c r="F776" s="4">
        <v>62.241134451804264</v>
      </c>
      <c r="G776" s="4">
        <v>67.174175652540541</v>
      </c>
      <c r="H776" s="4">
        <v>72.600555200200105</v>
      </c>
      <c r="I776" s="4">
        <v>78.515929227725422</v>
      </c>
      <c r="J776" s="4">
        <v>84.911969619142766</v>
      </c>
      <c r="K776" s="4">
        <v>91.790023206921063</v>
      </c>
      <c r="L776" s="4">
        <v>99.14915945299002</v>
      </c>
      <c r="M776" s="4">
        <v>107.04518849491797</v>
      </c>
      <c r="N776" s="4">
        <v>115.46620804038092</v>
      </c>
      <c r="O776"/>
      <c r="P776"/>
      <c r="Q776" s="11"/>
    </row>
    <row r="777" spans="1:17" x14ac:dyDescent="0.35">
      <c r="A777" s="3" t="s">
        <v>89</v>
      </c>
      <c r="B777" s="4">
        <v>14.56338574492408</v>
      </c>
      <c r="C777" s="4">
        <v>15.57686082701716</v>
      </c>
      <c r="D777" s="4">
        <v>16.680335347161861</v>
      </c>
      <c r="E777" s="4">
        <v>17.84947043789769</v>
      </c>
      <c r="F777" s="4">
        <v>19.064851994246354</v>
      </c>
      <c r="G777" s="4">
        <v>20.353457211544669</v>
      </c>
      <c r="H777" s="4">
        <v>21.739336786454714</v>
      </c>
      <c r="I777" s="4">
        <v>23.284799774917815</v>
      </c>
      <c r="J777" s="4">
        <v>25.015806288804232</v>
      </c>
      <c r="K777" s="4">
        <v>26.894258759485936</v>
      </c>
      <c r="L777" s="4">
        <v>28.933936089906478</v>
      </c>
      <c r="M777" s="4">
        <v>31.09936988301094</v>
      </c>
      <c r="N777" s="4">
        <v>33.380217034705652</v>
      </c>
      <c r="O777"/>
      <c r="P777"/>
      <c r="Q777" s="11"/>
    </row>
    <row r="778" spans="1:17" x14ac:dyDescent="0.35">
      <c r="A778" s="3" t="s">
        <v>90</v>
      </c>
      <c r="B778" s="4">
        <v>29.427106436509391</v>
      </c>
      <c r="C778" s="4">
        <v>31.221263563589105</v>
      </c>
      <c r="D778" s="4">
        <v>33.130533367909152</v>
      </c>
      <c r="E778" s="4">
        <v>35.247167024691542</v>
      </c>
      <c r="F778" s="4">
        <v>37.568973047485429</v>
      </c>
      <c r="G778" s="4">
        <v>40.090741968387029</v>
      </c>
      <c r="H778" s="4">
        <v>42.789857565473447</v>
      </c>
      <c r="I778" s="4">
        <v>45.635031427003717</v>
      </c>
      <c r="J778" s="4">
        <v>48.62490846963756</v>
      </c>
      <c r="K778" s="4">
        <v>51.874714429843991</v>
      </c>
      <c r="L778" s="4">
        <v>55.414915030505085</v>
      </c>
      <c r="M778" s="4">
        <v>59.203014098304259</v>
      </c>
      <c r="N778" s="4">
        <v>63.201504017551613</v>
      </c>
      <c r="O778"/>
      <c r="P778"/>
      <c r="Q778" s="11"/>
    </row>
    <row r="779" spans="1:17" x14ac:dyDescent="0.35">
      <c r="A779" s="2" t="s">
        <v>91</v>
      </c>
      <c r="O779"/>
      <c r="P779"/>
      <c r="Q779" s="11"/>
    </row>
    <row r="780" spans="1:17" x14ac:dyDescent="0.35">
      <c r="A780" s="3" t="s">
        <v>92</v>
      </c>
      <c r="B780" s="4">
        <v>84.431851164091071</v>
      </c>
      <c r="C780" s="4">
        <v>90.922303514805989</v>
      </c>
      <c r="D780" s="4">
        <v>97.928359101559579</v>
      </c>
      <c r="E780" s="4">
        <v>105.74208705359189</v>
      </c>
      <c r="F780" s="4">
        <v>114.38911196547811</v>
      </c>
      <c r="G780" s="4">
        <v>123.88641169663995</v>
      </c>
      <c r="H780" s="4">
        <v>134.19719329638946</v>
      </c>
      <c r="I780" s="4">
        <v>145.254280593598</v>
      </c>
      <c r="J780" s="4">
        <v>157.08083924429729</v>
      </c>
      <c r="K780" s="4">
        <v>170.07719360592426</v>
      </c>
      <c r="L780" s="4">
        <v>184.38880694990786</v>
      </c>
      <c r="M780" s="4">
        <v>199.92566230136217</v>
      </c>
      <c r="N780" s="4">
        <v>216.60769253454376</v>
      </c>
      <c r="O780"/>
      <c r="P780"/>
      <c r="Q780" s="11"/>
    </row>
    <row r="781" spans="1:17" x14ac:dyDescent="0.35">
      <c r="A781" s="3" t="s">
        <v>93</v>
      </c>
      <c r="B781" s="4">
        <v>130.62852733090273</v>
      </c>
      <c r="C781" s="4">
        <v>138.49830284342835</v>
      </c>
      <c r="D781" s="4">
        <v>147.12111809045493</v>
      </c>
      <c r="E781" s="4">
        <v>156.22814572679061</v>
      </c>
      <c r="F781" s="4">
        <v>165.97635853814472</v>
      </c>
      <c r="G781" s="4">
        <v>176.57766840113013</v>
      </c>
      <c r="H781" s="4">
        <v>188.44997565922228</v>
      </c>
      <c r="I781" s="4">
        <v>201.90167016255813</v>
      </c>
      <c r="J781" s="4">
        <v>216.82662847593616</v>
      </c>
      <c r="K781" s="4">
        <v>232.7426230159893</v>
      </c>
      <c r="L781" s="4">
        <v>249.16199911434859</v>
      </c>
      <c r="M781" s="4">
        <v>266.03363539648376</v>
      </c>
      <c r="N781" s="4">
        <v>283.63479945574579</v>
      </c>
      <c r="O781"/>
      <c r="P781"/>
      <c r="Q781" s="11"/>
    </row>
    <row r="782" spans="1:17" x14ac:dyDescent="0.35">
      <c r="A782" s="2" t="s">
        <v>94</v>
      </c>
      <c r="O782"/>
      <c r="P782"/>
      <c r="Q782" s="11"/>
    </row>
    <row r="783" spans="1:17" x14ac:dyDescent="0.35">
      <c r="A783" s="3" t="s">
        <v>48</v>
      </c>
      <c r="B783" s="4">
        <v>22.534611935164172</v>
      </c>
      <c r="C783" s="4">
        <v>24.295330948513215</v>
      </c>
      <c r="D783" s="4">
        <v>26.242212615364394</v>
      </c>
      <c r="E783" s="4">
        <v>28.336358262780379</v>
      </c>
      <c r="F783" s="4">
        <v>30.559836284894885</v>
      </c>
      <c r="G783" s="4">
        <v>32.876291766284098</v>
      </c>
      <c r="H783" s="4">
        <v>35.379294844835009</v>
      </c>
      <c r="I783" s="4">
        <v>38.143620109960942</v>
      </c>
      <c r="J783" s="4">
        <v>41.251078522098091</v>
      </c>
      <c r="K783" s="4">
        <v>44.721696111539949</v>
      </c>
      <c r="L783" s="4">
        <v>48.499217818523221</v>
      </c>
      <c r="M783" s="4">
        <v>52.531151027337344</v>
      </c>
      <c r="N783" s="4">
        <v>56.829703129483882</v>
      </c>
      <c r="O783"/>
      <c r="P783"/>
      <c r="Q783" s="11"/>
    </row>
    <row r="784" spans="1:17" x14ac:dyDescent="0.35">
      <c r="A784" s="3" t="s">
        <v>95</v>
      </c>
      <c r="B784" s="4">
        <v>10.246089057324532</v>
      </c>
      <c r="C784" s="4">
        <v>11.171227593852727</v>
      </c>
      <c r="D784" s="4">
        <v>12.137702970645037</v>
      </c>
      <c r="E784" s="4">
        <v>13.166532496061052</v>
      </c>
      <c r="F784" s="4">
        <v>14.298638995684763</v>
      </c>
      <c r="G784" s="4">
        <v>15.576889577703911</v>
      </c>
      <c r="H784" s="4">
        <v>17.037077185754612</v>
      </c>
      <c r="I784" s="4">
        <v>18.671371726815554</v>
      </c>
      <c r="J784" s="4">
        <v>20.449182715685531</v>
      </c>
      <c r="K784" s="4">
        <v>22.375730576330366</v>
      </c>
      <c r="L784" s="4">
        <v>24.481687509394536</v>
      </c>
      <c r="M784" s="4">
        <v>26.803545382216644</v>
      </c>
      <c r="N784" s="4">
        <v>29.336150963945052</v>
      </c>
      <c r="O784"/>
      <c r="P784"/>
      <c r="Q784" s="11"/>
    </row>
    <row r="785" spans="1:17" x14ac:dyDescent="0.35">
      <c r="A785" s="3" t="s">
        <v>96</v>
      </c>
      <c r="B785" s="4">
        <v>47.16546246939032</v>
      </c>
      <c r="C785" s="4">
        <v>50.676613310709342</v>
      </c>
      <c r="D785" s="4">
        <v>54.509917783961725</v>
      </c>
      <c r="E785" s="4">
        <v>58.683857656737672</v>
      </c>
      <c r="F785" s="4">
        <v>63.362596333818772</v>
      </c>
      <c r="G785" s="4">
        <v>68.588166248971191</v>
      </c>
      <c r="H785" s="4">
        <v>74.512718761705088</v>
      </c>
      <c r="I785" s="4">
        <v>81.193166974449525</v>
      </c>
      <c r="J785" s="4">
        <v>88.566904863254138</v>
      </c>
      <c r="K785" s="4">
        <v>96.585640164690574</v>
      </c>
      <c r="L785" s="4">
        <v>105.14773843198668</v>
      </c>
      <c r="M785" s="4">
        <v>114.22721230671851</v>
      </c>
      <c r="N785" s="4">
        <v>123.89205308975704</v>
      </c>
      <c r="O785"/>
      <c r="P785"/>
      <c r="Q785" s="11"/>
    </row>
    <row r="786" spans="1:17" x14ac:dyDescent="0.35">
      <c r="A786" s="3" t="s">
        <v>97</v>
      </c>
      <c r="B786" s="4">
        <v>20.320950265157663</v>
      </c>
      <c r="C786" s="4">
        <v>21.662887170926929</v>
      </c>
      <c r="D786" s="4">
        <v>23.131736292266943</v>
      </c>
      <c r="E786" s="4">
        <v>24.709829734995612</v>
      </c>
      <c r="F786" s="4">
        <v>26.354354227340544</v>
      </c>
      <c r="G786" s="4">
        <v>28.0942927578004</v>
      </c>
      <c r="H786" s="4">
        <v>29.951855465982316</v>
      </c>
      <c r="I786" s="4">
        <v>31.975384860837892</v>
      </c>
      <c r="J786" s="4">
        <v>34.184258691751417</v>
      </c>
      <c r="K786" s="4">
        <v>36.586249453374762</v>
      </c>
      <c r="L786" s="4">
        <v>39.142598304783512</v>
      </c>
      <c r="M786" s="4">
        <v>41.815657270477239</v>
      </c>
      <c r="N786" s="4">
        <v>44.637828048599182</v>
      </c>
      <c r="O786"/>
      <c r="P786"/>
      <c r="Q786" s="11"/>
    </row>
    <row r="787" spans="1:17" x14ac:dyDescent="0.35">
      <c r="A787" s="3" t="s">
        <v>98</v>
      </c>
      <c r="B787" s="4">
        <v>60.045497364364863</v>
      </c>
      <c r="C787" s="4">
        <v>63.936821404756742</v>
      </c>
      <c r="D787" s="4">
        <v>68.186888966890592</v>
      </c>
      <c r="E787" s="4">
        <v>72.8331157681436</v>
      </c>
      <c r="F787" s="4">
        <v>77.941600800007151</v>
      </c>
      <c r="G787" s="4">
        <v>83.616237157090623</v>
      </c>
      <c r="H787" s="4">
        <v>89.899127110601228</v>
      </c>
      <c r="I787" s="4">
        <v>96.833909106693341</v>
      </c>
      <c r="J787" s="4">
        <v>104.33591532701757</v>
      </c>
      <c r="K787" s="4">
        <v>112.34956663901765</v>
      </c>
      <c r="L787" s="4">
        <v>120.75401739413155</v>
      </c>
      <c r="M787" s="4">
        <v>129.50541429336386</v>
      </c>
      <c r="N787" s="4">
        <v>138.68797730310905</v>
      </c>
      <c r="O787"/>
      <c r="P787"/>
      <c r="Q787" s="11"/>
    </row>
    <row r="788" spans="1:17" x14ac:dyDescent="0.35">
      <c r="A788" s="3" t="s">
        <v>99</v>
      </c>
      <c r="B788" s="4">
        <v>21.179757180368874</v>
      </c>
      <c r="C788" s="4">
        <v>22.28598697705192</v>
      </c>
      <c r="D788" s="4">
        <v>23.489391794930516</v>
      </c>
      <c r="E788" s="4">
        <v>24.767576794405684</v>
      </c>
      <c r="F788" s="4">
        <v>26.073988756836922</v>
      </c>
      <c r="G788" s="4">
        <v>27.435424411523972</v>
      </c>
      <c r="H788" s="4">
        <v>28.870633817156605</v>
      </c>
      <c r="I788" s="4">
        <v>30.422511500599821</v>
      </c>
      <c r="J788" s="4">
        <v>32.10408098279818</v>
      </c>
      <c r="K788" s="4">
        <v>33.916658092586466</v>
      </c>
      <c r="L788" s="4">
        <v>35.818204245751623</v>
      </c>
      <c r="M788" s="4">
        <v>37.769712126456312</v>
      </c>
      <c r="N788" s="4">
        <v>39.79734800668782</v>
      </c>
      <c r="O788"/>
      <c r="P788"/>
      <c r="Q788" s="11"/>
    </row>
    <row r="789" spans="1:17" x14ac:dyDescent="0.35">
      <c r="A789" s="3" t="s">
        <v>100</v>
      </c>
      <c r="B789" s="4">
        <v>33.568010223223382</v>
      </c>
      <c r="C789" s="4">
        <v>35.391738952423488</v>
      </c>
      <c r="D789" s="4">
        <v>37.351626767955281</v>
      </c>
      <c r="E789" s="4">
        <v>39.472962067258521</v>
      </c>
      <c r="F789" s="4">
        <v>41.774455105039806</v>
      </c>
      <c r="G789" s="4">
        <v>44.276778178395894</v>
      </c>
      <c r="H789" s="4">
        <v>46.996461769576854</v>
      </c>
      <c r="I789" s="4">
        <v>49.915986476799063</v>
      </c>
      <c r="J789" s="4">
        <v>53.01604661762854</v>
      </c>
      <c r="K789" s="4">
        <v>56.284275584373816</v>
      </c>
      <c r="L789" s="4">
        <v>59.707342359685327</v>
      </c>
      <c r="M789" s="4">
        <v>63.306605291276092</v>
      </c>
      <c r="N789" s="4">
        <v>67.061431448707509</v>
      </c>
      <c r="O789"/>
      <c r="P789"/>
      <c r="Q789" s="11"/>
    </row>
    <row r="790" spans="1:17" x14ac:dyDescent="0.35">
      <c r="A790" s="1" t="s">
        <v>39</v>
      </c>
      <c r="O790"/>
      <c r="P790"/>
      <c r="Q790" s="11"/>
    </row>
    <row r="791" spans="1:17" x14ac:dyDescent="0.35">
      <c r="A791" s="2" t="s">
        <v>54</v>
      </c>
      <c r="O791"/>
      <c r="P791"/>
      <c r="Q791" s="11"/>
    </row>
    <row r="792" spans="1:17" x14ac:dyDescent="0.35">
      <c r="A792" s="3" t="s">
        <v>55</v>
      </c>
      <c r="B792" s="4">
        <v>40.768500277162303</v>
      </c>
      <c r="C792" s="4">
        <v>46.593390263975941</v>
      </c>
      <c r="D792" s="4">
        <v>53.34371111995987</v>
      </c>
      <c r="E792" s="4">
        <v>61.054218459230064</v>
      </c>
      <c r="F792" s="4">
        <v>69.797826873567004</v>
      </c>
      <c r="G792" s="4">
        <v>79.60748474950303</v>
      </c>
      <c r="H792" s="4">
        <v>90.822365899319891</v>
      </c>
      <c r="I792" s="4">
        <v>103.79881306095427</v>
      </c>
      <c r="J792" s="4">
        <v>118.97529496321609</v>
      </c>
      <c r="K792" s="4">
        <v>136.68800613665246</v>
      </c>
      <c r="L792" s="4">
        <v>157.08329917854817</v>
      </c>
      <c r="M792" s="4">
        <v>180.31234078353864</v>
      </c>
      <c r="N792" s="4">
        <v>206.74105694709374</v>
      </c>
      <c r="O792"/>
      <c r="P792"/>
      <c r="Q792" s="11"/>
    </row>
    <row r="793" spans="1:17" x14ac:dyDescent="0.35">
      <c r="A793" s="3" t="s">
        <v>56</v>
      </c>
      <c r="B793" s="4">
        <v>116.03697620632497</v>
      </c>
      <c r="C793" s="4">
        <v>129.59905541289655</v>
      </c>
      <c r="D793" s="4">
        <v>145.00543084658986</v>
      </c>
      <c r="E793" s="4">
        <v>162.19493821987825</v>
      </c>
      <c r="F793" s="4">
        <v>181.20589669099127</v>
      </c>
      <c r="G793" s="4">
        <v>201.96192440109016</v>
      </c>
      <c r="H793" s="4">
        <v>225.16274884018679</v>
      </c>
      <c r="I793" s="4">
        <v>251.47914499230873</v>
      </c>
      <c r="J793" s="4">
        <v>281.70959218610233</v>
      </c>
      <c r="K793" s="4">
        <v>316.32528374644056</v>
      </c>
      <c r="L793" s="4">
        <v>355.29989701843306</v>
      </c>
      <c r="M793" s="4">
        <v>398.60286076507901</v>
      </c>
      <c r="N793" s="4">
        <v>446.66315128611336</v>
      </c>
      <c r="O793"/>
      <c r="P793"/>
      <c r="Q793" s="11"/>
    </row>
    <row r="794" spans="1:17" x14ac:dyDescent="0.35">
      <c r="A794" s="3" t="s">
        <v>57</v>
      </c>
      <c r="B794" s="4">
        <v>284.36533541650959</v>
      </c>
      <c r="C794" s="4">
        <v>312.7772048829753</v>
      </c>
      <c r="D794" s="4">
        <v>344.54909236924868</v>
      </c>
      <c r="E794" s="4">
        <v>380.12261454192981</v>
      </c>
      <c r="F794" s="4">
        <v>420.12922714281677</v>
      </c>
      <c r="G794" s="4">
        <v>465.46674428604831</v>
      </c>
      <c r="H794" s="4">
        <v>516.78287005735012</v>
      </c>
      <c r="I794" s="4">
        <v>574.78998993825235</v>
      </c>
      <c r="J794" s="4">
        <v>639.49980844005336</v>
      </c>
      <c r="K794" s="4">
        <v>711.06832076146486</v>
      </c>
      <c r="L794" s="4">
        <v>789.22416241507187</v>
      </c>
      <c r="M794" s="4">
        <v>874.12884485480947</v>
      </c>
      <c r="N794" s="4">
        <v>966.79687434796654</v>
      </c>
      <c r="O794"/>
      <c r="P794"/>
      <c r="Q794" s="11"/>
    </row>
    <row r="795" spans="1:17" x14ac:dyDescent="0.35">
      <c r="A795" s="2" t="s">
        <v>47</v>
      </c>
      <c r="O795"/>
      <c r="P795"/>
      <c r="Q795" s="11"/>
    </row>
    <row r="796" spans="1:17" x14ac:dyDescent="0.35">
      <c r="A796" s="3" t="s">
        <v>82</v>
      </c>
      <c r="B796" s="4">
        <v>156.80547648348727</v>
      </c>
      <c r="C796" s="4">
        <v>176.1924456768725</v>
      </c>
      <c r="D796" s="4">
        <v>198.34914196654972</v>
      </c>
      <c r="E796" s="4">
        <v>223.24915667910832</v>
      </c>
      <c r="F796" s="4">
        <v>251.00372356455827</v>
      </c>
      <c r="G796" s="4">
        <v>281.56940915059317</v>
      </c>
      <c r="H796" s="4">
        <v>315.98511473950668</v>
      </c>
      <c r="I796" s="4">
        <v>355.27795805326298</v>
      </c>
      <c r="J796" s="4">
        <v>400.6848871493184</v>
      </c>
      <c r="K796" s="4">
        <v>453.01328988309302</v>
      </c>
      <c r="L796" s="4">
        <v>512.3831961969812</v>
      </c>
      <c r="M796" s="4">
        <v>578.91520154861769</v>
      </c>
      <c r="N796" s="4">
        <v>653.4042082332071</v>
      </c>
      <c r="O796"/>
      <c r="P796"/>
      <c r="Q796" s="11"/>
    </row>
    <row r="797" spans="1:17" x14ac:dyDescent="0.35">
      <c r="A797" s="3" t="s">
        <v>83</v>
      </c>
      <c r="B797" s="4">
        <v>284.36533541650959</v>
      </c>
      <c r="C797" s="4">
        <v>312.7772048829753</v>
      </c>
      <c r="D797" s="4">
        <v>344.54909236924868</v>
      </c>
      <c r="E797" s="4">
        <v>380.12261454192981</v>
      </c>
      <c r="F797" s="4">
        <v>420.12922714281677</v>
      </c>
      <c r="G797" s="4">
        <v>465.46674428604831</v>
      </c>
      <c r="H797" s="4">
        <v>516.78287005735012</v>
      </c>
      <c r="I797" s="4">
        <v>574.78998993825235</v>
      </c>
      <c r="J797" s="4">
        <v>639.49980844005336</v>
      </c>
      <c r="K797" s="4">
        <v>711.06832076146486</v>
      </c>
      <c r="L797" s="4">
        <v>789.22416241507187</v>
      </c>
      <c r="M797" s="4">
        <v>874.12884485480947</v>
      </c>
      <c r="N797" s="4">
        <v>966.79687434796654</v>
      </c>
      <c r="O797"/>
      <c r="P797"/>
      <c r="Q797" s="11"/>
    </row>
    <row r="798" spans="1:17" x14ac:dyDescent="0.35">
      <c r="A798" s="2" t="s">
        <v>59</v>
      </c>
      <c r="O798"/>
      <c r="P798"/>
      <c r="Q798" s="11"/>
    </row>
    <row r="799" spans="1:17" x14ac:dyDescent="0.35">
      <c r="A799" s="3" t="s">
        <v>60</v>
      </c>
      <c r="O799"/>
      <c r="P799"/>
      <c r="Q799" s="11"/>
    </row>
    <row r="800" spans="1:17" x14ac:dyDescent="0.35">
      <c r="A800" s="34" t="s">
        <v>61</v>
      </c>
      <c r="B800" s="4">
        <v>89.515526524562802</v>
      </c>
      <c r="C800" s="4">
        <v>99.001606401901995</v>
      </c>
      <c r="D800" s="4">
        <v>110.5244570989687</v>
      </c>
      <c r="E800" s="4">
        <v>123.93384988298578</v>
      </c>
      <c r="F800" s="4">
        <v>139.14331013835726</v>
      </c>
      <c r="G800" s="4">
        <v>155.80156843979489</v>
      </c>
      <c r="H800" s="4">
        <v>174.28973535657428</v>
      </c>
      <c r="I800" s="4">
        <v>195.31119066706412</v>
      </c>
      <c r="J800" s="4">
        <v>219.54738883585503</v>
      </c>
      <c r="K800" s="4">
        <v>247.28820151478521</v>
      </c>
      <c r="L800" s="4">
        <v>277.19395749812122</v>
      </c>
      <c r="M800" s="4">
        <v>308.52495316408999</v>
      </c>
      <c r="N800" s="4">
        <v>342.2810226650904</v>
      </c>
      <c r="O800"/>
      <c r="P800"/>
      <c r="Q800" s="11"/>
    </row>
    <row r="801" spans="1:17" x14ac:dyDescent="0.35">
      <c r="A801" s="43" t="s">
        <v>62</v>
      </c>
      <c r="B801" s="4">
        <v>15.923980943936334</v>
      </c>
      <c r="C801" s="4">
        <v>18.161527118381471</v>
      </c>
      <c r="D801" s="4">
        <v>20.71680992948469</v>
      </c>
      <c r="E801" s="4">
        <v>23.688271882032051</v>
      </c>
      <c r="F801" s="4">
        <v>27.132945476979668</v>
      </c>
      <c r="G801" s="4">
        <v>31.112491673966492</v>
      </c>
      <c r="H801" s="4">
        <v>35.681979155604864</v>
      </c>
      <c r="I801" s="4">
        <v>40.892850076647036</v>
      </c>
      <c r="J801" s="4">
        <v>46.82484268451325</v>
      </c>
      <c r="K801" s="4">
        <v>53.679011087799495</v>
      </c>
      <c r="L801" s="4">
        <v>61.61222746679524</v>
      </c>
      <c r="M801" s="4">
        <v>70.724894145177146</v>
      </c>
      <c r="N801" s="4">
        <v>81.127346896244944</v>
      </c>
      <c r="O801"/>
      <c r="P801"/>
      <c r="Q801" s="11"/>
    </row>
    <row r="802" spans="1:17" x14ac:dyDescent="0.35">
      <c r="A802" s="43" t="s">
        <v>63</v>
      </c>
      <c r="B802" s="4">
        <v>31.604007611763073</v>
      </c>
      <c r="C802" s="4">
        <v>35.130291671539254</v>
      </c>
      <c r="D802" s="4">
        <v>39.108578827084195</v>
      </c>
      <c r="E802" s="4">
        <v>43.602563237952772</v>
      </c>
      <c r="F802" s="4">
        <v>48.700158548425058</v>
      </c>
      <c r="G802" s="4">
        <v>54.523583112499985</v>
      </c>
      <c r="H802" s="4">
        <v>61.170577691829365</v>
      </c>
      <c r="I802" s="4">
        <v>68.750251530083233</v>
      </c>
      <c r="J802" s="4">
        <v>77.292042918678447</v>
      </c>
      <c r="K802" s="4">
        <v>86.843570761371552</v>
      </c>
      <c r="L802" s="4">
        <v>97.401761737740742</v>
      </c>
      <c r="M802" s="4">
        <v>109.01631635797104</v>
      </c>
      <c r="N802" s="4">
        <v>121.84488948153067</v>
      </c>
      <c r="O802"/>
      <c r="P802"/>
      <c r="Q802" s="11"/>
    </row>
    <row r="803" spans="1:17" x14ac:dyDescent="0.35">
      <c r="A803" s="43" t="s">
        <v>64</v>
      </c>
      <c r="B803" s="4">
        <v>41.987537968863393</v>
      </c>
      <c r="C803" s="4">
        <v>45.70978761198127</v>
      </c>
      <c r="D803" s="4">
        <v>50.699068342399812</v>
      </c>
      <c r="E803" s="4">
        <v>56.643014763000963</v>
      </c>
      <c r="F803" s="4">
        <v>63.310206112952542</v>
      </c>
      <c r="G803" s="4">
        <v>70.165493653328411</v>
      </c>
      <c r="H803" s="4">
        <v>77.437178509140054</v>
      </c>
      <c r="I803" s="4">
        <v>85.668089060333855</v>
      </c>
      <c r="J803" s="4">
        <v>95.430503232663341</v>
      </c>
      <c r="K803" s="4">
        <v>106.76561966561417</v>
      </c>
      <c r="L803" s="4">
        <v>118.17996829358523</v>
      </c>
      <c r="M803" s="4">
        <v>128.78374266094181</v>
      </c>
      <c r="N803" s="4">
        <v>139.30878628731477</v>
      </c>
      <c r="O803"/>
      <c r="P803"/>
      <c r="Q803" s="11"/>
    </row>
    <row r="804" spans="1:17" x14ac:dyDescent="0.35">
      <c r="A804" s="34" t="s">
        <v>65</v>
      </c>
      <c r="B804" s="4">
        <v>80.293174349062497</v>
      </c>
      <c r="C804" s="4">
        <v>89.13279411953134</v>
      </c>
      <c r="D804" s="4">
        <v>99.056999499119939</v>
      </c>
      <c r="E804" s="4">
        <v>110.01189097990061</v>
      </c>
      <c r="F804" s="4">
        <v>121.9582798025442</v>
      </c>
      <c r="G804" s="4">
        <v>135.14096930322782</v>
      </c>
      <c r="H804" s="4">
        <v>149.81616987277593</v>
      </c>
      <c r="I804" s="4">
        <v>166.53442533842048</v>
      </c>
      <c r="J804" s="4">
        <v>185.65953783977955</v>
      </c>
      <c r="K804" s="4">
        <v>207.12025726283835</v>
      </c>
      <c r="L804" s="4">
        <v>231.21699998036482</v>
      </c>
      <c r="M804" s="4">
        <v>257.88598402336964</v>
      </c>
      <c r="N804" s="4">
        <v>287.24418760730157</v>
      </c>
      <c r="O804"/>
      <c r="P804"/>
      <c r="Q804" s="11"/>
    </row>
    <row r="805" spans="1:17" x14ac:dyDescent="0.35">
      <c r="A805" s="34" t="s">
        <v>66</v>
      </c>
      <c r="B805" s="4">
        <v>50.869621499797219</v>
      </c>
      <c r="C805" s="4">
        <v>56.093244060278892</v>
      </c>
      <c r="D805" s="4">
        <v>61.641388224402533</v>
      </c>
      <c r="E805" s="4">
        <v>67.630325592371449</v>
      </c>
      <c r="F805" s="4">
        <v>74.283679516095106</v>
      </c>
      <c r="G805" s="4">
        <v>81.845109973930661</v>
      </c>
      <c r="H805" s="4">
        <v>90.531761576293022</v>
      </c>
      <c r="I805" s="4">
        <v>100.33819567353805</v>
      </c>
      <c r="J805" s="4">
        <v>111.1356379531489</v>
      </c>
      <c r="K805" s="4">
        <v>122.98337474101477</v>
      </c>
      <c r="L805" s="4">
        <v>136.08264406820453</v>
      </c>
      <c r="M805" s="4">
        <v>150.67549522027448</v>
      </c>
      <c r="N805" s="4">
        <v>166.78004211458642</v>
      </c>
      <c r="O805"/>
      <c r="P805"/>
      <c r="Q805" s="11"/>
    </row>
    <row r="806" spans="1:17" x14ac:dyDescent="0.35">
      <c r="A806" s="34" t="s">
        <v>67</v>
      </c>
      <c r="B806" s="4">
        <v>33.161274983338437</v>
      </c>
      <c r="C806" s="4">
        <v>36.119955199346187</v>
      </c>
      <c r="D806" s="4">
        <v>39.402811578782995</v>
      </c>
      <c r="E806" s="4">
        <v>43.049710279157402</v>
      </c>
      <c r="F806" s="4">
        <v>47.120244469164803</v>
      </c>
      <c r="G806" s="4">
        <v>51.701319057934001</v>
      </c>
      <c r="H806" s="4">
        <v>56.848406448056387</v>
      </c>
      <c r="I806" s="4">
        <v>62.621605210012362</v>
      </c>
      <c r="J806" s="4">
        <v>69.00197086118844</v>
      </c>
      <c r="K806" s="4">
        <v>75.986415401706111</v>
      </c>
      <c r="L806" s="4">
        <v>83.52585917222865</v>
      </c>
      <c r="M806" s="4">
        <v>91.618479989889835</v>
      </c>
      <c r="N806" s="4">
        <v>100.35151153620804</v>
      </c>
      <c r="O806"/>
      <c r="P806"/>
      <c r="Q806" s="11"/>
    </row>
    <row r="807" spans="1:17" x14ac:dyDescent="0.35">
      <c r="A807" s="34" t="s">
        <v>68</v>
      </c>
      <c r="B807" s="4">
        <v>54.09125647861265</v>
      </c>
      <c r="C807" s="4">
        <v>60.624892275366832</v>
      </c>
      <c r="D807" s="4">
        <v>68.011232045975845</v>
      </c>
      <c r="E807" s="4">
        <v>76.393848685096771</v>
      </c>
      <c r="F807" s="4">
        <v>85.925151679065223</v>
      </c>
      <c r="G807" s="4">
        <v>96.78270181847931</v>
      </c>
      <c r="H807" s="4">
        <v>109.15969645820712</v>
      </c>
      <c r="I807" s="4">
        <v>123.19566711665468</v>
      </c>
      <c r="J807" s="4">
        <v>139.03435750911768</v>
      </c>
      <c r="K807" s="4">
        <v>156.84546460612219</v>
      </c>
      <c r="L807" s="4">
        <v>176.80832009205176</v>
      </c>
      <c r="M807" s="4">
        <v>199.21727368402156</v>
      </c>
      <c r="N807" s="4">
        <v>224.27313358757635</v>
      </c>
      <c r="O807"/>
      <c r="P807"/>
      <c r="Q807" s="11"/>
    </row>
    <row r="808" spans="1:17" x14ac:dyDescent="0.35">
      <c r="A808" s="34" t="s">
        <v>69</v>
      </c>
      <c r="B808" s="4">
        <v>61.94846092511078</v>
      </c>
      <c r="C808" s="4">
        <v>67.439395211069524</v>
      </c>
      <c r="D808" s="4">
        <v>73.162300004046756</v>
      </c>
      <c r="E808" s="4">
        <v>79.242700570680796</v>
      </c>
      <c r="F808" s="4">
        <v>85.925151679065223</v>
      </c>
      <c r="G808" s="4">
        <v>93.464390278098733</v>
      </c>
      <c r="H808" s="4">
        <v>102.07114363298521</v>
      </c>
      <c r="I808" s="4">
        <v>111.69349511199319</v>
      </c>
      <c r="J808" s="4">
        <v>122.14366619671584</v>
      </c>
      <c r="K808" s="4">
        <v>133.44888734674907</v>
      </c>
      <c r="L808" s="4">
        <v>145.7879952661855</v>
      </c>
      <c r="M808" s="4">
        <v>159.3733758745621</v>
      </c>
      <c r="N808" s="4">
        <v>174.1684808130413</v>
      </c>
      <c r="O808"/>
      <c r="P808"/>
      <c r="Q808" s="11"/>
    </row>
    <row r="809" spans="1:17" x14ac:dyDescent="0.35">
      <c r="A809" s="3" t="s">
        <v>70</v>
      </c>
      <c r="O809"/>
      <c r="P809"/>
      <c r="Q809" s="11"/>
    </row>
    <row r="810" spans="1:17" x14ac:dyDescent="0.35">
      <c r="A810" s="34" t="s">
        <v>71</v>
      </c>
      <c r="B810" s="4">
        <v>10.453272339602467</v>
      </c>
      <c r="C810" s="4">
        <v>11.971939032907184</v>
      </c>
      <c r="D810" s="4">
        <v>13.713434640566639</v>
      </c>
      <c r="E810" s="4">
        <v>15.745760517912926</v>
      </c>
      <c r="F810" s="4">
        <v>18.110522674838517</v>
      </c>
      <c r="G810" s="4">
        <v>20.853101173898533</v>
      </c>
      <c r="H810" s="4">
        <v>24.01520459739713</v>
      </c>
      <c r="I810" s="4">
        <v>27.63678641677836</v>
      </c>
      <c r="J810" s="4">
        <v>31.777580412277857</v>
      </c>
      <c r="K810" s="4">
        <v>36.580637904369041</v>
      </c>
      <c r="L810" s="4">
        <v>42.161275021032019</v>
      </c>
      <c r="M810" s="4">
        <v>48.598068864393731</v>
      </c>
      <c r="N810" s="4">
        <v>55.977712050408286</v>
      </c>
      <c r="O810"/>
      <c r="P810"/>
      <c r="Q810" s="11"/>
    </row>
    <row r="811" spans="1:17" x14ac:dyDescent="0.35">
      <c r="A811" s="34" t="s">
        <v>72</v>
      </c>
      <c r="B811" s="4">
        <v>8.1377715544198317</v>
      </c>
      <c r="C811" s="4">
        <v>9.4418995954612921</v>
      </c>
      <c r="D811" s="4">
        <v>10.973905991028289</v>
      </c>
      <c r="E811" s="4">
        <v>12.750831896682431</v>
      </c>
      <c r="F811" s="4">
        <v>14.798481563097619</v>
      </c>
      <c r="G811" s="4">
        <v>17.135499639691933</v>
      </c>
      <c r="H811" s="4">
        <v>19.847298056091947</v>
      </c>
      <c r="I811" s="4">
        <v>23.027949879599973</v>
      </c>
      <c r="J811" s="4">
        <v>26.795080591691491</v>
      </c>
      <c r="K811" s="4">
        <v>31.24992786615519</v>
      </c>
      <c r="L811" s="4">
        <v>36.45583759585142</v>
      </c>
      <c r="M811" s="4">
        <v>42.480389419584561</v>
      </c>
      <c r="N811" s="4">
        <v>49.445083588048121</v>
      </c>
      <c r="O811"/>
      <c r="P811"/>
      <c r="Q811" s="11"/>
    </row>
    <row r="812" spans="1:17" x14ac:dyDescent="0.35">
      <c r="A812" s="34" t="s">
        <v>73</v>
      </c>
      <c r="B812" s="4">
        <v>7.5754499803329702</v>
      </c>
      <c r="C812" s="4">
        <v>8.4999830367917397</v>
      </c>
      <c r="D812" s="4">
        <v>9.5543491418081814</v>
      </c>
      <c r="E812" s="4">
        <v>10.736317534598044</v>
      </c>
      <c r="F812" s="4">
        <v>12.05019212995092</v>
      </c>
      <c r="G812" s="4">
        <v>13.492720453831819</v>
      </c>
      <c r="H812" s="4">
        <v>15.112431395780687</v>
      </c>
      <c r="I812" s="4">
        <v>16.95680267737292</v>
      </c>
      <c r="J812" s="4">
        <v>19.082789826728767</v>
      </c>
      <c r="K812" s="4">
        <v>21.526213566734484</v>
      </c>
      <c r="L812" s="4">
        <v>24.28967679599187</v>
      </c>
      <c r="M812" s="4">
        <v>27.375517946988289</v>
      </c>
      <c r="N812" s="4">
        <v>30.81765984122675</v>
      </c>
      <c r="O812"/>
      <c r="P812"/>
      <c r="Q812" s="11"/>
    </row>
    <row r="813" spans="1:17" x14ac:dyDescent="0.35">
      <c r="A813" s="34" t="s">
        <v>74</v>
      </c>
      <c r="B813" s="4">
        <v>8.5975808021925282</v>
      </c>
      <c r="C813" s="4">
        <v>9.7197546433131112</v>
      </c>
      <c r="D813" s="4">
        <v>11.007836419975085</v>
      </c>
      <c r="E813" s="4">
        <v>12.462948150913421</v>
      </c>
      <c r="F813" s="4">
        <v>14.093791964854876</v>
      </c>
      <c r="G813" s="4">
        <v>15.90045702025408</v>
      </c>
      <c r="H813" s="4">
        <v>17.944016296540713</v>
      </c>
      <c r="I813" s="4">
        <v>20.286106025721779</v>
      </c>
      <c r="J813" s="4">
        <v>23.001510452825656</v>
      </c>
      <c r="K813" s="4">
        <v>26.141723732086891</v>
      </c>
      <c r="L813" s="4">
        <v>29.719359262542305</v>
      </c>
      <c r="M813" s="4">
        <v>33.746987650018987</v>
      </c>
      <c r="N813" s="4">
        <v>38.276396694259681</v>
      </c>
      <c r="O813"/>
      <c r="P813"/>
      <c r="Q813" s="11"/>
    </row>
    <row r="814" spans="1:17" x14ac:dyDescent="0.35">
      <c r="A814" s="34" t="s">
        <v>75</v>
      </c>
      <c r="B814" s="4">
        <v>6.810856382102604</v>
      </c>
      <c r="C814" s="4">
        <v>7.7368606183882154</v>
      </c>
      <c r="D814" s="4">
        <v>8.7968697007339109</v>
      </c>
      <c r="E814" s="4">
        <v>10.014570367224476</v>
      </c>
      <c r="F814" s="4">
        <v>11.415971491532449</v>
      </c>
      <c r="G814" s="4">
        <v>13.031690584804375</v>
      </c>
      <c r="H814" s="4">
        <v>14.895942571797921</v>
      </c>
      <c r="I814" s="4">
        <v>17.037277319379022</v>
      </c>
      <c r="J814" s="4">
        <v>19.486151164091805</v>
      </c>
      <c r="K814" s="4">
        <v>22.278062528621227</v>
      </c>
      <c r="L814" s="4">
        <v>25.451530764033738</v>
      </c>
      <c r="M814" s="4">
        <v>29.063418850644069</v>
      </c>
      <c r="N814" s="4">
        <v>33.159687521842962</v>
      </c>
      <c r="O814"/>
      <c r="P814"/>
      <c r="Q814" s="11"/>
    </row>
    <row r="815" spans="1:17" x14ac:dyDescent="0.35">
      <c r="A815" s="3" t="s">
        <v>76</v>
      </c>
      <c r="O815"/>
      <c r="P815"/>
      <c r="Q815" s="11"/>
    </row>
    <row r="816" spans="1:17" x14ac:dyDescent="0.35">
      <c r="A816" s="34" t="s">
        <v>77</v>
      </c>
      <c r="B816" s="4">
        <v>8.4570766745490609</v>
      </c>
      <c r="C816" s="4">
        <v>9.4777368998456488</v>
      </c>
      <c r="D816" s="4">
        <v>10.63150672567407</v>
      </c>
      <c r="E816" s="4">
        <v>11.940791721068857</v>
      </c>
      <c r="F816" s="4">
        <v>13.429370343654575</v>
      </c>
      <c r="G816" s="4">
        <v>15.124943148020531</v>
      </c>
      <c r="H816" s="4">
        <v>17.057644045643102</v>
      </c>
      <c r="I816" s="4">
        <v>19.249209758353604</v>
      </c>
      <c r="J816" s="4">
        <v>21.722026963014237</v>
      </c>
      <c r="K816" s="4">
        <v>24.502528662771788</v>
      </c>
      <c r="L816" s="4">
        <v>27.618643013038948</v>
      </c>
      <c r="M816" s="4">
        <v>31.116254174092717</v>
      </c>
      <c r="N816" s="4">
        <v>35.026618680099745</v>
      </c>
      <c r="O816"/>
      <c r="P816"/>
      <c r="Q816" s="11"/>
    </row>
    <row r="817" spans="1:17" x14ac:dyDescent="0.35">
      <c r="A817" s="34" t="s">
        <v>78</v>
      </c>
      <c r="B817" s="4">
        <v>8.1180462942014913</v>
      </c>
      <c r="C817" s="4">
        <v>8.9949763532453169</v>
      </c>
      <c r="D817" s="4">
        <v>9.9326588445121011</v>
      </c>
      <c r="E817" s="4">
        <v>10.950692308476484</v>
      </c>
      <c r="F817" s="4">
        <v>12.086433309289118</v>
      </c>
      <c r="G817" s="4">
        <v>13.381217794835374</v>
      </c>
      <c r="H817" s="4">
        <v>14.872836519073475</v>
      </c>
      <c r="I817" s="4">
        <v>16.56322647666649</v>
      </c>
      <c r="J817" s="4">
        <v>18.433981761651843</v>
      </c>
      <c r="K817" s="4">
        <v>20.49751704137595</v>
      </c>
      <c r="L817" s="4">
        <v>22.790130315457013</v>
      </c>
      <c r="M817" s="4">
        <v>25.355638789110156</v>
      </c>
      <c r="N817" s="4">
        <v>28.201001468766389</v>
      </c>
      <c r="O817"/>
      <c r="P817"/>
      <c r="Q817" s="11"/>
    </row>
    <row r="818" spans="1:17" x14ac:dyDescent="0.35">
      <c r="A818" s="34" t="s">
        <v>79</v>
      </c>
      <c r="B818" s="4">
        <v>4.6959480731337422</v>
      </c>
      <c r="C818" s="4">
        <v>5.3651875716745936</v>
      </c>
      <c r="D818" s="4">
        <v>6.1307868238062175</v>
      </c>
      <c r="E818" s="4">
        <v>7.0224019199375878</v>
      </c>
      <c r="F818" s="4">
        <v>8.0576222061927449</v>
      </c>
      <c r="G818" s="4">
        <v>9.2555361548636217</v>
      </c>
      <c r="H818" s="4">
        <v>10.633406581566991</v>
      </c>
      <c r="I818" s="4">
        <v>12.20753874745825</v>
      </c>
      <c r="J818" s="4">
        <v>14.002802016615828</v>
      </c>
      <c r="K818" s="4">
        <v>16.080522208830786</v>
      </c>
      <c r="L818" s="4">
        <v>18.489222231607091</v>
      </c>
      <c r="M818" s="4">
        <v>21.260822134610599</v>
      </c>
      <c r="N818" s="4">
        <v>24.430456238746615</v>
      </c>
      <c r="O818"/>
      <c r="P818"/>
      <c r="Q818" s="11"/>
    </row>
    <row r="819" spans="1:17" x14ac:dyDescent="0.35">
      <c r="A819" s="34" t="s">
        <v>80</v>
      </c>
      <c r="B819" s="4">
        <v>4.1190676442308725</v>
      </c>
      <c r="C819" s="4">
        <v>4.520735419467937</v>
      </c>
      <c r="D819" s="4">
        <v>4.962400303992907</v>
      </c>
      <c r="E819" s="4">
        <v>5.4607861203622798</v>
      </c>
      <c r="F819" s="4">
        <v>6.0200625678451543</v>
      </c>
      <c r="G819" s="4">
        <v>6.6441529323335846</v>
      </c>
      <c r="H819" s="4">
        <v>7.3342802067903836</v>
      </c>
      <c r="I819" s="4">
        <v>8.0899786813611563</v>
      </c>
      <c r="J819" s="4">
        <v>8.9156568965678851</v>
      </c>
      <c r="K819" s="4">
        <v>9.8373475923916782</v>
      </c>
      <c r="L819" s="4">
        <v>10.86820239082317</v>
      </c>
      <c r="M819" s="4">
        <v>12.00831531776943</v>
      </c>
      <c r="N819" s="4">
        <v>13.258180730844337</v>
      </c>
      <c r="O819"/>
      <c r="P819"/>
      <c r="Q819" s="11"/>
    </row>
    <row r="820" spans="1:17" x14ac:dyDescent="0.35">
      <c r="A820" s="34" t="s">
        <v>81</v>
      </c>
      <c r="B820" s="4">
        <v>4.3264273947468803</v>
      </c>
      <c r="C820" s="4">
        <v>4.8286901212579938</v>
      </c>
      <c r="D820" s="4">
        <v>5.3952972924042077</v>
      </c>
      <c r="E820" s="4">
        <v>6.0243446936687617</v>
      </c>
      <c r="F820" s="4">
        <v>6.7146851718272869</v>
      </c>
      <c r="G820" s="4">
        <v>7.4807756626422002</v>
      </c>
      <c r="H820" s="4">
        <v>8.3380111812824982</v>
      </c>
      <c r="I820" s="4">
        <v>9.3184928911409131</v>
      </c>
      <c r="J820" s="4">
        <v>10.444556308100976</v>
      </c>
      <c r="K820" s="4">
        <v>11.714528668005213</v>
      </c>
      <c r="L820" s="4">
        <v>13.14770514451903</v>
      </c>
      <c r="M820" s="4">
        <v>14.743071300007115</v>
      </c>
      <c r="N820" s="4">
        <v>16.509907443126536</v>
      </c>
      <c r="O820"/>
      <c r="P820"/>
      <c r="Q820" s="11"/>
    </row>
    <row r="821" spans="1:17" x14ac:dyDescent="0.35">
      <c r="A821" s="2" t="s">
        <v>84</v>
      </c>
      <c r="O821"/>
      <c r="P821"/>
      <c r="Q821" s="11"/>
    </row>
    <row r="822" spans="1:17" x14ac:dyDescent="0.35">
      <c r="A822" s="3" t="s">
        <v>85</v>
      </c>
      <c r="B822" s="4">
        <v>27.039854753233907</v>
      </c>
      <c r="C822" s="4">
        <v>29.588254925398353</v>
      </c>
      <c r="D822" s="4">
        <v>32.429136457296103</v>
      </c>
      <c r="E822" s="4">
        <v>35.556309428959707</v>
      </c>
      <c r="F822" s="4">
        <v>38.925711141027755</v>
      </c>
      <c r="G822" s="4">
        <v>42.593675998144583</v>
      </c>
      <c r="H822" s="4">
        <v>46.611444789237424</v>
      </c>
      <c r="I822" s="4">
        <v>51.075346473265995</v>
      </c>
      <c r="J822" s="4">
        <v>56.044436613656821</v>
      </c>
      <c r="K822" s="4">
        <v>61.563409729176513</v>
      </c>
      <c r="L822" s="4">
        <v>67.601598739420211</v>
      </c>
      <c r="M822" s="4">
        <v>74.125101646416724</v>
      </c>
      <c r="N822" s="4">
        <v>81.218853699224397</v>
      </c>
      <c r="O822"/>
      <c r="P822"/>
      <c r="Q822" s="11"/>
    </row>
    <row r="823" spans="1:17" x14ac:dyDescent="0.35">
      <c r="A823" s="3" t="s">
        <v>86</v>
      </c>
      <c r="B823" s="4">
        <v>81.17681753579906</v>
      </c>
      <c r="C823" s="4">
        <v>88.564825320971451</v>
      </c>
      <c r="D823" s="4">
        <v>96.772833349600418</v>
      </c>
      <c r="E823" s="4">
        <v>105.90283093752839</v>
      </c>
      <c r="F823" s="4">
        <v>116.10600047237587</v>
      </c>
      <c r="G823" s="4">
        <v>127.6018066476409</v>
      </c>
      <c r="H823" s="4">
        <v>140.53356509865171</v>
      </c>
      <c r="I823" s="4">
        <v>155.05695501298931</v>
      </c>
      <c r="J823" s="4">
        <v>171.13294500080042</v>
      </c>
      <c r="K823" s="4">
        <v>188.76157233079681</v>
      </c>
      <c r="L823" s="4">
        <v>207.82862435445369</v>
      </c>
      <c r="M823" s="4">
        <v>228.33673065482353</v>
      </c>
      <c r="N823" s="4">
        <v>250.51048781371074</v>
      </c>
      <c r="O823"/>
      <c r="P823"/>
      <c r="Q823" s="11"/>
    </row>
    <row r="824" spans="1:17" x14ac:dyDescent="0.35">
      <c r="A824" s="3" t="s">
        <v>87</v>
      </c>
      <c r="B824" s="4">
        <v>145.43172765536684</v>
      </c>
      <c r="C824" s="4">
        <v>162.80200767036519</v>
      </c>
      <c r="D824" s="4">
        <v>182.72559771225684</v>
      </c>
      <c r="E824" s="4">
        <v>205.1178588882193</v>
      </c>
      <c r="F824" s="4">
        <v>230.1986020926297</v>
      </c>
      <c r="G824" s="4">
        <v>258.06559366687645</v>
      </c>
      <c r="H824" s="4">
        <v>289.70000165193994</v>
      </c>
      <c r="I824" s="4">
        <v>326.27627224225841</v>
      </c>
      <c r="J824" s="4">
        <v>368.7115311818427</v>
      </c>
      <c r="K824" s="4">
        <v>417.54525259150864</v>
      </c>
      <c r="L824" s="4">
        <v>472.37946099451574</v>
      </c>
      <c r="M824" s="4">
        <v>532.79458249462607</v>
      </c>
      <c r="N824" s="4">
        <v>599.88021990916877</v>
      </c>
      <c r="O824"/>
      <c r="P824"/>
      <c r="Q824" s="11"/>
    </row>
    <row r="825" spans="1:17" x14ac:dyDescent="0.35">
      <c r="A825" s="3" t="s">
        <v>88</v>
      </c>
      <c r="B825" s="4">
        <v>98.905802421022699</v>
      </c>
      <c r="C825" s="4">
        <v>110.24247037182388</v>
      </c>
      <c r="D825" s="4">
        <v>122.99404904367337</v>
      </c>
      <c r="E825" s="4">
        <v>137.39482497200606</v>
      </c>
      <c r="F825" s="4">
        <v>153.6894457119889</v>
      </c>
      <c r="G825" s="4">
        <v>172.16173163906501</v>
      </c>
      <c r="H825" s="4">
        <v>193.11658553923638</v>
      </c>
      <c r="I825" s="4">
        <v>216.75670426228234</v>
      </c>
      <c r="J825" s="4">
        <v>243.28708513675107</v>
      </c>
      <c r="K825" s="4">
        <v>272.95291012135937</v>
      </c>
      <c r="L825" s="4">
        <v>306.0099513939499</v>
      </c>
      <c r="M825" s="4">
        <v>342.90656243506936</v>
      </c>
      <c r="N825" s="4">
        <v>383.91930220875014</v>
      </c>
      <c r="O825"/>
      <c r="P825"/>
      <c r="Q825" s="11"/>
    </row>
    <row r="826" spans="1:17" x14ac:dyDescent="0.35">
      <c r="A826" s="3" t="s">
        <v>89</v>
      </c>
      <c r="B826" s="4">
        <v>28.812458772022616</v>
      </c>
      <c r="C826" s="4">
        <v>31.906750127080517</v>
      </c>
      <c r="D826" s="4">
        <v>35.366776588405102</v>
      </c>
      <c r="E826" s="4">
        <v>39.252117594108007</v>
      </c>
      <c r="F826" s="4">
        <v>43.623641795979374</v>
      </c>
      <c r="G826" s="4">
        <v>48.551614510396867</v>
      </c>
      <c r="H826" s="4">
        <v>54.110262240262756</v>
      </c>
      <c r="I826" s="4">
        <v>60.34306485114552</v>
      </c>
      <c r="J826" s="4">
        <v>67.292800020272367</v>
      </c>
      <c r="K826" s="4">
        <v>75.012016354040256</v>
      </c>
      <c r="L826" s="4">
        <v>83.554557975771615</v>
      </c>
      <c r="M826" s="4">
        <v>93.025182591381551</v>
      </c>
      <c r="N826" s="4">
        <v>103.47903696680707</v>
      </c>
      <c r="O826"/>
      <c r="P826"/>
      <c r="Q826" s="11"/>
    </row>
    <row r="827" spans="1:17" x14ac:dyDescent="0.35">
      <c r="A827" s="3" t="s">
        <v>90</v>
      </c>
      <c r="B827" s="4">
        <v>59.804150762551735</v>
      </c>
      <c r="C827" s="4">
        <v>65.865342144208384</v>
      </c>
      <c r="D827" s="4">
        <v>72.609841184566577</v>
      </c>
      <c r="E827" s="4">
        <v>80.147829400216636</v>
      </c>
      <c r="F827" s="4">
        <v>88.589549493373426</v>
      </c>
      <c r="G827" s="4">
        <v>98.061730974517658</v>
      </c>
      <c r="H827" s="4">
        <v>108.69612547752865</v>
      </c>
      <c r="I827" s="4">
        <v>120.55960514957367</v>
      </c>
      <c r="J827" s="4">
        <v>133.7158976360484</v>
      </c>
      <c r="K827" s="4">
        <v>148.24644951767647</v>
      </c>
      <c r="L827" s="4">
        <v>164.23316515394183</v>
      </c>
      <c r="M827" s="4">
        <v>181.85588658111007</v>
      </c>
      <c r="N827" s="4">
        <v>201.19318198351249</v>
      </c>
      <c r="O827"/>
      <c r="P827"/>
      <c r="Q827" s="11"/>
    </row>
    <row r="828" spans="1:17" x14ac:dyDescent="0.35">
      <c r="A828" s="2" t="s">
        <v>91</v>
      </c>
      <c r="O828"/>
      <c r="P828"/>
      <c r="Q828" s="11"/>
    </row>
    <row r="829" spans="1:17" x14ac:dyDescent="0.35">
      <c r="A829" s="3" t="s">
        <v>92</v>
      </c>
      <c r="B829" s="4">
        <v>177.7963080578412</v>
      </c>
      <c r="C829" s="4">
        <v>199.15483857787268</v>
      </c>
      <c r="D829" s="4">
        <v>222.32691048028408</v>
      </c>
      <c r="E829" s="4">
        <v>247.80567652847407</v>
      </c>
      <c r="F829" s="4">
        <v>276.50677569143852</v>
      </c>
      <c r="G829" s="4">
        <v>309.47578573131676</v>
      </c>
      <c r="H829" s="4">
        <v>347.72017938303185</v>
      </c>
      <c r="I829" s="4">
        <v>391.45054745683245</v>
      </c>
      <c r="J829" s="4">
        <v>440.40269803248668</v>
      </c>
      <c r="K829" s="4">
        <v>495.03413645272042</v>
      </c>
      <c r="L829" s="4">
        <v>556.39621678492324</v>
      </c>
      <c r="M829" s="4">
        <v>625.76655135560827</v>
      </c>
      <c r="N829" s="4">
        <v>703.56501019229756</v>
      </c>
      <c r="O829"/>
      <c r="P829"/>
      <c r="Q829" s="11"/>
    </row>
    <row r="830" spans="1:17" x14ac:dyDescent="0.35">
      <c r="A830" s="3" t="s">
        <v>93</v>
      </c>
      <c r="B830" s="4">
        <v>263.37450384215566</v>
      </c>
      <c r="C830" s="4">
        <v>289.81481198197508</v>
      </c>
      <c r="D830" s="4">
        <v>320.57132385551432</v>
      </c>
      <c r="E830" s="4">
        <v>355.56609469256404</v>
      </c>
      <c r="F830" s="4">
        <v>394.6261750159365</v>
      </c>
      <c r="G830" s="4">
        <v>437.56036770532472</v>
      </c>
      <c r="H830" s="4">
        <v>485.04780541382496</v>
      </c>
      <c r="I830" s="4">
        <v>538.61740053468293</v>
      </c>
      <c r="J830" s="4">
        <v>599.78199755688513</v>
      </c>
      <c r="K830" s="4">
        <v>669.04747419183752</v>
      </c>
      <c r="L830" s="4">
        <v>745.21114182712984</v>
      </c>
      <c r="M830" s="4">
        <v>827.277495047819</v>
      </c>
      <c r="N830" s="4">
        <v>916.63607238887596</v>
      </c>
      <c r="O830"/>
      <c r="P830"/>
      <c r="Q830" s="11"/>
    </row>
    <row r="831" spans="1:17" x14ac:dyDescent="0.35">
      <c r="A831" s="2" t="s">
        <v>94</v>
      </c>
      <c r="O831"/>
      <c r="P831"/>
      <c r="Q831" s="11"/>
    </row>
    <row r="832" spans="1:17" x14ac:dyDescent="0.35">
      <c r="A832" s="3" t="s">
        <v>48</v>
      </c>
      <c r="B832" s="4">
        <v>38.316354998350363</v>
      </c>
      <c r="C832" s="4">
        <v>42.74250434358671</v>
      </c>
      <c r="D832" s="4">
        <v>47.724722304221366</v>
      </c>
      <c r="E832" s="4">
        <v>53.355295290980578</v>
      </c>
      <c r="F832" s="4">
        <v>59.730832612956377</v>
      </c>
      <c r="G832" s="4">
        <v>66.963481302263318</v>
      </c>
      <c r="H832" s="4">
        <v>75.173951900479139</v>
      </c>
      <c r="I832" s="4">
        <v>84.443560662239932</v>
      </c>
      <c r="J832" s="4">
        <v>94.854786236168167</v>
      </c>
      <c r="K832" s="4">
        <v>106.50604584519205</v>
      </c>
      <c r="L832" s="4">
        <v>119.50021204874048</v>
      </c>
      <c r="M832" s="4">
        <v>134.01570085057935</v>
      </c>
      <c r="N832" s="4">
        <v>150.16436795466234</v>
      </c>
      <c r="O832"/>
      <c r="P832"/>
      <c r="Q832" s="11"/>
    </row>
    <row r="833" spans="1:17" x14ac:dyDescent="0.35">
      <c r="A833" s="3" t="s">
        <v>95</v>
      </c>
      <c r="B833" s="4">
        <v>38.414848594556361</v>
      </c>
      <c r="C833" s="4">
        <v>43.484516096797165</v>
      </c>
      <c r="D833" s="4">
        <v>49.277591173909869</v>
      </c>
      <c r="E833" s="4">
        <v>55.805470557525084</v>
      </c>
      <c r="F833" s="4">
        <v>63.086497366493255</v>
      </c>
      <c r="G833" s="4">
        <v>71.285947854093422</v>
      </c>
      <c r="H833" s="4">
        <v>80.586736687928862</v>
      </c>
      <c r="I833" s="4">
        <v>91.342774161674782</v>
      </c>
      <c r="J833" s="4">
        <v>103.8313007541804</v>
      </c>
      <c r="K833" s="4">
        <v>118.10515166204846</v>
      </c>
      <c r="L833" s="4">
        <v>134.42982998742434</v>
      </c>
      <c r="M833" s="4">
        <v>152.87650099001689</v>
      </c>
      <c r="N833" s="4">
        <v>173.62513821581376</v>
      </c>
      <c r="O833"/>
      <c r="P833"/>
      <c r="Q833" s="11"/>
    </row>
    <row r="834" spans="1:17" x14ac:dyDescent="0.35">
      <c r="A834" s="3" t="s">
        <v>96</v>
      </c>
      <c r="B834" s="4">
        <v>68.949978345274474</v>
      </c>
      <c r="C834" s="4">
        <v>76.081410377004431</v>
      </c>
      <c r="D834" s="4">
        <v>84.600860903052251</v>
      </c>
      <c r="E834" s="4">
        <v>94.487236668081607</v>
      </c>
      <c r="F834" s="4">
        <v>106.03900621176524</v>
      </c>
      <c r="G834" s="4">
        <v>119.64317899826142</v>
      </c>
      <c r="H834" s="4">
        <v>135.52299992298686</v>
      </c>
      <c r="I834" s="4">
        <v>154.14333476787692</v>
      </c>
      <c r="J834" s="4">
        <v>175.43242130114777</v>
      </c>
      <c r="K834" s="4">
        <v>199.0810025084927</v>
      </c>
      <c r="L834" s="4">
        <v>224.22319905940549</v>
      </c>
      <c r="M834" s="4">
        <v>250.75798354625044</v>
      </c>
      <c r="N834" s="4">
        <v>279.69169845914507</v>
      </c>
      <c r="O834"/>
      <c r="P834"/>
      <c r="Q834" s="11"/>
    </row>
    <row r="835" spans="1:17" x14ac:dyDescent="0.35">
      <c r="A835" s="3" t="s">
        <v>97</v>
      </c>
      <c r="B835" s="4">
        <v>53.324410449904271</v>
      </c>
      <c r="C835" s="4">
        <v>58.922840497538694</v>
      </c>
      <c r="D835" s="4">
        <v>64.886477535693714</v>
      </c>
      <c r="E835" s="4">
        <v>71.340046026419117</v>
      </c>
      <c r="F835" s="4">
        <v>78.522555232762883</v>
      </c>
      <c r="G835" s="4">
        <v>86.696197270367364</v>
      </c>
      <c r="H835" s="4">
        <v>96.097264093686718</v>
      </c>
      <c r="I835" s="4">
        <v>106.72773724366945</v>
      </c>
      <c r="J835" s="4">
        <v>118.45841053522632</v>
      </c>
      <c r="K835" s="4">
        <v>131.35944870107173</v>
      </c>
      <c r="L835" s="4">
        <v>145.65321755099208</v>
      </c>
      <c r="M835" s="4">
        <v>161.60761311926663</v>
      </c>
      <c r="N835" s="4">
        <v>179.25257345669718</v>
      </c>
      <c r="O835"/>
      <c r="P835"/>
      <c r="Q835" s="11"/>
    </row>
    <row r="836" spans="1:17" x14ac:dyDescent="0.35">
      <c r="A836" s="3" t="s">
        <v>98</v>
      </c>
      <c r="B836" s="4">
        <v>159.64873842578481</v>
      </c>
      <c r="C836" s="4">
        <v>177.64645137840705</v>
      </c>
      <c r="D836" s="4">
        <v>198.02839698438464</v>
      </c>
      <c r="E836" s="4">
        <v>220.68281893999091</v>
      </c>
      <c r="F836" s="4">
        <v>245.63465995889925</v>
      </c>
      <c r="G836" s="4">
        <v>272.75269335000104</v>
      </c>
      <c r="H836" s="4">
        <v>302.95547154118788</v>
      </c>
      <c r="I836" s="4">
        <v>337.10861091447077</v>
      </c>
      <c r="J836" s="4">
        <v>376.23563830497886</v>
      </c>
      <c r="K836" s="4">
        <v>420.90729910931515</v>
      </c>
      <c r="L836" s="4">
        <v>471.02327152563777</v>
      </c>
      <c r="M836" s="4">
        <v>526.47834794880873</v>
      </c>
      <c r="N836" s="4">
        <v>587.77508698278302</v>
      </c>
      <c r="O836"/>
      <c r="P836"/>
      <c r="Q836" s="11"/>
    </row>
    <row r="837" spans="1:17" x14ac:dyDescent="0.35">
      <c r="A837" s="3" t="s">
        <v>99</v>
      </c>
      <c r="B837" s="4">
        <v>51.10038274494628</v>
      </c>
      <c r="C837" s="4">
        <v>55.664704296164395</v>
      </c>
      <c r="D837" s="4">
        <v>60.646919126840871</v>
      </c>
      <c r="E837" s="4">
        <v>66.240921507394035</v>
      </c>
      <c r="F837" s="4">
        <v>72.482358676396501</v>
      </c>
      <c r="G837" s="4">
        <v>79.402602045053527</v>
      </c>
      <c r="H837" s="4">
        <v>86.999550178902567</v>
      </c>
      <c r="I837" s="4">
        <v>95.250842786881989</v>
      </c>
      <c r="J837" s="4">
        <v>104.1918773934083</v>
      </c>
      <c r="K837" s="4">
        <v>114.109416057956</v>
      </c>
      <c r="L837" s="4">
        <v>125.13197019294554</v>
      </c>
      <c r="M837" s="4">
        <v>137.23348155675532</v>
      </c>
      <c r="N837" s="4">
        <v>150.39276900549595</v>
      </c>
      <c r="O837"/>
      <c r="P837"/>
      <c r="Q837" s="11"/>
    </row>
    <row r="838" spans="1:17" x14ac:dyDescent="0.35">
      <c r="A838" s="3" t="s">
        <v>100</v>
      </c>
      <c r="B838" s="4">
        <v>31.416098341180334</v>
      </c>
      <c r="C838" s="4">
        <v>34.427223570349298</v>
      </c>
      <c r="D838" s="4">
        <v>37.733266307695729</v>
      </c>
      <c r="E838" s="4">
        <v>41.459982230646801</v>
      </c>
      <c r="F838" s="4">
        <v>45.637040648101539</v>
      </c>
      <c r="G838" s="4">
        <v>50.292052616601353</v>
      </c>
      <c r="H838" s="4">
        <v>55.432010471684713</v>
      </c>
      <c r="I838" s="4">
        <v>61.051087454701516</v>
      </c>
      <c r="J838" s="4">
        <v>67.180261064262055</v>
      </c>
      <c r="K838" s="4">
        <v>74.01324676048192</v>
      </c>
      <c r="L838" s="4">
        <v>81.645658246907558</v>
      </c>
      <c r="M838" s="4">
        <v>90.074418391750044</v>
      </c>
      <c r="N838" s="4">
        <v>99.29944850657624</v>
      </c>
      <c r="O838"/>
      <c r="P838"/>
      <c r="Q838" s="11"/>
    </row>
    <row r="839" spans="1:17" x14ac:dyDescent="0.35">
      <c r="A839" s="1" t="s">
        <v>28</v>
      </c>
      <c r="O839"/>
      <c r="P839"/>
      <c r="Q839" s="11"/>
    </row>
    <row r="840" spans="1:17" x14ac:dyDescent="0.35">
      <c r="A840" s="2" t="s">
        <v>54</v>
      </c>
      <c r="O840"/>
      <c r="P840"/>
      <c r="Q840" s="11"/>
    </row>
    <row r="841" spans="1:17" x14ac:dyDescent="0.35">
      <c r="A841" s="3" t="s">
        <v>55</v>
      </c>
      <c r="B841" s="4">
        <v>12.410570238768951</v>
      </c>
      <c r="C841" s="4">
        <v>14.091969338036797</v>
      </c>
      <c r="D841" s="4">
        <v>16.026077508436341</v>
      </c>
      <c r="E841" s="4">
        <v>18.232325159867205</v>
      </c>
      <c r="F841" s="4">
        <v>20.711876736599997</v>
      </c>
      <c r="G841" s="4">
        <v>23.517611355187547</v>
      </c>
      <c r="H841" s="4">
        <v>26.705728405333879</v>
      </c>
      <c r="I841" s="4">
        <v>30.364506631279895</v>
      </c>
      <c r="J841" s="4">
        <v>34.57073606006756</v>
      </c>
      <c r="K841" s="4">
        <v>39.400616629952495</v>
      </c>
      <c r="L841" s="4">
        <v>44.889750810905163</v>
      </c>
      <c r="M841" s="4">
        <v>51.07261269405052</v>
      </c>
      <c r="N841" s="4">
        <v>58.066234029797634</v>
      </c>
      <c r="O841"/>
      <c r="P841"/>
      <c r="Q841" s="11"/>
    </row>
    <row r="842" spans="1:17" x14ac:dyDescent="0.35">
      <c r="A842" s="3" t="s">
        <v>56</v>
      </c>
      <c r="B842" s="4">
        <v>41.557966973413969</v>
      </c>
      <c r="C842" s="4">
        <v>45.946837165366759</v>
      </c>
      <c r="D842" s="4">
        <v>50.807632253147773</v>
      </c>
      <c r="E842" s="4">
        <v>56.321609700127738</v>
      </c>
      <c r="F842" s="4">
        <v>62.545766382801979</v>
      </c>
      <c r="G842" s="4">
        <v>69.536041813021626</v>
      </c>
      <c r="H842" s="4">
        <v>77.32157624439094</v>
      </c>
      <c r="I842" s="4">
        <v>85.914372273528841</v>
      </c>
      <c r="J842" s="4">
        <v>95.378356047659096</v>
      </c>
      <c r="K842" s="4">
        <v>106.01047106930781</v>
      </c>
      <c r="L842" s="4">
        <v>117.97736366809114</v>
      </c>
      <c r="M842" s="4">
        <v>131.30853337362953</v>
      </c>
      <c r="N842" s="4">
        <v>146.03839327037309</v>
      </c>
      <c r="O842"/>
      <c r="P842"/>
      <c r="Q842" s="11"/>
    </row>
    <row r="843" spans="1:17" x14ac:dyDescent="0.35">
      <c r="A843" s="3" t="s">
        <v>57</v>
      </c>
      <c r="B843" s="4">
        <v>83.925939804101503</v>
      </c>
      <c r="C843" s="4">
        <v>91.949964208501669</v>
      </c>
      <c r="D843" s="4">
        <v>100.75800974515687</v>
      </c>
      <c r="E843" s="4">
        <v>110.68534963313645</v>
      </c>
      <c r="F843" s="4">
        <v>121.81044338158809</v>
      </c>
      <c r="G843" s="4">
        <v>134.20618683482294</v>
      </c>
      <c r="H843" s="4">
        <v>147.89038848769849</v>
      </c>
      <c r="I843" s="4">
        <v>162.84663769551264</v>
      </c>
      <c r="J843" s="4">
        <v>179.15670588545504</v>
      </c>
      <c r="K843" s="4">
        <v>197.33628094737725</v>
      </c>
      <c r="L843" s="4">
        <v>217.6390391297316</v>
      </c>
      <c r="M843" s="4">
        <v>240.05535766988069</v>
      </c>
      <c r="N843" s="4">
        <v>264.58360830028249</v>
      </c>
      <c r="O843"/>
      <c r="P843"/>
      <c r="Q843" s="11"/>
    </row>
    <row r="844" spans="1:17" x14ac:dyDescent="0.35">
      <c r="A844" s="2" t="s">
        <v>47</v>
      </c>
      <c r="O844"/>
      <c r="P844"/>
      <c r="Q844" s="11"/>
    </row>
    <row r="845" spans="1:17" x14ac:dyDescent="0.35">
      <c r="A845" s="3" t="s">
        <v>82</v>
      </c>
      <c r="B845" s="4">
        <v>53.968537212182923</v>
      </c>
      <c r="C845" s="4">
        <v>60.038806503403556</v>
      </c>
      <c r="D845" s="4">
        <v>66.833709761584117</v>
      </c>
      <c r="E845" s="4">
        <v>74.553934859994939</v>
      </c>
      <c r="F845" s="4">
        <v>83.257643119401976</v>
      </c>
      <c r="G845" s="4">
        <v>93.053653168209166</v>
      </c>
      <c r="H845" s="4">
        <v>104.02730464972481</v>
      </c>
      <c r="I845" s="4">
        <v>116.27887890480874</v>
      </c>
      <c r="J845" s="4">
        <v>129.94909210772664</v>
      </c>
      <c r="K845" s="4">
        <v>145.41108769926029</v>
      </c>
      <c r="L845" s="4">
        <v>162.86711447899631</v>
      </c>
      <c r="M845" s="4">
        <v>182.38114606768005</v>
      </c>
      <c r="N845" s="4">
        <v>204.10462730017073</v>
      </c>
      <c r="O845"/>
      <c r="P845"/>
      <c r="Q845" s="11"/>
    </row>
    <row r="846" spans="1:17" x14ac:dyDescent="0.35">
      <c r="A846" s="3" t="s">
        <v>83</v>
      </c>
      <c r="B846" s="4">
        <v>83.925939804101503</v>
      </c>
      <c r="C846" s="4">
        <v>91.949964208501669</v>
      </c>
      <c r="D846" s="4">
        <v>100.75800974515687</v>
      </c>
      <c r="E846" s="4">
        <v>110.68534963313645</v>
      </c>
      <c r="F846" s="4">
        <v>121.81044338158809</v>
      </c>
      <c r="G846" s="4">
        <v>134.20618683482294</v>
      </c>
      <c r="H846" s="4">
        <v>147.89038848769849</v>
      </c>
      <c r="I846" s="4">
        <v>162.84663769551264</v>
      </c>
      <c r="J846" s="4">
        <v>179.15670588545504</v>
      </c>
      <c r="K846" s="4">
        <v>197.33628094737725</v>
      </c>
      <c r="L846" s="4">
        <v>217.6390391297316</v>
      </c>
      <c r="M846" s="4">
        <v>240.05535766988069</v>
      </c>
      <c r="N846" s="4">
        <v>264.58360830028249</v>
      </c>
      <c r="O846"/>
      <c r="P846"/>
      <c r="Q846" s="11"/>
    </row>
    <row r="847" spans="1:17" x14ac:dyDescent="0.35">
      <c r="A847" s="2" t="s">
        <v>59</v>
      </c>
      <c r="O847"/>
      <c r="P847"/>
      <c r="Q847" s="11"/>
    </row>
    <row r="848" spans="1:17" x14ac:dyDescent="0.35">
      <c r="A848" s="3" t="s">
        <v>60</v>
      </c>
      <c r="O848"/>
      <c r="P848"/>
      <c r="Q848" s="11"/>
    </row>
    <row r="849" spans="1:17" x14ac:dyDescent="0.35">
      <c r="A849" s="34" t="s">
        <v>61</v>
      </c>
      <c r="B849" s="4">
        <v>27.653640976368891</v>
      </c>
      <c r="C849" s="4">
        <v>30.704782353178587</v>
      </c>
      <c r="D849" s="4">
        <v>34.067723150898956</v>
      </c>
      <c r="E849" s="4">
        <v>38.126421762381355</v>
      </c>
      <c r="F849" s="4">
        <v>42.840363814748827</v>
      </c>
      <c r="G849" s="4">
        <v>48.076143163408233</v>
      </c>
      <c r="H849" s="4">
        <v>53.634975329198454</v>
      </c>
      <c r="I849" s="4">
        <v>59.352967819242849</v>
      </c>
      <c r="J849" s="4">
        <v>65.349850536460508</v>
      </c>
      <c r="K849" s="4">
        <v>72.344753292044999</v>
      </c>
      <c r="L849" s="4">
        <v>80.666156816325582</v>
      </c>
      <c r="M849" s="4">
        <v>90.170020664105436</v>
      </c>
      <c r="N849" s="4">
        <v>100.73633602237459</v>
      </c>
      <c r="O849"/>
      <c r="P849"/>
      <c r="Q849" s="11"/>
    </row>
    <row r="850" spans="1:17" x14ac:dyDescent="0.35">
      <c r="A850" s="43" t="s">
        <v>62</v>
      </c>
      <c r="B850" s="4">
        <v>4.864634480384443</v>
      </c>
      <c r="C850" s="4">
        <v>5.4908174121491617</v>
      </c>
      <c r="D850" s="4">
        <v>6.2067548976510158</v>
      </c>
      <c r="E850" s="4">
        <v>7.0263867338328243</v>
      </c>
      <c r="F850" s="4">
        <v>7.9683076695432815</v>
      </c>
      <c r="G850" s="4">
        <v>9.0577464573914597</v>
      </c>
      <c r="H850" s="4">
        <v>10.317269666339552</v>
      </c>
      <c r="I850" s="4">
        <v>11.772570174614929</v>
      </c>
      <c r="J850" s="4">
        <v>13.437072009039687</v>
      </c>
      <c r="K850" s="4">
        <v>15.327956618720407</v>
      </c>
      <c r="L850" s="4">
        <v>17.454273388869183</v>
      </c>
      <c r="M850" s="4">
        <v>19.834829322455182</v>
      </c>
      <c r="N850" s="4">
        <v>22.508962508755587</v>
      </c>
      <c r="O850"/>
      <c r="P850"/>
      <c r="Q850" s="11"/>
    </row>
    <row r="851" spans="1:17" x14ac:dyDescent="0.35">
      <c r="A851" s="43" t="s">
        <v>63</v>
      </c>
      <c r="B851" s="4">
        <v>11.132511525365102</v>
      </c>
      <c r="C851" s="4">
        <v>12.331022186650534</v>
      </c>
      <c r="D851" s="4">
        <v>13.660823460088977</v>
      </c>
      <c r="E851" s="4">
        <v>15.17139316634824</v>
      </c>
      <c r="F851" s="4">
        <v>16.879103343011035</v>
      </c>
      <c r="G851" s="4">
        <v>18.800160974614467</v>
      </c>
      <c r="H851" s="4">
        <v>20.943646759104745</v>
      </c>
      <c r="I851" s="4">
        <v>23.314066440917227</v>
      </c>
      <c r="J851" s="4">
        <v>25.930049525746679</v>
      </c>
      <c r="K851" s="4">
        <v>28.873712945687526</v>
      </c>
      <c r="L851" s="4">
        <v>32.192292126274417</v>
      </c>
      <c r="M851" s="4">
        <v>35.89594777003942</v>
      </c>
      <c r="N851" s="4">
        <v>39.996258833718002</v>
      </c>
      <c r="O851"/>
      <c r="P851"/>
      <c r="Q851" s="11"/>
    </row>
    <row r="852" spans="1:17" x14ac:dyDescent="0.35">
      <c r="A852" s="43" t="s">
        <v>64</v>
      </c>
      <c r="B852" s="4">
        <v>11.656494970619345</v>
      </c>
      <c r="C852" s="4">
        <v>12.882942754378892</v>
      </c>
      <c r="D852" s="4">
        <v>14.200144793158962</v>
      </c>
      <c r="E852" s="4">
        <v>15.928641862200291</v>
      </c>
      <c r="F852" s="4">
        <v>17.992952802194509</v>
      </c>
      <c r="G852" s="4">
        <v>20.218235731402306</v>
      </c>
      <c r="H852" s="4">
        <v>22.374058903754158</v>
      </c>
      <c r="I852" s="4">
        <v>24.266331203710692</v>
      </c>
      <c r="J852" s="4">
        <v>25.982729001674144</v>
      </c>
      <c r="K852" s="4">
        <v>28.143083727637062</v>
      </c>
      <c r="L852" s="4">
        <v>31.019591301181983</v>
      </c>
      <c r="M852" s="4">
        <v>34.439243571610831</v>
      </c>
      <c r="N852" s="4">
        <v>38.231114679900998</v>
      </c>
      <c r="O852"/>
      <c r="P852"/>
      <c r="Q852" s="11"/>
    </row>
    <row r="853" spans="1:17" x14ac:dyDescent="0.35">
      <c r="A853" s="34" t="s">
        <v>65</v>
      </c>
      <c r="B853" s="4">
        <v>25.10740856408832</v>
      </c>
      <c r="C853" s="4">
        <v>27.595662945377885</v>
      </c>
      <c r="D853" s="4">
        <v>30.359423998555627</v>
      </c>
      <c r="E853" s="4">
        <v>33.442990454549523</v>
      </c>
      <c r="F853" s="4">
        <v>36.890313284922605</v>
      </c>
      <c r="G853" s="4">
        <v>40.751836982863857</v>
      </c>
      <c r="H853" s="4">
        <v>45.079666867677069</v>
      </c>
      <c r="I853" s="4">
        <v>49.898559105996476</v>
      </c>
      <c r="J853" s="4">
        <v>55.231746010664985</v>
      </c>
      <c r="K853" s="4">
        <v>61.109566719012747</v>
      </c>
      <c r="L853" s="4">
        <v>67.562277670270404</v>
      </c>
      <c r="M853" s="4">
        <v>74.660152322634616</v>
      </c>
      <c r="N853" s="4">
        <v>82.431287323493152</v>
      </c>
      <c r="O853"/>
      <c r="P853"/>
      <c r="Q853" s="11"/>
    </row>
    <row r="854" spans="1:17" x14ac:dyDescent="0.35">
      <c r="A854" s="34" t="s">
        <v>66</v>
      </c>
      <c r="B854" s="4">
        <v>16.293536730824464</v>
      </c>
      <c r="C854" s="4">
        <v>17.838666551762284</v>
      </c>
      <c r="D854" s="4">
        <v>19.462942624545704</v>
      </c>
      <c r="E854" s="4">
        <v>21.201024065472719</v>
      </c>
      <c r="F854" s="4">
        <v>23.120196344467626</v>
      </c>
      <c r="G854" s="4">
        <v>25.292006651260422</v>
      </c>
      <c r="H854" s="4">
        <v>27.777695300172685</v>
      </c>
      <c r="I854" s="4">
        <v>30.568373990893114</v>
      </c>
      <c r="J854" s="4">
        <v>33.617717488396998</v>
      </c>
      <c r="K854" s="4">
        <v>36.937482480463174</v>
      </c>
      <c r="L854" s="4">
        <v>40.581619273649501</v>
      </c>
      <c r="M854" s="4">
        <v>44.614603181624418</v>
      </c>
      <c r="N854" s="4">
        <v>49.032639292122724</v>
      </c>
      <c r="O854"/>
      <c r="P854"/>
      <c r="Q854" s="11"/>
    </row>
    <row r="855" spans="1:17" x14ac:dyDescent="0.35">
      <c r="A855" s="34" t="s">
        <v>67</v>
      </c>
      <c r="B855" s="4">
        <v>10.221126902575806</v>
      </c>
      <c r="C855" s="4">
        <v>11.052771978052158</v>
      </c>
      <c r="D855" s="4">
        <v>11.970505392740614</v>
      </c>
      <c r="E855" s="4">
        <v>12.984390861727553</v>
      </c>
      <c r="F855" s="4">
        <v>14.110119827873625</v>
      </c>
      <c r="G855" s="4">
        <v>15.371074945156664</v>
      </c>
      <c r="H855" s="4">
        <v>16.780581538629171</v>
      </c>
      <c r="I855" s="4">
        <v>18.352899126054847</v>
      </c>
      <c r="J855" s="4">
        <v>20.078658358508484</v>
      </c>
      <c r="K855" s="4">
        <v>21.953308356502959</v>
      </c>
      <c r="L855" s="4">
        <v>23.959079000673807</v>
      </c>
      <c r="M855" s="4">
        <v>26.092202967483928</v>
      </c>
      <c r="N855" s="4">
        <v>28.374328825993597</v>
      </c>
      <c r="O855"/>
      <c r="P855"/>
      <c r="Q855" s="11"/>
    </row>
    <row r="856" spans="1:17" x14ac:dyDescent="0.35">
      <c r="A856" s="34" t="s">
        <v>68</v>
      </c>
      <c r="B856" s="4">
        <v>17.336108719842702</v>
      </c>
      <c r="C856" s="4">
        <v>19.235289420151663</v>
      </c>
      <c r="D856" s="4">
        <v>21.374585276295473</v>
      </c>
      <c r="E856" s="4">
        <v>23.787432028150977</v>
      </c>
      <c r="F856" s="4">
        <v>26.520225218654041</v>
      </c>
      <c r="G856" s="4">
        <v>29.637692975566416</v>
      </c>
      <c r="H856" s="4">
        <v>33.190775480708758</v>
      </c>
      <c r="I856" s="4">
        <v>37.236196958625214</v>
      </c>
      <c r="J856" s="4">
        <v>41.787102287862822</v>
      </c>
      <c r="K856" s="4">
        <v>46.866348651053563</v>
      </c>
      <c r="L856" s="4">
        <v>52.469247639338178</v>
      </c>
      <c r="M856" s="4">
        <v>58.619548185888959</v>
      </c>
      <c r="N856" s="4">
        <v>65.398850600343238</v>
      </c>
      <c r="O856"/>
      <c r="P856"/>
      <c r="Q856" s="11"/>
    </row>
    <row r="857" spans="1:17" x14ac:dyDescent="0.35">
      <c r="A857" s="34" t="s">
        <v>69</v>
      </c>
      <c r="B857" s="4">
        <v>19.213379351844992</v>
      </c>
      <c r="C857" s="4">
        <v>20.80412167540716</v>
      </c>
      <c r="D857" s="4">
        <v>22.563343566283237</v>
      </c>
      <c r="E857" s="4">
        <v>24.480739511006501</v>
      </c>
      <c r="F857" s="4">
        <v>26.520225218654041</v>
      </c>
      <c r="G857" s="4">
        <v>28.715497010619426</v>
      </c>
      <c r="H857" s="4">
        <v>31.09530009856919</v>
      </c>
      <c r="I857" s="4">
        <v>33.717123812969469</v>
      </c>
      <c r="J857" s="4">
        <v>36.611293841233184</v>
      </c>
      <c r="K857" s="4">
        <v>39.797294464035396</v>
      </c>
      <c r="L857" s="4">
        <v>43.244862555748931</v>
      </c>
      <c r="M857" s="4">
        <v>46.922692559256113</v>
      </c>
      <c r="N857" s="4">
        <v>50.875794357545168</v>
      </c>
      <c r="O857"/>
      <c r="P857"/>
      <c r="Q857" s="11"/>
    </row>
    <row r="858" spans="1:17" x14ac:dyDescent="0.35">
      <c r="A858" s="3" t="s">
        <v>70</v>
      </c>
      <c r="O858"/>
      <c r="P858"/>
      <c r="Q858" s="11"/>
    </row>
    <row r="859" spans="1:17" x14ac:dyDescent="0.35">
      <c r="A859" s="34" t="s">
        <v>71</v>
      </c>
      <c r="B859" s="4">
        <v>3.0403341668258443</v>
      </c>
      <c r="C859" s="4">
        <v>3.4581545876243025</v>
      </c>
      <c r="D859" s="4">
        <v>3.9340283008875918</v>
      </c>
      <c r="E859" s="4">
        <v>4.4861455079793293</v>
      </c>
      <c r="F859" s="4">
        <v>5.1246514816597442</v>
      </c>
      <c r="G859" s="4">
        <v>5.860448910509394</v>
      </c>
      <c r="H859" s="4">
        <v>6.7030727034281128</v>
      </c>
      <c r="I859" s="4">
        <v>7.6612639670775593</v>
      </c>
      <c r="J859" s="4">
        <v>8.7489598806778215</v>
      </c>
      <c r="K859" s="4">
        <v>10.002602398682377</v>
      </c>
      <c r="L859" s="4">
        <v>11.449993856428152</v>
      </c>
      <c r="M859" s="4">
        <v>13.108126065103956</v>
      </c>
      <c r="N859" s="4">
        <v>14.995629405467614</v>
      </c>
      <c r="O859"/>
      <c r="P859"/>
      <c r="Q859" s="11"/>
    </row>
    <row r="860" spans="1:17" x14ac:dyDescent="0.35">
      <c r="A860" s="34" t="s">
        <v>72</v>
      </c>
      <c r="B860" s="4">
        <v>2.235242308688302</v>
      </c>
      <c r="C860" s="4">
        <v>2.5678899076289734</v>
      </c>
      <c r="D860" s="4">
        <v>2.9527321197787693</v>
      </c>
      <c r="E860" s="4">
        <v>3.3994325551770421</v>
      </c>
      <c r="F860" s="4">
        <v>3.9188511330339204</v>
      </c>
      <c r="G860" s="4">
        <v>4.5238861215754893</v>
      </c>
      <c r="H860" s="4">
        <v>5.2292265527124577</v>
      </c>
      <c r="I860" s="4">
        <v>6.0481879466589197</v>
      </c>
      <c r="J860" s="4">
        <v>6.9953079957338975</v>
      </c>
      <c r="K860" s="4">
        <v>8.0875284337123503</v>
      </c>
      <c r="L860" s="4">
        <v>9.3435828676331578</v>
      </c>
      <c r="M860" s="4">
        <v>10.789706579730133</v>
      </c>
      <c r="N860" s="4">
        <v>12.449183667026986</v>
      </c>
      <c r="O860"/>
      <c r="P860"/>
      <c r="Q860" s="11"/>
    </row>
    <row r="861" spans="1:17" x14ac:dyDescent="0.35">
      <c r="A861" s="34" t="s">
        <v>73</v>
      </c>
      <c r="B861" s="4">
        <v>2.2591273017081779</v>
      </c>
      <c r="C861" s="4">
        <v>2.5160768327888205</v>
      </c>
      <c r="D861" s="4">
        <v>2.8053964891828769</v>
      </c>
      <c r="E861" s="4">
        <v>3.1258805034054453</v>
      </c>
      <c r="F861" s="4">
        <v>3.4767243385377853</v>
      </c>
      <c r="G861" s="4">
        <v>3.8652079631980403</v>
      </c>
      <c r="H861" s="4">
        <v>4.2990327315841297</v>
      </c>
      <c r="I861" s="4">
        <v>4.7944463972757054</v>
      </c>
      <c r="J861" s="4">
        <v>5.362532693331719</v>
      </c>
      <c r="K861" s="4">
        <v>6.0019525267956881</v>
      </c>
      <c r="L861" s="4">
        <v>6.7221172243333243</v>
      </c>
      <c r="M861" s="4">
        <v>7.5219712164770298</v>
      </c>
      <c r="N861" s="4">
        <v>8.4057156008165244</v>
      </c>
      <c r="O861"/>
      <c r="P861"/>
      <c r="Q861" s="11"/>
    </row>
    <row r="862" spans="1:17" x14ac:dyDescent="0.35">
      <c r="A862" s="34" t="s">
        <v>74</v>
      </c>
      <c r="B862" s="4">
        <v>2.5628120718411007</v>
      </c>
      <c r="C862" s="4">
        <v>2.8793511355289705</v>
      </c>
      <c r="D862" s="4">
        <v>3.240076671762937</v>
      </c>
      <c r="E862" s="4">
        <v>3.647345526860895</v>
      </c>
      <c r="F862" s="4">
        <v>4.0997211853277928</v>
      </c>
      <c r="G862" s="4">
        <v>4.6060211601352492</v>
      </c>
      <c r="H862" s="4">
        <v>5.1752984179416401</v>
      </c>
      <c r="I862" s="4">
        <v>5.8223902210922178</v>
      </c>
      <c r="J862" s="4">
        <v>6.5592470617875733</v>
      </c>
      <c r="K862" s="4">
        <v>7.3971336332781013</v>
      </c>
      <c r="L862" s="4">
        <v>8.3391373832053599</v>
      </c>
      <c r="M862" s="4">
        <v>9.3879136909669434</v>
      </c>
      <c r="N862" s="4">
        <v>10.561084189437475</v>
      </c>
      <c r="O862"/>
      <c r="P862"/>
      <c r="Q862" s="11"/>
    </row>
    <row r="863" spans="1:17" x14ac:dyDescent="0.35">
      <c r="A863" s="34" t="s">
        <v>75</v>
      </c>
      <c r="B863" s="4">
        <v>2.1121924707219244</v>
      </c>
      <c r="C863" s="4">
        <v>2.3903374446991128</v>
      </c>
      <c r="D863" s="4">
        <v>2.7098907340961702</v>
      </c>
      <c r="E863" s="4">
        <v>3.0712603455172274</v>
      </c>
      <c r="F863" s="4">
        <v>3.4767243385377853</v>
      </c>
      <c r="G863" s="4">
        <v>3.9264459216339986</v>
      </c>
      <c r="H863" s="4">
        <v>4.4356487497755905</v>
      </c>
      <c r="I863" s="4">
        <v>5.0197590631963163</v>
      </c>
      <c r="J863" s="4">
        <v>5.6975207246808273</v>
      </c>
      <c r="K863" s="4">
        <v>6.4819863162058411</v>
      </c>
      <c r="L863" s="4">
        <v>7.3766220522100436</v>
      </c>
      <c r="M863" s="4">
        <v>8.3848988101580595</v>
      </c>
      <c r="N863" s="4">
        <v>9.5200470443946923</v>
      </c>
      <c r="O863"/>
      <c r="P863"/>
      <c r="Q863" s="11"/>
    </row>
    <row r="864" spans="1:17" x14ac:dyDescent="0.35">
      <c r="A864" s="3" t="s">
        <v>76</v>
      </c>
      <c r="O864"/>
      <c r="P864"/>
      <c r="Q864" s="11"/>
    </row>
    <row r="865" spans="1:17" x14ac:dyDescent="0.35">
      <c r="A865" s="34" t="s">
        <v>77</v>
      </c>
      <c r="B865" s="4">
        <v>2.9486047270615403</v>
      </c>
      <c r="C865" s="4">
        <v>3.2884212213823569</v>
      </c>
      <c r="D865" s="4">
        <v>3.654979458626519</v>
      </c>
      <c r="E865" s="4">
        <v>4.0559957166287068</v>
      </c>
      <c r="F865" s="4">
        <v>4.5059610646862556</v>
      </c>
      <c r="G865" s="4">
        <v>5.0212237141789835</v>
      </c>
      <c r="H865" s="4">
        <v>5.617219427850431</v>
      </c>
      <c r="I865" s="4">
        <v>6.2962313215541608</v>
      </c>
      <c r="J865" s="4">
        <v>7.0528528748482344</v>
      </c>
      <c r="K865" s="4">
        <v>7.8933142375246055</v>
      </c>
      <c r="L865" s="4">
        <v>8.8331915142626745</v>
      </c>
      <c r="M865" s="4">
        <v>9.8913660642725105</v>
      </c>
      <c r="N865" s="4">
        <v>11.072814363376619</v>
      </c>
      <c r="O865"/>
      <c r="P865"/>
      <c r="Q865" s="11"/>
    </row>
    <row r="866" spans="1:17" x14ac:dyDescent="0.35">
      <c r="A866" s="34" t="s">
        <v>78</v>
      </c>
      <c r="B866" s="4">
        <v>2.6620710925996725</v>
      </c>
      <c r="C866" s="4">
        <v>2.9222928030299204</v>
      </c>
      <c r="D866" s="4">
        <v>3.2110130517900433</v>
      </c>
      <c r="E866" s="4">
        <v>3.5328075710044406</v>
      </c>
      <c r="F866" s="4">
        <v>3.8921922817887915</v>
      </c>
      <c r="G866" s="4">
        <v>4.294345378779072</v>
      </c>
      <c r="H866" s="4">
        <v>4.7445939163606488</v>
      </c>
      <c r="I866" s="4">
        <v>5.2453595088608891</v>
      </c>
      <c r="J866" s="4">
        <v>5.7988907116603086</v>
      </c>
      <c r="K866" s="4">
        <v>6.4081701112773164</v>
      </c>
      <c r="L866" s="4">
        <v>7.0761558150795407</v>
      </c>
      <c r="M866" s="4">
        <v>7.8099813477668381</v>
      </c>
      <c r="N866" s="4">
        <v>8.6123319235992462</v>
      </c>
      <c r="O866"/>
      <c r="P866"/>
      <c r="Q866" s="11"/>
    </row>
    <row r="867" spans="1:17" x14ac:dyDescent="0.35">
      <c r="A867" s="34" t="s">
        <v>79</v>
      </c>
      <c r="B867" s="4">
        <v>1.5927349818451881</v>
      </c>
      <c r="C867" s="4">
        <v>1.8113158068510262</v>
      </c>
      <c r="D867" s="4">
        <v>2.0621579686183829</v>
      </c>
      <c r="E867" s="4">
        <v>2.3461916784300603</v>
      </c>
      <c r="F867" s="4">
        <v>2.6646547159938647</v>
      </c>
      <c r="G867" s="4">
        <v>3.0250123744608772</v>
      </c>
      <c r="H867" s="4">
        <v>3.4356159233079735</v>
      </c>
      <c r="I867" s="4">
        <v>3.9122600669169803</v>
      </c>
      <c r="J867" s="4">
        <v>4.4677468315799507</v>
      </c>
      <c r="K867" s="4">
        <v>5.1054558362914824</v>
      </c>
      <c r="L867" s="4">
        <v>5.8380180642870609</v>
      </c>
      <c r="M867" s="4">
        <v>6.6698548116868297</v>
      </c>
      <c r="N867" s="4">
        <v>7.6102119966791104</v>
      </c>
      <c r="O867"/>
      <c r="P867"/>
      <c r="Q867" s="11"/>
    </row>
    <row r="868" spans="1:17" x14ac:dyDescent="0.35">
      <c r="A868" s="34" t="s">
        <v>80</v>
      </c>
      <c r="B868" s="4">
        <v>1.2869357601288032</v>
      </c>
      <c r="C868" s="4">
        <v>1.4062159545772761</v>
      </c>
      <c r="D868" s="4">
        <v>1.5393641170606862</v>
      </c>
      <c r="E868" s="4">
        <v>1.6846063492045298</v>
      </c>
      <c r="F868" s="4">
        <v>1.8413063486923897</v>
      </c>
      <c r="G868" s="4">
        <v>2.007672238100636</v>
      </c>
      <c r="H868" s="4">
        <v>2.1897388585280106</v>
      </c>
      <c r="I868" s="4">
        <v>2.3926957464541467</v>
      </c>
      <c r="J868" s="4">
        <v>2.6224394333192103</v>
      </c>
      <c r="K868" s="4">
        <v>2.8812359967276175</v>
      </c>
      <c r="L868" s="4">
        <v>3.1665324223052784</v>
      </c>
      <c r="M868" s="4">
        <v>3.475856503928036</v>
      </c>
      <c r="N868" s="4">
        <v>3.8108598163105607</v>
      </c>
      <c r="O868"/>
      <c r="P868"/>
      <c r="Q868" s="11"/>
    </row>
    <row r="869" spans="1:17" x14ac:dyDescent="0.35">
      <c r="A869" s="34" t="s">
        <v>81</v>
      </c>
      <c r="B869" s="4">
        <v>1.3692208893187108</v>
      </c>
      <c r="C869" s="4">
        <v>1.5174200938647266</v>
      </c>
      <c r="D869" s="4">
        <v>1.6835565856173973</v>
      </c>
      <c r="E869" s="4">
        <v>1.8666200556350891</v>
      </c>
      <c r="F869" s="4">
        <v>2.065855903410974</v>
      </c>
      <c r="G869" s="4">
        <v>2.2853244915853579</v>
      </c>
      <c r="H869" s="4">
        <v>2.5292512409789762</v>
      </c>
      <c r="I869" s="4">
        <v>2.8068015474524808</v>
      </c>
      <c r="J869" s="4">
        <v>3.1239312624351556</v>
      </c>
      <c r="K869" s="4">
        <v>3.4792351930293317</v>
      </c>
      <c r="L869" s="4">
        <v>3.8775594529769011</v>
      </c>
      <c r="M869" s="4">
        <v>4.3176087664769787</v>
      </c>
      <c r="N869" s="4">
        <v>4.8011211714720021</v>
      </c>
      <c r="O869"/>
      <c r="P869"/>
      <c r="Q869" s="11"/>
    </row>
    <row r="870" spans="1:17" x14ac:dyDescent="0.35">
      <c r="A870" s="2" t="s">
        <v>84</v>
      </c>
      <c r="O870"/>
      <c r="P870"/>
      <c r="Q870" s="11"/>
    </row>
    <row r="871" spans="1:17" x14ac:dyDescent="0.35">
      <c r="A871" s="3" t="s">
        <v>85</v>
      </c>
      <c r="B871" s="4">
        <v>8.2629538811897056</v>
      </c>
      <c r="C871" s="4">
        <v>8.9100103401632555</v>
      </c>
      <c r="D871" s="4">
        <v>9.6225865970710487</v>
      </c>
      <c r="E871" s="4">
        <v>10.408188638895627</v>
      </c>
      <c r="F871" s="4">
        <v>11.278744757554454</v>
      </c>
      <c r="G871" s="4">
        <v>12.252192115763188</v>
      </c>
      <c r="H871" s="4">
        <v>13.338244342470793</v>
      </c>
      <c r="I871" s="4">
        <v>14.547242315477984</v>
      </c>
      <c r="J871" s="4">
        <v>15.870674713565121</v>
      </c>
      <c r="K871" s="4">
        <v>17.303925653921812</v>
      </c>
      <c r="L871" s="4">
        <v>18.832002953872703</v>
      </c>
      <c r="M871" s="4">
        <v>20.451080561020884</v>
      </c>
      <c r="N871" s="4">
        <v>22.177289361015216</v>
      </c>
      <c r="O871"/>
      <c r="P871"/>
      <c r="Q871" s="11"/>
    </row>
    <row r="872" spans="1:17" x14ac:dyDescent="0.35">
      <c r="A872" s="3" t="s">
        <v>86</v>
      </c>
      <c r="B872" s="4">
        <v>25.832273684727266</v>
      </c>
      <c r="C872" s="4">
        <v>28.175086468852946</v>
      </c>
      <c r="D872" s="4">
        <v>30.780183069711775</v>
      </c>
      <c r="E872" s="4">
        <v>33.638989191542628</v>
      </c>
      <c r="F872" s="4">
        <v>36.707187483677217</v>
      </c>
      <c r="G872" s="4">
        <v>40.035686830815905</v>
      </c>
      <c r="H872" s="4">
        <v>43.669926179607771</v>
      </c>
      <c r="I872" s="4">
        <v>47.696971731981066</v>
      </c>
      <c r="J872" s="4">
        <v>52.167922686224536</v>
      </c>
      <c r="K872" s="4">
        <v>57.119812654568705</v>
      </c>
      <c r="L872" s="4">
        <v>62.519233229036423</v>
      </c>
      <c r="M872" s="4">
        <v>68.330171675195288</v>
      </c>
      <c r="N872" s="4">
        <v>74.626585193803862</v>
      </c>
      <c r="O872"/>
      <c r="P872"/>
      <c r="Q872" s="11"/>
    </row>
    <row r="873" spans="1:17" x14ac:dyDescent="0.35">
      <c r="A873" s="3" t="s">
        <v>87</v>
      </c>
      <c r="B873" s="4">
        <v>46.912750268248274</v>
      </c>
      <c r="C873" s="4">
        <v>52.150172505522463</v>
      </c>
      <c r="D873" s="4">
        <v>57.862101699292737</v>
      </c>
      <c r="E873" s="4">
        <v>64.566696355326243</v>
      </c>
      <c r="F873" s="4">
        <v>72.389034534849458</v>
      </c>
      <c r="G873" s="4">
        <v>81.421433502132658</v>
      </c>
      <c r="H873" s="4">
        <v>91.492493967473735</v>
      </c>
      <c r="I873" s="4">
        <v>102.40983476808108</v>
      </c>
      <c r="J873" s="4">
        <v>114.14836821660026</v>
      </c>
      <c r="K873" s="4">
        <v>127.4389687283531</v>
      </c>
      <c r="L873" s="4">
        <v>142.78701642569138</v>
      </c>
      <c r="M873" s="4">
        <v>160.24814028611121</v>
      </c>
      <c r="N873" s="4">
        <v>179.7742787160214</v>
      </c>
      <c r="O873"/>
      <c r="P873"/>
      <c r="Q873" s="11"/>
    </row>
    <row r="874" spans="1:17" x14ac:dyDescent="0.35">
      <c r="A874" s="3" t="s">
        <v>88</v>
      </c>
      <c r="B874" s="4">
        <v>30.411318084732041</v>
      </c>
      <c r="C874" s="4">
        <v>33.758810459537536</v>
      </c>
      <c r="D874" s="4">
        <v>37.542291994975031</v>
      </c>
      <c r="E874" s="4">
        <v>41.737288962976585</v>
      </c>
      <c r="F874" s="4">
        <v>46.345387549223759</v>
      </c>
      <c r="G874" s="4">
        <v>51.338665849519565</v>
      </c>
      <c r="H874" s="4">
        <v>56.887035670236898</v>
      </c>
      <c r="I874" s="4">
        <v>63.148813525469379</v>
      </c>
      <c r="J874" s="4">
        <v>70.310345732997064</v>
      </c>
      <c r="K874" s="4">
        <v>78.47154174732411</v>
      </c>
      <c r="L874" s="4">
        <v>87.606196789350108</v>
      </c>
      <c r="M874" s="4">
        <v>97.687383486606436</v>
      </c>
      <c r="N874" s="4">
        <v>108.80113497697963</v>
      </c>
      <c r="O874"/>
      <c r="P874"/>
      <c r="Q874" s="11"/>
    </row>
    <row r="875" spans="1:17" x14ac:dyDescent="0.35">
      <c r="A875" s="3" t="s">
        <v>89</v>
      </c>
      <c r="B875" s="4">
        <v>8.5086790572002879</v>
      </c>
      <c r="C875" s="4">
        <v>9.3533034127891845</v>
      </c>
      <c r="D875" s="4">
        <v>10.291569129167344</v>
      </c>
      <c r="E875" s="4">
        <v>11.33853559884375</v>
      </c>
      <c r="F875" s="4">
        <v>12.509153276560394</v>
      </c>
      <c r="G875" s="4">
        <v>13.820583415815669</v>
      </c>
      <c r="H875" s="4">
        <v>15.290560735814831</v>
      </c>
      <c r="I875" s="4">
        <v>16.927553964437418</v>
      </c>
      <c r="J875" s="4">
        <v>18.739520041576256</v>
      </c>
      <c r="K875" s="4">
        <v>20.736832068683814</v>
      </c>
      <c r="L875" s="4">
        <v>22.929841418527918</v>
      </c>
      <c r="M875" s="4">
        <v>25.342487113555947</v>
      </c>
      <c r="N875" s="4">
        <v>27.984406095921134</v>
      </c>
      <c r="O875"/>
      <c r="P875"/>
      <c r="Q875" s="11"/>
    </row>
    <row r="876" spans="1:17" x14ac:dyDescent="0.35">
      <c r="A876" s="3" t="s">
        <v>90</v>
      </c>
      <c r="B876" s="4">
        <v>17.966502040186867</v>
      </c>
      <c r="C876" s="4">
        <v>19.641387525039843</v>
      </c>
      <c r="D876" s="4">
        <v>21.492987016523067</v>
      </c>
      <c r="E876" s="4">
        <v>23.549585745546537</v>
      </c>
      <c r="F876" s="4">
        <v>25.838578899124769</v>
      </c>
      <c r="G876" s="4">
        <v>28.391278288985109</v>
      </c>
      <c r="H876" s="4">
        <v>31.239432241819244</v>
      </c>
      <c r="I876" s="4">
        <v>34.395100294874432</v>
      </c>
      <c r="J876" s="4">
        <v>37.868966602218457</v>
      </c>
      <c r="K876" s="4">
        <v>41.676287793786003</v>
      </c>
      <c r="L876" s="4">
        <v>45.831862792249339</v>
      </c>
      <c r="M876" s="4">
        <v>50.37724061507101</v>
      </c>
      <c r="N876" s="4">
        <v>55.324541256711989</v>
      </c>
      <c r="O876"/>
      <c r="P876"/>
      <c r="Q876" s="11"/>
    </row>
    <row r="877" spans="1:17" x14ac:dyDescent="0.35">
      <c r="A877" s="2" t="s">
        <v>91</v>
      </c>
      <c r="O877"/>
      <c r="P877"/>
      <c r="Q877" s="11"/>
    </row>
    <row r="878" spans="1:17" x14ac:dyDescent="0.35">
      <c r="A878" s="3" t="s">
        <v>92</v>
      </c>
      <c r="B878" s="4">
        <v>59.309073892815526</v>
      </c>
      <c r="C878" s="4">
        <v>65.976927413389475</v>
      </c>
      <c r="D878" s="4">
        <v>73.476888997899763</v>
      </c>
      <c r="E878" s="4">
        <v>81.774304954761902</v>
      </c>
      <c r="F878" s="4">
        <v>90.845162319938595</v>
      </c>
      <c r="G878" s="4">
        <v>100.87678668129134</v>
      </c>
      <c r="H878" s="4">
        <v>112.06659678055853</v>
      </c>
      <c r="I878" s="4">
        <v>124.83384218308329</v>
      </c>
      <c r="J878" s="4">
        <v>139.46131265436895</v>
      </c>
      <c r="K878" s="4">
        <v>155.90736058060699</v>
      </c>
      <c r="L878" s="4">
        <v>174.40974779408623</v>
      </c>
      <c r="M878" s="4">
        <v>194.93350569837696</v>
      </c>
      <c r="N878" s="4">
        <v>217.58000724428356</v>
      </c>
      <c r="O878"/>
      <c r="P878"/>
      <c r="Q878" s="11"/>
    </row>
    <row r="879" spans="1:17" x14ac:dyDescent="0.35">
      <c r="A879" s="3" t="s">
        <v>93</v>
      </c>
      <c r="B879" s="4">
        <v>78.585403123468922</v>
      </c>
      <c r="C879" s="4">
        <v>86.011843298515757</v>
      </c>
      <c r="D879" s="4">
        <v>94.114830508841223</v>
      </c>
      <c r="E879" s="4">
        <v>103.46497953836948</v>
      </c>
      <c r="F879" s="4">
        <v>114.22292418105147</v>
      </c>
      <c r="G879" s="4">
        <v>126.38305332174077</v>
      </c>
      <c r="H879" s="4">
        <v>139.85109635686479</v>
      </c>
      <c r="I879" s="4">
        <v>154.29167441723808</v>
      </c>
      <c r="J879" s="4">
        <v>169.64448533881273</v>
      </c>
      <c r="K879" s="4">
        <v>186.84000806603055</v>
      </c>
      <c r="L879" s="4">
        <v>206.09640581464168</v>
      </c>
      <c r="M879" s="4">
        <v>227.50299803918381</v>
      </c>
      <c r="N879" s="4">
        <v>251.10822835616969</v>
      </c>
      <c r="O879"/>
      <c r="P879"/>
      <c r="Q879" s="11"/>
    </row>
    <row r="880" spans="1:17" x14ac:dyDescent="0.35">
      <c r="A880" s="2" t="s">
        <v>94</v>
      </c>
      <c r="O880"/>
      <c r="P880"/>
      <c r="Q880" s="11"/>
    </row>
    <row r="881" spans="1:17" x14ac:dyDescent="0.35">
      <c r="A881" s="3" t="s">
        <v>48</v>
      </c>
      <c r="B881" s="4">
        <v>16.765580232960602</v>
      </c>
      <c r="C881" s="4">
        <v>18.624281782535956</v>
      </c>
      <c r="D881" s="4">
        <v>20.721969751323321</v>
      </c>
      <c r="E881" s="4">
        <v>23.064568263471521</v>
      </c>
      <c r="F881" s="4">
        <v>25.633510812623758</v>
      </c>
      <c r="G881" s="4">
        <v>28.474932533417878</v>
      </c>
      <c r="H881" s="4">
        <v>31.634109113262483</v>
      </c>
      <c r="I881" s="4">
        <v>35.189353433361333</v>
      </c>
      <c r="J881" s="4">
        <v>39.197683534894068</v>
      </c>
      <c r="K881" s="4">
        <v>43.709062941791963</v>
      </c>
      <c r="L881" s="4">
        <v>48.722443020763421</v>
      </c>
      <c r="M881" s="4">
        <v>54.233794239220224</v>
      </c>
      <c r="N881" s="4">
        <v>60.325214045195203</v>
      </c>
      <c r="O881"/>
      <c r="P881"/>
      <c r="Q881" s="11"/>
    </row>
    <row r="882" spans="1:17" x14ac:dyDescent="0.35">
      <c r="A882" s="3" t="s">
        <v>95</v>
      </c>
      <c r="B882" s="4">
        <v>19.129416236008844</v>
      </c>
      <c r="C882" s="4">
        <v>21.430975445146572</v>
      </c>
      <c r="D882" s="4">
        <v>24.01337607687887</v>
      </c>
      <c r="E882" s="4">
        <v>26.972624751085508</v>
      </c>
      <c r="F882" s="4">
        <v>30.350076802146528</v>
      </c>
      <c r="G882" s="4">
        <v>34.188431441502466</v>
      </c>
      <c r="H882" s="4">
        <v>38.519107495831861</v>
      </c>
      <c r="I882" s="4">
        <v>43.36625278758023</v>
      </c>
      <c r="J882" s="4">
        <v>48.781084093595702</v>
      </c>
      <c r="K882" s="4">
        <v>54.936272736659411</v>
      </c>
      <c r="L882" s="4">
        <v>61.94563845837488</v>
      </c>
      <c r="M882" s="4">
        <v>69.85637393492847</v>
      </c>
      <c r="N882" s="4">
        <v>78.72004852908546</v>
      </c>
      <c r="O882"/>
      <c r="P882"/>
      <c r="Q882" s="11"/>
    </row>
    <row r="883" spans="1:17" x14ac:dyDescent="0.35">
      <c r="A883" s="3" t="s">
        <v>96</v>
      </c>
      <c r="B883" s="4">
        <v>19.438808790866915</v>
      </c>
      <c r="C883" s="4">
        <v>21.532509035609394</v>
      </c>
      <c r="D883" s="4">
        <v>23.770017119035487</v>
      </c>
      <c r="E883" s="4">
        <v>26.535534640687558</v>
      </c>
      <c r="F883" s="4">
        <v>29.939940629144559</v>
      </c>
      <c r="G883" s="4">
        <v>33.949909156782837</v>
      </c>
      <c r="H883" s="4">
        <v>38.422064622132012</v>
      </c>
      <c r="I883" s="4">
        <v>43.069641377029313</v>
      </c>
      <c r="J883" s="4">
        <v>47.802582567118293</v>
      </c>
      <c r="K883" s="4">
        <v>53.202049771866712</v>
      </c>
      <c r="L883" s="4">
        <v>59.456267387335231</v>
      </c>
      <c r="M883" s="4">
        <v>66.625056330856182</v>
      </c>
      <c r="N883" s="4">
        <v>74.687030972992773</v>
      </c>
      <c r="O883"/>
      <c r="P883"/>
      <c r="Q883" s="11"/>
    </row>
    <row r="884" spans="1:17" x14ac:dyDescent="0.35">
      <c r="A884" s="3" t="s">
        <v>97</v>
      </c>
      <c r="B884" s="4">
        <v>19.751279621563732</v>
      </c>
      <c r="C884" s="4">
        <v>21.608856961943193</v>
      </c>
      <c r="D884" s="4">
        <v>23.645098098563032</v>
      </c>
      <c r="E884" s="4">
        <v>25.937883301694608</v>
      </c>
      <c r="F884" s="4">
        <v>28.50446402363762</v>
      </c>
      <c r="G884" s="4">
        <v>31.360686221922297</v>
      </c>
      <c r="H884" s="4">
        <v>34.509426926552152</v>
      </c>
      <c r="I884" s="4">
        <v>37.945554635032977</v>
      </c>
      <c r="J884" s="4">
        <v>41.686836911330559</v>
      </c>
      <c r="K884" s="4">
        <v>45.851897911006063</v>
      </c>
      <c r="L884" s="4">
        <v>50.497801230574289</v>
      </c>
      <c r="M884" s="4">
        <v>55.620184645904757</v>
      </c>
      <c r="N884" s="4">
        <v>61.21655061727477</v>
      </c>
      <c r="O884"/>
      <c r="P884"/>
      <c r="Q884" s="11"/>
    </row>
    <row r="885" spans="1:17" x14ac:dyDescent="0.35">
      <c r="A885" s="3" t="s">
        <v>98</v>
      </c>
      <c r="B885" s="4">
        <v>37.648203195834157</v>
      </c>
      <c r="C885" s="4">
        <v>41.533689632478982</v>
      </c>
      <c r="D885" s="4">
        <v>45.872095183061312</v>
      </c>
      <c r="E885" s="4">
        <v>50.629265231865091</v>
      </c>
      <c r="F885" s="4">
        <v>55.7785195282693</v>
      </c>
      <c r="G885" s="4">
        <v>61.42358996903895</v>
      </c>
      <c r="H885" s="4">
        <v>67.670682102415995</v>
      </c>
      <c r="I885" s="4">
        <v>74.756147389169627</v>
      </c>
      <c r="J885" s="4">
        <v>82.826454480173766</v>
      </c>
      <c r="K885" s="4">
        <v>91.830112191281586</v>
      </c>
      <c r="L885" s="4">
        <v>101.88138596514206</v>
      </c>
      <c r="M885" s="4">
        <v>112.93094149197218</v>
      </c>
      <c r="N885" s="4">
        <v>125.00948121538603</v>
      </c>
      <c r="O885"/>
      <c r="P885"/>
      <c r="Q885" s="11"/>
    </row>
    <row r="886" spans="1:17" x14ac:dyDescent="0.35">
      <c r="A886" s="3" t="s">
        <v>99</v>
      </c>
      <c r="B886" s="4">
        <v>16.035465732203171</v>
      </c>
      <c r="C886" s="4">
        <v>17.313294288699375</v>
      </c>
      <c r="D886" s="4">
        <v>18.711087734898445</v>
      </c>
      <c r="E886" s="4">
        <v>20.248239783217191</v>
      </c>
      <c r="F886" s="4">
        <v>21.942285255605935</v>
      </c>
      <c r="G886" s="4">
        <v>23.813064244919016</v>
      </c>
      <c r="H886" s="4">
        <v>25.879630698317417</v>
      </c>
      <c r="I886" s="4">
        <v>28.143593877163749</v>
      </c>
      <c r="J886" s="4">
        <v>30.605140639711294</v>
      </c>
      <c r="K886" s="4">
        <v>33.267919941066012</v>
      </c>
      <c r="L886" s="4">
        <v>36.134807683973193</v>
      </c>
      <c r="M886" s="4">
        <v>39.229393677596583</v>
      </c>
      <c r="N886" s="4">
        <v>42.550948074564985</v>
      </c>
      <c r="O886"/>
      <c r="P886"/>
      <c r="Q886" s="11"/>
    </row>
    <row r="887" spans="1:17" x14ac:dyDescent="0.35">
      <c r="A887" s="3" t="s">
        <v>100</v>
      </c>
      <c r="B887" s="4">
        <v>9.1257232068470255</v>
      </c>
      <c r="C887" s="4">
        <v>9.9451635654917485</v>
      </c>
      <c r="D887" s="4">
        <v>10.858075542980529</v>
      </c>
      <c r="E887" s="4">
        <v>11.851168521109885</v>
      </c>
      <c r="F887" s="4">
        <v>12.919289449562363</v>
      </c>
      <c r="G887" s="4">
        <v>14.049226435448661</v>
      </c>
      <c r="H887" s="4">
        <v>15.282672178911392</v>
      </c>
      <c r="I887" s="4">
        <v>16.654973100984144</v>
      </c>
      <c r="J887" s="4">
        <v>18.206015766358011</v>
      </c>
      <c r="K887" s="4">
        <v>19.950053152965801</v>
      </c>
      <c r="L887" s="4">
        <v>21.867809862564847</v>
      </c>
      <c r="M887" s="4">
        <v>23.940759417082326</v>
      </c>
      <c r="N887" s="4">
        <v>26.178962145954017</v>
      </c>
      <c r="O887"/>
      <c r="P887"/>
      <c r="Q887" s="11"/>
    </row>
    <row r="888" spans="1:17" x14ac:dyDescent="0.35">
      <c r="A888" s="1" t="s">
        <v>40</v>
      </c>
      <c r="O888"/>
      <c r="P888"/>
      <c r="Q888" s="11"/>
    </row>
    <row r="889" spans="1:17" x14ac:dyDescent="0.35">
      <c r="A889" s="2" t="s">
        <v>54</v>
      </c>
      <c r="O889"/>
      <c r="P889"/>
      <c r="Q889" s="11"/>
    </row>
    <row r="890" spans="1:17" x14ac:dyDescent="0.35">
      <c r="A890" s="3" t="s">
        <v>55</v>
      </c>
      <c r="B890" s="4">
        <v>26.078323928036532</v>
      </c>
      <c r="C890" s="4">
        <v>28.701526751866147</v>
      </c>
      <c r="D890" s="4">
        <v>31.624472868874751</v>
      </c>
      <c r="E890" s="4">
        <v>34.821371695102201</v>
      </c>
      <c r="F890" s="4">
        <v>38.271800345827323</v>
      </c>
      <c r="G890" s="4">
        <v>42.044993983512562</v>
      </c>
      <c r="H890" s="4">
        <v>46.211206995755333</v>
      </c>
      <c r="I890" s="4">
        <v>50.92888115537739</v>
      </c>
      <c r="J890" s="4">
        <v>56.293698679027919</v>
      </c>
      <c r="K890" s="4">
        <v>62.26586310835787</v>
      </c>
      <c r="L890" s="4">
        <v>68.918310245547616</v>
      </c>
      <c r="M890" s="4">
        <v>76.212582499208466</v>
      </c>
      <c r="N890" s="4">
        <v>84.164557240656492</v>
      </c>
      <c r="O890"/>
      <c r="P890"/>
      <c r="Q890" s="11"/>
    </row>
    <row r="891" spans="1:17" x14ac:dyDescent="0.35">
      <c r="A891" s="3" t="s">
        <v>56</v>
      </c>
      <c r="B891" s="4">
        <v>60.884468249513731</v>
      </c>
      <c r="C891" s="4">
        <v>65.453157764606331</v>
      </c>
      <c r="D891" s="4">
        <v>70.495581979632789</v>
      </c>
      <c r="E891" s="4">
        <v>75.902969321936553</v>
      </c>
      <c r="F891" s="4">
        <v>81.623928171189277</v>
      </c>
      <c r="G891" s="4">
        <v>87.558423340876686</v>
      </c>
      <c r="H891" s="4">
        <v>93.953574120350922</v>
      </c>
      <c r="I891" s="4">
        <v>101.00372535481705</v>
      </c>
      <c r="J891" s="4">
        <v>108.91958964503672</v>
      </c>
      <c r="K891" s="4">
        <v>117.74628831606798</v>
      </c>
      <c r="L891" s="4">
        <v>127.32753966979139</v>
      </c>
      <c r="M891" s="4">
        <v>137.51866658676894</v>
      </c>
      <c r="N891" s="4">
        <v>148.34596712613234</v>
      </c>
      <c r="O891"/>
      <c r="P891"/>
      <c r="Q891" s="11"/>
    </row>
    <row r="892" spans="1:17" x14ac:dyDescent="0.35">
      <c r="A892" s="3" t="s">
        <v>57</v>
      </c>
      <c r="B892" s="4">
        <v>170.70593714897851</v>
      </c>
      <c r="C892" s="4">
        <v>181.29172723369555</v>
      </c>
      <c r="D892" s="4">
        <v>192.56719760803878</v>
      </c>
      <c r="E892" s="4">
        <v>205.07058724705061</v>
      </c>
      <c r="F892" s="4">
        <v>218.79277011862342</v>
      </c>
      <c r="G892" s="4">
        <v>233.7070018498508</v>
      </c>
      <c r="H892" s="4">
        <v>249.68495708445514</v>
      </c>
      <c r="I892" s="4">
        <v>266.54720267526119</v>
      </c>
      <c r="J892" s="4">
        <v>284.28843839879011</v>
      </c>
      <c r="K892" s="4">
        <v>303.58493886522859</v>
      </c>
      <c r="L892" s="4">
        <v>324.61958393126685</v>
      </c>
      <c r="M892" s="4">
        <v>347.14855344316538</v>
      </c>
      <c r="N892" s="4">
        <v>370.95632275320639</v>
      </c>
      <c r="O892"/>
      <c r="P892"/>
      <c r="Q892" s="11"/>
    </row>
    <row r="893" spans="1:17" x14ac:dyDescent="0.35">
      <c r="A893" s="2" t="s">
        <v>47</v>
      </c>
      <c r="O893"/>
      <c r="P893"/>
      <c r="Q893" s="11"/>
    </row>
    <row r="894" spans="1:17" x14ac:dyDescent="0.35">
      <c r="A894" s="3" t="s">
        <v>82</v>
      </c>
      <c r="B894" s="4">
        <v>86.962792177550256</v>
      </c>
      <c r="C894" s="4">
        <v>94.154684516472486</v>
      </c>
      <c r="D894" s="4">
        <v>102.12005484850754</v>
      </c>
      <c r="E894" s="4">
        <v>110.72434101703875</v>
      </c>
      <c r="F894" s="4">
        <v>119.89572851701661</v>
      </c>
      <c r="G894" s="4">
        <v>129.60341732438926</v>
      </c>
      <c r="H894" s="4">
        <v>140.16478111610627</v>
      </c>
      <c r="I894" s="4">
        <v>151.93260651019443</v>
      </c>
      <c r="J894" s="4">
        <v>165.21328832406465</v>
      </c>
      <c r="K894" s="4">
        <v>180.01215142442584</v>
      </c>
      <c r="L894" s="4">
        <v>196.24584991533902</v>
      </c>
      <c r="M894" s="4">
        <v>213.73124908597742</v>
      </c>
      <c r="N894" s="4">
        <v>232.51052436678884</v>
      </c>
      <c r="O894"/>
      <c r="P894"/>
      <c r="Q894" s="11"/>
    </row>
    <row r="895" spans="1:17" x14ac:dyDescent="0.35">
      <c r="A895" s="3" t="s">
        <v>83</v>
      </c>
      <c r="B895" s="4">
        <v>170.70593714897851</v>
      </c>
      <c r="C895" s="4">
        <v>181.29172723369555</v>
      </c>
      <c r="D895" s="4">
        <v>192.56719760803878</v>
      </c>
      <c r="E895" s="4">
        <v>205.07058724705061</v>
      </c>
      <c r="F895" s="4">
        <v>218.79277011862342</v>
      </c>
      <c r="G895" s="4">
        <v>233.7070018498508</v>
      </c>
      <c r="H895" s="4">
        <v>249.68495708445514</v>
      </c>
      <c r="I895" s="4">
        <v>266.54720267526119</v>
      </c>
      <c r="J895" s="4">
        <v>284.28843839879011</v>
      </c>
      <c r="K895" s="4">
        <v>303.58493886522859</v>
      </c>
      <c r="L895" s="4">
        <v>324.61958393126685</v>
      </c>
      <c r="M895" s="4">
        <v>347.14855344316538</v>
      </c>
      <c r="N895" s="4">
        <v>370.95632275320639</v>
      </c>
      <c r="O895"/>
      <c r="P895"/>
      <c r="Q895" s="11"/>
    </row>
    <row r="896" spans="1:17" x14ac:dyDescent="0.35">
      <c r="A896" s="2" t="s">
        <v>59</v>
      </c>
      <c r="O896"/>
      <c r="P896"/>
      <c r="Q896" s="11"/>
    </row>
    <row r="897" spans="1:17" x14ac:dyDescent="0.35">
      <c r="A897" s="3" t="s">
        <v>60</v>
      </c>
      <c r="O897"/>
      <c r="P897"/>
      <c r="Q897" s="11"/>
    </row>
    <row r="898" spans="1:17" x14ac:dyDescent="0.35">
      <c r="A898" s="34" t="s">
        <v>61</v>
      </c>
      <c r="B898" s="4">
        <v>50.143293197734636</v>
      </c>
      <c r="C898" s="4">
        <v>54.100620169162369</v>
      </c>
      <c r="D898" s="4">
        <v>58.4072275383717</v>
      </c>
      <c r="E898" s="4">
        <v>63.341952968112366</v>
      </c>
      <c r="F898" s="4">
        <v>68.707703587220465</v>
      </c>
      <c r="G898" s="4">
        <v>74.174772017720898</v>
      </c>
      <c r="H898" s="4">
        <v>79.688061535457507</v>
      </c>
      <c r="I898" s="4">
        <v>85.270680425337702</v>
      </c>
      <c r="J898" s="4">
        <v>91.224601726288086</v>
      </c>
      <c r="K898" s="4">
        <v>98.26952117250346</v>
      </c>
      <c r="L898" s="4">
        <v>106.44380236957397</v>
      </c>
      <c r="M898" s="4">
        <v>115.28592969358539</v>
      </c>
      <c r="N898" s="4">
        <v>124.67457514369772</v>
      </c>
      <c r="O898"/>
      <c r="P898"/>
      <c r="Q898" s="11"/>
    </row>
    <row r="899" spans="1:17" x14ac:dyDescent="0.35">
      <c r="A899" s="43" t="s">
        <v>62</v>
      </c>
      <c r="B899" s="4">
        <v>10.295663138971637</v>
      </c>
      <c r="C899" s="4">
        <v>11.267661815166427</v>
      </c>
      <c r="D899" s="4">
        <v>12.350204917868757</v>
      </c>
      <c r="E899" s="4">
        <v>13.557337263619695</v>
      </c>
      <c r="F899" s="4">
        <v>14.909571678426842</v>
      </c>
      <c r="G899" s="4">
        <v>16.436439364582689</v>
      </c>
      <c r="H899" s="4">
        <v>18.158023055482285</v>
      </c>
      <c r="I899" s="4">
        <v>20.09624471861256</v>
      </c>
      <c r="J899" s="4">
        <v>22.248054569650382</v>
      </c>
      <c r="K899" s="4">
        <v>24.615437900356664</v>
      </c>
      <c r="L899" s="4">
        <v>27.185500193803861</v>
      </c>
      <c r="M899" s="4">
        <v>29.960466142905069</v>
      </c>
      <c r="N899" s="4">
        <v>32.971707323749939</v>
      </c>
      <c r="O899"/>
      <c r="P899"/>
      <c r="Q899" s="11"/>
    </row>
    <row r="900" spans="1:17" x14ac:dyDescent="0.35">
      <c r="A900" s="43" t="s">
        <v>63</v>
      </c>
      <c r="B900" s="4">
        <v>16.192323908973737</v>
      </c>
      <c r="C900" s="4">
        <v>17.41009238624579</v>
      </c>
      <c r="D900" s="4">
        <v>18.653684090756055</v>
      </c>
      <c r="E900" s="4">
        <v>19.953431302619205</v>
      </c>
      <c r="F900" s="4">
        <v>21.368095815625569</v>
      </c>
      <c r="G900" s="4">
        <v>22.955987229220735</v>
      </c>
      <c r="H900" s="4">
        <v>24.761597292944955</v>
      </c>
      <c r="I900" s="4">
        <v>26.76333515132383</v>
      </c>
      <c r="J900" s="4">
        <v>28.907895489326283</v>
      </c>
      <c r="K900" s="4">
        <v>31.195265788814218</v>
      </c>
      <c r="L900" s="4">
        <v>33.660707709644086</v>
      </c>
      <c r="M900" s="4">
        <v>36.345326103726791</v>
      </c>
      <c r="N900" s="4">
        <v>39.231231058066463</v>
      </c>
      <c r="O900"/>
      <c r="P900"/>
      <c r="Q900" s="11"/>
    </row>
    <row r="901" spans="1:17" x14ac:dyDescent="0.35">
      <c r="A901" s="43" t="s">
        <v>64</v>
      </c>
      <c r="B901" s="4">
        <v>23.655306149789261</v>
      </c>
      <c r="C901" s="4">
        <v>25.422865967750152</v>
      </c>
      <c r="D901" s="4">
        <v>27.40333852974689</v>
      </c>
      <c r="E901" s="4">
        <v>29.831184401873465</v>
      </c>
      <c r="F901" s="4">
        <v>32.430036093168056</v>
      </c>
      <c r="G901" s="4">
        <v>34.782345423917477</v>
      </c>
      <c r="H901" s="4">
        <v>36.768441187030263</v>
      </c>
      <c r="I901" s="4">
        <v>38.411100555401312</v>
      </c>
      <c r="J901" s="4">
        <v>40.068651667311421</v>
      </c>
      <c r="K901" s="4">
        <v>42.458817483332581</v>
      </c>
      <c r="L901" s="4">
        <v>45.597594466126026</v>
      </c>
      <c r="M901" s="4">
        <v>48.980137446953535</v>
      </c>
      <c r="N901" s="4">
        <v>52.471636761881314</v>
      </c>
      <c r="O901"/>
      <c r="P901"/>
      <c r="Q901" s="11"/>
    </row>
    <row r="902" spans="1:17" x14ac:dyDescent="0.35">
      <c r="A902" s="34" t="s">
        <v>65</v>
      </c>
      <c r="B902" s="4">
        <v>47.511497021253433</v>
      </c>
      <c r="C902" s="4">
        <v>50.589836624440331</v>
      </c>
      <c r="D902" s="4">
        <v>53.920625243671033</v>
      </c>
      <c r="E902" s="4">
        <v>57.547097494666424</v>
      </c>
      <c r="F902" s="4">
        <v>61.504476598237687</v>
      </c>
      <c r="G902" s="4">
        <v>65.832109677587979</v>
      </c>
      <c r="H902" s="4">
        <v>70.5645631481473</v>
      </c>
      <c r="I902" s="4">
        <v>75.686444290237446</v>
      </c>
      <c r="J902" s="4">
        <v>81.178832273901634</v>
      </c>
      <c r="K902" s="4">
        <v>87.032486382597199</v>
      </c>
      <c r="L902" s="4">
        <v>93.236123934082386</v>
      </c>
      <c r="M902" s="4">
        <v>99.832006132527667</v>
      </c>
      <c r="N902" s="4">
        <v>106.79767059460946</v>
      </c>
      <c r="O902"/>
      <c r="P902"/>
      <c r="Q902" s="11"/>
    </row>
    <row r="903" spans="1:17" x14ac:dyDescent="0.35">
      <c r="A903" s="34" t="s">
        <v>66</v>
      </c>
      <c r="B903" s="4">
        <v>29.262496793896688</v>
      </c>
      <c r="C903" s="4">
        <v>31.054374833927298</v>
      </c>
      <c r="D903" s="4">
        <v>32.994795823692407</v>
      </c>
      <c r="E903" s="4">
        <v>35.031717195955586</v>
      </c>
      <c r="F903" s="4">
        <v>37.124323712449772</v>
      </c>
      <c r="G903" s="4">
        <v>39.323369134217252</v>
      </c>
      <c r="H903" s="4">
        <v>41.672335873143481</v>
      </c>
      <c r="I903" s="4">
        <v>44.286634268765845</v>
      </c>
      <c r="J903" s="4">
        <v>47.20887125724078</v>
      </c>
      <c r="K903" s="4">
        <v>50.359337613230508</v>
      </c>
      <c r="L903" s="4">
        <v>53.757818665672325</v>
      </c>
      <c r="M903" s="4">
        <v>57.331887121431123</v>
      </c>
      <c r="N903" s="4">
        <v>61.057578350236021</v>
      </c>
      <c r="O903"/>
      <c r="P903"/>
      <c r="Q903" s="11"/>
    </row>
    <row r="904" spans="1:17" x14ac:dyDescent="0.35">
      <c r="A904" s="34" t="s">
        <v>67</v>
      </c>
      <c r="B904" s="4">
        <v>19.871681826068563</v>
      </c>
      <c r="C904" s="4">
        <v>20.921907256104621</v>
      </c>
      <c r="D904" s="4">
        <v>21.948611830735</v>
      </c>
      <c r="E904" s="4">
        <v>22.987255283370075</v>
      </c>
      <c r="F904" s="4">
        <v>24.103105693903956</v>
      </c>
      <c r="G904" s="4">
        <v>25.355386067639156</v>
      </c>
      <c r="H904" s="4">
        <v>26.782872133393834</v>
      </c>
      <c r="I904" s="4">
        <v>28.349248132319346</v>
      </c>
      <c r="J904" s="4">
        <v>29.987107788309487</v>
      </c>
      <c r="K904" s="4">
        <v>31.689474983254616</v>
      </c>
      <c r="L904" s="4">
        <v>33.485520094953237</v>
      </c>
      <c r="M904" s="4">
        <v>35.407558227807499</v>
      </c>
      <c r="N904" s="4">
        <v>37.427424644520741</v>
      </c>
      <c r="O904"/>
      <c r="P904"/>
      <c r="Q904" s="11"/>
    </row>
    <row r="905" spans="1:17" x14ac:dyDescent="0.35">
      <c r="A905" s="34" t="s">
        <v>68</v>
      </c>
      <c r="B905" s="4">
        <v>31.303216653894214</v>
      </c>
      <c r="C905" s="4">
        <v>33.764293303930778</v>
      </c>
      <c r="D905" s="4">
        <v>36.454233313030215</v>
      </c>
      <c r="E905" s="4">
        <v>39.410119461093842</v>
      </c>
      <c r="F905" s="4">
        <v>42.665267550128846</v>
      </c>
      <c r="G905" s="4">
        <v>46.257341577371847</v>
      </c>
      <c r="H905" s="4">
        <v>50.222326863743611</v>
      </c>
      <c r="I905" s="4">
        <v>54.562210108949301</v>
      </c>
      <c r="J905" s="4">
        <v>59.276208156664055</v>
      </c>
      <c r="K905" s="4">
        <v>64.37024152263632</v>
      </c>
      <c r="L905" s="4">
        <v>69.848706682576676</v>
      </c>
      <c r="M905" s="4">
        <v>75.756017734751268</v>
      </c>
      <c r="N905" s="4">
        <v>82.089445087569715</v>
      </c>
      <c r="O905"/>
      <c r="P905"/>
      <c r="Q905" s="11"/>
    </row>
    <row r="906" spans="1:17" x14ac:dyDescent="0.35">
      <c r="A906" s="34" t="s">
        <v>69</v>
      </c>
      <c r="B906" s="4">
        <v>35.882621278642027</v>
      </c>
      <c r="C906" s="4">
        <v>37.463376832998648</v>
      </c>
      <c r="D906" s="4">
        <v>39.15301757125988</v>
      </c>
      <c r="E906" s="4">
        <v>40.974329795940896</v>
      </c>
      <c r="F906" s="4">
        <v>42.942314742012798</v>
      </c>
      <c r="G906" s="4">
        <v>45.073324639585557</v>
      </c>
      <c r="H906" s="4">
        <v>47.378768942032892</v>
      </c>
      <c r="I906" s="4">
        <v>49.835186174953151</v>
      </c>
      <c r="J906" s="4">
        <v>52.418129140668881</v>
      </c>
      <c r="K906" s="4">
        <v>55.110857898261848</v>
      </c>
      <c r="L906" s="4">
        <v>57.896249336022542</v>
      </c>
      <c r="M906" s="4">
        <v>60.791403091197871</v>
      </c>
      <c r="N906" s="4">
        <v>63.772364682824268</v>
      </c>
      <c r="O906"/>
      <c r="P906"/>
      <c r="Q906" s="11"/>
    </row>
    <row r="907" spans="1:17" x14ac:dyDescent="0.35">
      <c r="A907" s="3" t="s">
        <v>70</v>
      </c>
      <c r="O907"/>
      <c r="P907"/>
      <c r="Q907" s="11"/>
    </row>
    <row r="908" spans="1:17" x14ac:dyDescent="0.35">
      <c r="A908" s="34" t="s">
        <v>71</v>
      </c>
      <c r="B908" s="4">
        <v>6.8082547048485873</v>
      </c>
      <c r="C908" s="4">
        <v>7.5102735913755714</v>
      </c>
      <c r="D908" s="4">
        <v>8.2860565273899152</v>
      </c>
      <c r="E908" s="4">
        <v>9.1646359086887852</v>
      </c>
      <c r="F908" s="4">
        <v>10.15455856609376</v>
      </c>
      <c r="G908" s="4">
        <v>11.264117451860679</v>
      </c>
      <c r="H908" s="4">
        <v>12.497183718708451</v>
      </c>
      <c r="I908" s="4">
        <v>13.854817047581912</v>
      </c>
      <c r="J908" s="4">
        <v>15.346433676751086</v>
      </c>
      <c r="K908" s="4">
        <v>17.018850298526974</v>
      </c>
      <c r="L908" s="4">
        <v>18.897536796319102</v>
      </c>
      <c r="M908" s="4">
        <v>20.98575611435739</v>
      </c>
      <c r="N908" s="4">
        <v>23.287515424751206</v>
      </c>
      <c r="O908"/>
      <c r="P908"/>
      <c r="Q908" s="11"/>
    </row>
    <row r="909" spans="1:17" x14ac:dyDescent="0.35">
      <c r="A909" s="34" t="s">
        <v>72</v>
      </c>
      <c r="B909" s="4">
        <v>5.4181101834109331</v>
      </c>
      <c r="C909" s="4">
        <v>6.0554875903415581</v>
      </c>
      <c r="D909" s="4">
        <v>6.7754143673382368</v>
      </c>
      <c r="E909" s="4">
        <v>7.5758504722375584</v>
      </c>
      <c r="F909" s="4">
        <v>8.4556970569373888</v>
      </c>
      <c r="G909" s="4">
        <v>9.4334997017596454</v>
      </c>
      <c r="H909" s="4">
        <v>10.529090556512701</v>
      </c>
      <c r="I909" s="4">
        <v>11.783508769750016</v>
      </c>
      <c r="J909" s="4">
        <v>13.22567267133045</v>
      </c>
      <c r="K909" s="4">
        <v>14.854259851781128</v>
      </c>
      <c r="L909" s="4">
        <v>16.694529224724594</v>
      </c>
      <c r="M909" s="4">
        <v>18.746091958704167</v>
      </c>
      <c r="N909" s="4">
        <v>21.021648662866173</v>
      </c>
      <c r="O909"/>
      <c r="P909"/>
      <c r="Q909" s="11"/>
    </row>
    <row r="910" spans="1:17" x14ac:dyDescent="0.35">
      <c r="A910" s="34" t="s">
        <v>73</v>
      </c>
      <c r="B910" s="4">
        <v>4.4925394153730043</v>
      </c>
      <c r="C910" s="4">
        <v>4.849361520378193</v>
      </c>
      <c r="D910" s="4">
        <v>5.240586094686952</v>
      </c>
      <c r="E910" s="4">
        <v>5.6594424602255735</v>
      </c>
      <c r="F910" s="4">
        <v>6.1004572374251484</v>
      </c>
      <c r="G910" s="4">
        <v>6.5727880747482841</v>
      </c>
      <c r="H910" s="4">
        <v>7.0849757484877225</v>
      </c>
      <c r="I910" s="4">
        <v>7.6583308204282101</v>
      </c>
      <c r="J910" s="4">
        <v>8.3029745026468262</v>
      </c>
      <c r="K910" s="4">
        <v>9.0081086079142612</v>
      </c>
      <c r="L910" s="4">
        <v>9.7798826478582814</v>
      </c>
      <c r="M910" s="4">
        <v>10.607998917426515</v>
      </c>
      <c r="N910" s="4">
        <v>11.490324332257668</v>
      </c>
      <c r="O910"/>
      <c r="P910"/>
      <c r="Q910" s="11"/>
    </row>
    <row r="911" spans="1:17" x14ac:dyDescent="0.35">
      <c r="A911" s="34" t="s">
        <v>74</v>
      </c>
      <c r="B911" s="4">
        <v>5.6491865859769268</v>
      </c>
      <c r="C911" s="4">
        <v>6.1089712278806125</v>
      </c>
      <c r="D911" s="4">
        <v>6.6163591444673857</v>
      </c>
      <c r="E911" s="4">
        <v>7.1769160369520986</v>
      </c>
      <c r="F911" s="4">
        <v>7.7993187465815188</v>
      </c>
      <c r="G911" s="4">
        <v>8.4964961847475422</v>
      </c>
      <c r="H911" s="4">
        <v>9.2758191442995788</v>
      </c>
      <c r="I911" s="4">
        <v>10.14517547556054</v>
      </c>
      <c r="J911" s="4">
        <v>11.099392096724138</v>
      </c>
      <c r="K911" s="4">
        <v>12.135959109472577</v>
      </c>
      <c r="L911" s="4">
        <v>13.245058710280873</v>
      </c>
      <c r="M911" s="4">
        <v>14.42461326549442</v>
      </c>
      <c r="N911" s="4">
        <v>15.686595696812404</v>
      </c>
      <c r="O911"/>
      <c r="P911"/>
      <c r="Q911" s="11"/>
    </row>
    <row r="912" spans="1:17" x14ac:dyDescent="0.35">
      <c r="A912" s="34" t="s">
        <v>75</v>
      </c>
      <c r="B912" s="4">
        <v>4.1767795949664466</v>
      </c>
      <c r="C912" s="4">
        <v>4.5870166239413361</v>
      </c>
      <c r="D912" s="4">
        <v>5.0456552188047423</v>
      </c>
      <c r="E912" s="4">
        <v>5.5522561192610054</v>
      </c>
      <c r="F912" s="4">
        <v>6.1004572374251484</v>
      </c>
      <c r="G912" s="4">
        <v>6.6995361681929007</v>
      </c>
      <c r="H912" s="4">
        <v>7.3581022499872493</v>
      </c>
      <c r="I912" s="4">
        <v>8.0920051598534464</v>
      </c>
      <c r="J912" s="4">
        <v>8.9114164286630757</v>
      </c>
      <c r="K912" s="4">
        <v>9.8243676600807124</v>
      </c>
      <c r="L912" s="4">
        <v>10.826976156457778</v>
      </c>
      <c r="M912" s="4">
        <v>11.914780487543684</v>
      </c>
      <c r="N912" s="4">
        <v>13.102352318890494</v>
      </c>
      <c r="O912"/>
      <c r="P912"/>
      <c r="Q912" s="11"/>
    </row>
    <row r="913" spans="1:17" x14ac:dyDescent="0.35">
      <c r="A913" s="3" t="s">
        <v>76</v>
      </c>
      <c r="O913"/>
      <c r="P913"/>
      <c r="Q913" s="11"/>
    </row>
    <row r="914" spans="1:17" x14ac:dyDescent="0.35">
      <c r="A914" s="34" t="s">
        <v>77</v>
      </c>
      <c r="B914" s="4">
        <v>4.9202100910718292</v>
      </c>
      <c r="C914" s="4">
        <v>5.3241573641276316</v>
      </c>
      <c r="D914" s="4">
        <v>5.7719168608482834</v>
      </c>
      <c r="E914" s="4">
        <v>6.2554087791846831</v>
      </c>
      <c r="F914" s="4">
        <v>6.7710604647237167</v>
      </c>
      <c r="G914" s="4">
        <v>7.3111626692717939</v>
      </c>
      <c r="H914" s="4">
        <v>7.8967838637127814</v>
      </c>
      <c r="I914" s="4">
        <v>8.5451066484341442</v>
      </c>
      <c r="J914" s="4">
        <v>9.2751401623133347</v>
      </c>
      <c r="K914" s="4">
        <v>10.092276286725721</v>
      </c>
      <c r="L914" s="4">
        <v>10.984765867721425</v>
      </c>
      <c r="M914" s="4">
        <v>11.941534564512818</v>
      </c>
      <c r="N914" s="4">
        <v>12.966049493860954</v>
      </c>
      <c r="O914"/>
      <c r="P914"/>
      <c r="Q914" s="11"/>
    </row>
    <row r="915" spans="1:17" x14ac:dyDescent="0.35">
      <c r="A915" s="34" t="s">
        <v>78</v>
      </c>
      <c r="B915" s="4">
        <v>4.7264981909307853</v>
      </c>
      <c r="C915" s="4">
        <v>5.0289604946280377</v>
      </c>
      <c r="D915" s="4">
        <v>5.351700187997416</v>
      </c>
      <c r="E915" s="4">
        <v>5.7097881108655439</v>
      </c>
      <c r="F915" s="4">
        <v>6.1031667454142333</v>
      </c>
      <c r="G915" s="4">
        <v>6.5312859959355487</v>
      </c>
      <c r="H915" s="4">
        <v>6.9907522687070296</v>
      </c>
      <c r="I915" s="4">
        <v>7.4767153728281128</v>
      </c>
      <c r="J915" s="4">
        <v>7.9891732005713854</v>
      </c>
      <c r="K915" s="4">
        <v>8.5472771658054523</v>
      </c>
      <c r="L915" s="4">
        <v>9.156429321397491</v>
      </c>
      <c r="M915" s="4">
        <v>9.8100353120302053</v>
      </c>
      <c r="N915" s="4">
        <v>10.502250794173653</v>
      </c>
      <c r="O915"/>
      <c r="P915"/>
      <c r="Q915" s="11"/>
    </row>
    <row r="916" spans="1:17" x14ac:dyDescent="0.35">
      <c r="A916" s="34" t="s">
        <v>79</v>
      </c>
      <c r="B916" s="4">
        <v>2.7154745259381801</v>
      </c>
      <c r="C916" s="4">
        <v>2.9984772093323246</v>
      </c>
      <c r="D916" s="4">
        <v>3.3162745670405851</v>
      </c>
      <c r="E916" s="4">
        <v>3.6691374308455731</v>
      </c>
      <c r="F916" s="4">
        <v>4.0534239516713395</v>
      </c>
      <c r="G916" s="4">
        <v>4.4758000496467716</v>
      </c>
      <c r="H916" s="4">
        <v>4.9426271148284613</v>
      </c>
      <c r="I916" s="4">
        <v>5.4652643962184602</v>
      </c>
      <c r="J916" s="4">
        <v>6.0514786689162721</v>
      </c>
      <c r="K916" s="4">
        <v>6.7077456527417993</v>
      </c>
      <c r="L916" s="4">
        <v>7.4325392665522374</v>
      </c>
      <c r="M916" s="4">
        <v>8.2238941041203013</v>
      </c>
      <c r="N916" s="4">
        <v>9.0929307054137745</v>
      </c>
      <c r="O916"/>
      <c r="P916"/>
      <c r="Q916" s="11"/>
    </row>
    <row r="917" spans="1:17" x14ac:dyDescent="0.35">
      <c r="A917" s="34" t="s">
        <v>80</v>
      </c>
      <c r="B917" s="4">
        <v>2.202142162296933</v>
      </c>
      <c r="C917" s="4">
        <v>2.3153511080118112</v>
      </c>
      <c r="D917" s="4">
        <v>2.4382388805135875</v>
      </c>
      <c r="E917" s="4">
        <v>2.5717126802064989</v>
      </c>
      <c r="F917" s="4">
        <v>2.7176365130523754</v>
      </c>
      <c r="G917" s="4">
        <v>2.8790873703783153</v>
      </c>
      <c r="H917" s="4">
        <v>3.0568476603171484</v>
      </c>
      <c r="I917" s="4">
        <v>3.2516969014873061</v>
      </c>
      <c r="J917" s="4">
        <v>3.4600501001304687</v>
      </c>
      <c r="K917" s="4">
        <v>3.6794468760236168</v>
      </c>
      <c r="L917" s="4">
        <v>3.9053963906207025</v>
      </c>
      <c r="M917" s="4">
        <v>4.1361085467567316</v>
      </c>
      <c r="N917" s="4">
        <v>4.3739643774061143</v>
      </c>
      <c r="O917"/>
      <c r="P917"/>
      <c r="Q917" s="11"/>
    </row>
    <row r="918" spans="1:17" x14ac:dyDescent="0.35">
      <c r="A918" s="34" t="s">
        <v>81</v>
      </c>
      <c r="B918" s="4">
        <v>2.5847271002255616</v>
      </c>
      <c r="C918" s="4">
        <v>2.7739459995869544</v>
      </c>
      <c r="D918" s="4">
        <v>2.9665392866989864</v>
      </c>
      <c r="E918" s="4">
        <v>3.1673080664828999</v>
      </c>
      <c r="F918" s="4">
        <v>3.3855302323618575</v>
      </c>
      <c r="G918" s="4">
        <v>3.6303423935758334</v>
      </c>
      <c r="H918" s="4">
        <v>3.9086273790816728</v>
      </c>
      <c r="I918" s="4">
        <v>4.2167851927506668</v>
      </c>
      <c r="J918" s="4">
        <v>4.5462448717347899</v>
      </c>
      <c r="K918" s="4">
        <v>4.8968792080982269</v>
      </c>
      <c r="L918" s="4">
        <v>5.2740983817922142</v>
      </c>
      <c r="M918" s="4">
        <v>5.6841872568957932</v>
      </c>
      <c r="N918" s="4">
        <v>6.1241568101049264</v>
      </c>
      <c r="O918"/>
      <c r="P918"/>
      <c r="Q918" s="11"/>
    </row>
    <row r="919" spans="1:17" x14ac:dyDescent="0.35">
      <c r="A919" s="2" t="s">
        <v>84</v>
      </c>
      <c r="O919"/>
      <c r="P919"/>
      <c r="Q919" s="11"/>
    </row>
    <row r="920" spans="1:17" x14ac:dyDescent="0.35">
      <c r="A920" s="3" t="s">
        <v>85</v>
      </c>
      <c r="B920" s="4">
        <v>19.377409905178734</v>
      </c>
      <c r="C920" s="4">
        <v>20.378433960500267</v>
      </c>
      <c r="D920" s="4">
        <v>21.456643292478947</v>
      </c>
      <c r="E920" s="4">
        <v>22.575807477706963</v>
      </c>
      <c r="F920" s="4">
        <v>23.708194904494803</v>
      </c>
      <c r="G920" s="4">
        <v>24.885528030941238</v>
      </c>
      <c r="H920" s="4">
        <v>26.13376949823056</v>
      </c>
      <c r="I920" s="4">
        <v>27.523023232428773</v>
      </c>
      <c r="J920" s="4">
        <v>29.07557859288827</v>
      </c>
      <c r="K920" s="4">
        <v>30.737519248367814</v>
      </c>
      <c r="L920" s="4">
        <v>32.517508461294376</v>
      </c>
      <c r="M920" s="4">
        <v>34.368058152390049</v>
      </c>
      <c r="N920" s="4">
        <v>36.272369303366389</v>
      </c>
      <c r="O920"/>
      <c r="P920"/>
      <c r="Q920" s="11"/>
    </row>
    <row r="921" spans="1:17" x14ac:dyDescent="0.35">
      <c r="A921" s="3" t="s">
        <v>86</v>
      </c>
      <c r="B921" s="4">
        <v>47.609661388778683</v>
      </c>
      <c r="C921" s="4">
        <v>50.286967105075277</v>
      </c>
      <c r="D921" s="4">
        <v>53.177688490530279</v>
      </c>
      <c r="E921" s="4">
        <v>56.194698296028029</v>
      </c>
      <c r="F921" s="4">
        <v>59.270487261237001</v>
      </c>
      <c r="G921" s="4">
        <v>62.484992767687729</v>
      </c>
      <c r="H921" s="4">
        <v>65.905077883788451</v>
      </c>
      <c r="I921" s="4">
        <v>69.710074897623727</v>
      </c>
      <c r="J921" s="4">
        <v>73.961309271989009</v>
      </c>
      <c r="K921" s="4">
        <v>78.527274050024985</v>
      </c>
      <c r="L921" s="4">
        <v>83.434011856608947</v>
      </c>
      <c r="M921" s="4">
        <v>88.563910731756692</v>
      </c>
      <c r="N921" s="4">
        <v>93.876373031138755</v>
      </c>
      <c r="O921"/>
      <c r="P921"/>
      <c r="Q921" s="11"/>
    </row>
    <row r="922" spans="1:17" x14ac:dyDescent="0.35">
      <c r="A922" s="3" t="s">
        <v>87</v>
      </c>
      <c r="B922" s="4">
        <v>80.229483933509499</v>
      </c>
      <c r="C922" s="4">
        <v>86.74838297037104</v>
      </c>
      <c r="D922" s="4">
        <v>93.840406697747369</v>
      </c>
      <c r="E922" s="4">
        <v>101.84061381816022</v>
      </c>
      <c r="F922" s="4">
        <v>110.75113905385427</v>
      </c>
      <c r="G922" s="4">
        <v>120.33699431591066</v>
      </c>
      <c r="H922" s="4">
        <v>130.67194780281528</v>
      </c>
      <c r="I922" s="4">
        <v>141.66762607415279</v>
      </c>
      <c r="J922" s="4">
        <v>153.51626164467768</v>
      </c>
      <c r="K922" s="4">
        <v>166.88350887693258</v>
      </c>
      <c r="L922" s="4">
        <v>181.74022019648368</v>
      </c>
      <c r="M922" s="4">
        <v>197.90653662524039</v>
      </c>
      <c r="N922" s="4">
        <v>215.35773605060967</v>
      </c>
      <c r="O922"/>
      <c r="P922"/>
      <c r="Q922" s="11"/>
    </row>
    <row r="923" spans="1:17" x14ac:dyDescent="0.35">
      <c r="A923" s="3" t="s">
        <v>88</v>
      </c>
      <c r="B923" s="4">
        <v>56.622465739196059</v>
      </c>
      <c r="C923" s="4">
        <v>60.805937283485953</v>
      </c>
      <c r="D923" s="4">
        <v>65.309646214744888</v>
      </c>
      <c r="E923" s="4">
        <v>70.325542106803425</v>
      </c>
      <c r="F923" s="4">
        <v>75.866223694383365</v>
      </c>
      <c r="G923" s="4">
        <v>81.938387149999556</v>
      </c>
      <c r="H923" s="4">
        <v>88.513059330762857</v>
      </c>
      <c r="I923" s="4">
        <v>95.541513240080135</v>
      </c>
      <c r="J923" s="4">
        <v>103.03494934204814</v>
      </c>
      <c r="K923" s="4">
        <v>111.25180530623807</v>
      </c>
      <c r="L923" s="4">
        <v>120.28092015811761</v>
      </c>
      <c r="M923" s="4">
        <v>130.05649875393402</v>
      </c>
      <c r="N923" s="4">
        <v>140.51989265380178</v>
      </c>
      <c r="O923"/>
      <c r="P923"/>
      <c r="Q923" s="11"/>
    </row>
    <row r="924" spans="1:17" x14ac:dyDescent="0.35">
      <c r="A924" s="3" t="s">
        <v>89</v>
      </c>
      <c r="B924" s="4">
        <v>17.875446873382799</v>
      </c>
      <c r="C924" s="4">
        <v>19.113044579884125</v>
      </c>
      <c r="D924" s="4">
        <v>20.4602180560561</v>
      </c>
      <c r="E924" s="4">
        <v>21.887001223592375</v>
      </c>
      <c r="F924" s="4">
        <v>23.369506405859163</v>
      </c>
      <c r="G924" s="4">
        <v>24.940743588821622</v>
      </c>
      <c r="H924" s="4">
        <v>26.630092496983583</v>
      </c>
      <c r="I924" s="4">
        <v>28.513758893811826</v>
      </c>
      <c r="J924" s="4">
        <v>30.62333521621591</v>
      </c>
      <c r="K924" s="4">
        <v>32.911954998891929</v>
      </c>
      <c r="L924" s="4">
        <v>35.396297613201135</v>
      </c>
      <c r="M924" s="4">
        <v>38.032773301077924</v>
      </c>
      <c r="N924" s="4">
        <v>40.80857641416813</v>
      </c>
      <c r="O924"/>
      <c r="P924"/>
      <c r="Q924" s="11"/>
    </row>
    <row r="925" spans="1:17" x14ac:dyDescent="0.35">
      <c r="A925" s="3" t="s">
        <v>90</v>
      </c>
      <c r="B925" s="4">
        <v>35.95426148648297</v>
      </c>
      <c r="C925" s="4">
        <v>38.113645850851427</v>
      </c>
      <c r="D925" s="4">
        <v>40.44264970498871</v>
      </c>
      <c r="E925" s="4">
        <v>42.971265341798365</v>
      </c>
      <c r="F925" s="4">
        <v>45.72294731581141</v>
      </c>
      <c r="G925" s="4">
        <v>48.723773320879246</v>
      </c>
      <c r="H925" s="4">
        <v>51.995791187980679</v>
      </c>
      <c r="I925" s="4">
        <v>55.523812847358414</v>
      </c>
      <c r="J925" s="4">
        <v>59.290292655035756</v>
      </c>
      <c r="K925" s="4">
        <v>63.28502780919905</v>
      </c>
      <c r="L925" s="4">
        <v>67.49647556090008</v>
      </c>
      <c r="M925" s="4">
        <v>71.952024964743686</v>
      </c>
      <c r="N925" s="4">
        <v>76.631899666910513</v>
      </c>
      <c r="O925"/>
      <c r="P925"/>
      <c r="Q925" s="11"/>
    </row>
    <row r="926" spans="1:17" x14ac:dyDescent="0.35">
      <c r="A926" s="2" t="s">
        <v>91</v>
      </c>
      <c r="O926"/>
      <c r="P926"/>
      <c r="Q926" s="11"/>
    </row>
    <row r="927" spans="1:17" x14ac:dyDescent="0.35">
      <c r="A927" s="3" t="s">
        <v>92</v>
      </c>
      <c r="B927" s="4">
        <v>96.299819548572302</v>
      </c>
      <c r="C927" s="4">
        <v>103.98609657376045</v>
      </c>
      <c r="D927" s="4">
        <v>112.49383452743207</v>
      </c>
      <c r="E927" s="4">
        <v>121.66014456363264</v>
      </c>
      <c r="F927" s="4">
        <v>131.41113747062835</v>
      </c>
      <c r="G927" s="4">
        <v>141.59323733470143</v>
      </c>
      <c r="H927" s="4">
        <v>152.61147231803167</v>
      </c>
      <c r="I927" s="4">
        <v>164.79232643548482</v>
      </c>
      <c r="J927" s="4">
        <v>178.49471670429773</v>
      </c>
      <c r="K927" s="4">
        <v>193.81243901250701</v>
      </c>
      <c r="L927" s="4">
        <v>210.50927281519068</v>
      </c>
      <c r="M927" s="4">
        <v>228.36385053107355</v>
      </c>
      <c r="N927" s="4">
        <v>247.43468828352184</v>
      </c>
      <c r="O927"/>
      <c r="P927"/>
      <c r="Q927" s="11"/>
    </row>
    <row r="928" spans="1:17" x14ac:dyDescent="0.35">
      <c r="A928" s="3" t="s">
        <v>93</v>
      </c>
      <c r="B928" s="4">
        <v>161.36890977795645</v>
      </c>
      <c r="C928" s="4">
        <v>171.46031517640762</v>
      </c>
      <c r="D928" s="4">
        <v>182.19341792911428</v>
      </c>
      <c r="E928" s="4">
        <v>194.13478370045675</v>
      </c>
      <c r="F928" s="4">
        <v>207.27736116501168</v>
      </c>
      <c r="G928" s="4">
        <v>221.71718183953863</v>
      </c>
      <c r="H928" s="4">
        <v>237.23826588252976</v>
      </c>
      <c r="I928" s="4">
        <v>253.6874827499708</v>
      </c>
      <c r="J928" s="4">
        <v>271.00701001855703</v>
      </c>
      <c r="K928" s="4">
        <v>289.78465127714742</v>
      </c>
      <c r="L928" s="4">
        <v>310.35616103141513</v>
      </c>
      <c r="M928" s="4">
        <v>332.51595199806923</v>
      </c>
      <c r="N928" s="4">
        <v>356.0321588364734</v>
      </c>
      <c r="O928"/>
      <c r="P928"/>
      <c r="Q928" s="11"/>
    </row>
    <row r="929" spans="1:17" x14ac:dyDescent="0.35">
      <c r="A929" s="2" t="s">
        <v>94</v>
      </c>
      <c r="O929"/>
      <c r="P929"/>
      <c r="Q929" s="11"/>
    </row>
    <row r="930" spans="1:17" x14ac:dyDescent="0.35">
      <c r="A930" s="3" t="s">
        <v>48</v>
      </c>
      <c r="B930" s="4">
        <v>18.3259954574152</v>
      </c>
      <c r="C930" s="4">
        <v>19.635356941345886</v>
      </c>
      <c r="D930" s="4">
        <v>21.070995691059942</v>
      </c>
      <c r="E930" s="4">
        <v>22.646719466835386</v>
      </c>
      <c r="F930" s="4">
        <v>24.385571901766081</v>
      </c>
      <c r="G930" s="4">
        <v>26.322964483439709</v>
      </c>
      <c r="H930" s="4">
        <v>28.475699890392477</v>
      </c>
      <c r="I930" s="4">
        <v>30.861440945699119</v>
      </c>
      <c r="J930" s="4">
        <v>33.457350464509609</v>
      </c>
      <c r="K930" s="4">
        <v>36.249309962865453</v>
      </c>
      <c r="L930" s="4">
        <v>39.201755155123045</v>
      </c>
      <c r="M930" s="4">
        <v>42.303201269425855</v>
      </c>
      <c r="N930" s="4">
        <v>45.583683961289921</v>
      </c>
      <c r="O930"/>
      <c r="P930"/>
      <c r="Q930" s="11"/>
    </row>
    <row r="931" spans="1:17" x14ac:dyDescent="0.35">
      <c r="A931" s="3" t="s">
        <v>95</v>
      </c>
      <c r="B931" s="4">
        <v>7.5158973603893777</v>
      </c>
      <c r="C931" s="4">
        <v>8.1966133380987927</v>
      </c>
      <c r="D931" s="4">
        <v>8.9080218482204501</v>
      </c>
      <c r="E931" s="4">
        <v>9.6655724975100572</v>
      </c>
      <c r="F931" s="4">
        <v>10.499343457704841</v>
      </c>
      <c r="G931" s="4">
        <v>11.440871503680572</v>
      </c>
      <c r="H931" s="4">
        <v>12.516529938897206</v>
      </c>
      <c r="I931" s="4">
        <v>13.720670708862572</v>
      </c>
      <c r="J931" s="4">
        <v>15.0309146130946</v>
      </c>
      <c r="K931" s="4">
        <v>16.451182254842529</v>
      </c>
      <c r="L931" s="4">
        <v>18.004111199236227</v>
      </c>
      <c r="M931" s="4">
        <v>19.716642119473693</v>
      </c>
      <c r="N931" s="4">
        <v>21.58510927718541</v>
      </c>
      <c r="O931"/>
      <c r="P931"/>
      <c r="Q931" s="11"/>
    </row>
    <row r="932" spans="1:17" x14ac:dyDescent="0.35">
      <c r="A932" s="3" t="s">
        <v>96</v>
      </c>
      <c r="B932" s="4">
        <v>52.564756376857588</v>
      </c>
      <c r="C932" s="4">
        <v>56.844564550213931</v>
      </c>
      <c r="D932" s="4">
        <v>62.143900029963135</v>
      </c>
      <c r="E932" s="4">
        <v>68.673403881059812</v>
      </c>
      <c r="F932" s="4">
        <v>75.866223694383336</v>
      </c>
      <c r="G932" s="4">
        <v>83.214076761414333</v>
      </c>
      <c r="H932" s="4">
        <v>90.379467801188298</v>
      </c>
      <c r="I932" s="4">
        <v>97.626010713573123</v>
      </c>
      <c r="J932" s="4">
        <v>105.6456475627898</v>
      </c>
      <c r="K932" s="4">
        <v>115.14823094954295</v>
      </c>
      <c r="L932" s="4">
        <v>126.10901645423428</v>
      </c>
      <c r="M932" s="4">
        <v>137.89772207715674</v>
      </c>
      <c r="N932" s="4">
        <v>150.48624843814707</v>
      </c>
      <c r="O932"/>
      <c r="P932"/>
      <c r="Q932" s="11"/>
    </row>
    <row r="933" spans="1:17" x14ac:dyDescent="0.35">
      <c r="A933" s="3" t="s">
        <v>97</v>
      </c>
      <c r="B933" s="4">
        <v>22.993472879962408</v>
      </c>
      <c r="C933" s="4">
        <v>24.472031966707778</v>
      </c>
      <c r="D933" s="4">
        <v>25.953232395286268</v>
      </c>
      <c r="E933" s="4">
        <v>27.478625135140632</v>
      </c>
      <c r="F933" s="4">
        <v>29.12721088266504</v>
      </c>
      <c r="G933" s="4">
        <v>30.974115408242344</v>
      </c>
      <c r="H933" s="4">
        <v>33.072679786524418</v>
      </c>
      <c r="I933" s="4">
        <v>35.385694195600081</v>
      </c>
      <c r="J933" s="4">
        <v>37.835354908225696</v>
      </c>
      <c r="K933" s="4">
        <v>40.416597884064473</v>
      </c>
      <c r="L933" s="4">
        <v>43.170159027716203</v>
      </c>
      <c r="M933" s="4">
        <v>46.142517475389027</v>
      </c>
      <c r="N933" s="4">
        <v>49.303246013514972</v>
      </c>
      <c r="O933"/>
      <c r="P933"/>
      <c r="Q933" s="11"/>
    </row>
    <row r="934" spans="1:17" x14ac:dyDescent="0.35">
      <c r="A934" s="3" t="s">
        <v>98</v>
      </c>
      <c r="B934" s="4">
        <v>88.944837629109415</v>
      </c>
      <c r="C934" s="4">
        <v>95.249471599604618</v>
      </c>
      <c r="D934" s="4">
        <v>101.64122026034384</v>
      </c>
      <c r="E934" s="4">
        <v>108.28385653680358</v>
      </c>
      <c r="F934" s="4">
        <v>115.49277803475326</v>
      </c>
      <c r="G934" s="4">
        <v>123.57580671353584</v>
      </c>
      <c r="H934" s="4">
        <v>132.76135560979955</v>
      </c>
      <c r="I934" s="4">
        <v>142.9197773156435</v>
      </c>
      <c r="J934" s="4">
        <v>153.7540285742889</v>
      </c>
      <c r="K934" s="4">
        <v>165.25515771843243</v>
      </c>
      <c r="L934" s="4">
        <v>177.60113170392617</v>
      </c>
      <c r="M934" s="4">
        <v>190.99780619559306</v>
      </c>
      <c r="N934" s="4">
        <v>205.3376074786469</v>
      </c>
      <c r="O934"/>
      <c r="P934"/>
      <c r="Q934" s="11"/>
    </row>
    <row r="935" spans="1:17" x14ac:dyDescent="0.35">
      <c r="A935" s="3" t="s">
        <v>99</v>
      </c>
      <c r="B935" s="4">
        <v>25.075656362439094</v>
      </c>
      <c r="C935" s="4">
        <v>26.341897656487891</v>
      </c>
      <c r="D935" s="4">
        <v>27.572582251264038</v>
      </c>
      <c r="E935" s="4">
        <v>28.812468390458829</v>
      </c>
      <c r="F935" s="4">
        <v>30.143276378571962</v>
      </c>
      <c r="G935" s="4">
        <v>31.638431926051187</v>
      </c>
      <c r="H935" s="4">
        <v>33.345186327244903</v>
      </c>
      <c r="I935" s="4">
        <v>35.216875771612877</v>
      </c>
      <c r="J935" s="4">
        <v>37.16862462790646</v>
      </c>
      <c r="K935" s="4">
        <v>39.191209248225526</v>
      </c>
      <c r="L935" s="4">
        <v>41.320188334918072</v>
      </c>
      <c r="M935" s="4">
        <v>43.594681385987663</v>
      </c>
      <c r="N935" s="4">
        <v>45.97899110052419</v>
      </c>
      <c r="O935"/>
      <c r="P935"/>
      <c r="Q935" s="11"/>
    </row>
    <row r="936" spans="1:17" x14ac:dyDescent="0.35">
      <c r="A936" s="3" t="s">
        <v>100</v>
      </c>
      <c r="B936" s="4">
        <v>42.248113260355659</v>
      </c>
      <c r="C936" s="4">
        <v>44.706475697709166</v>
      </c>
      <c r="D936" s="4">
        <v>47.397299980408626</v>
      </c>
      <c r="E936" s="4">
        <v>50.234282356281071</v>
      </c>
      <c r="F936" s="4">
        <v>53.174094285795533</v>
      </c>
      <c r="G936" s="4">
        <v>56.14415237787604</v>
      </c>
      <c r="H936" s="4">
        <v>59.298818846514592</v>
      </c>
      <c r="I936" s="4">
        <v>62.749339534464355</v>
      </c>
      <c r="J936" s="4">
        <v>66.609805972039666</v>
      </c>
      <c r="K936" s="4">
        <v>70.88540227168113</v>
      </c>
      <c r="L936" s="4">
        <v>75.459071971451763</v>
      </c>
      <c r="M936" s="4">
        <v>80.227232006116751</v>
      </c>
      <c r="N936" s="4">
        <v>85.191960850686769</v>
      </c>
      <c r="O936"/>
      <c r="P936"/>
      <c r="Q936" s="11"/>
    </row>
    <row r="937" spans="1:17" x14ac:dyDescent="0.35">
      <c r="A937" s="1" t="s">
        <v>43</v>
      </c>
      <c r="O937"/>
      <c r="P937"/>
      <c r="Q937" s="11"/>
    </row>
    <row r="938" spans="1:17" x14ac:dyDescent="0.35">
      <c r="A938" s="2" t="s">
        <v>54</v>
      </c>
      <c r="O938"/>
      <c r="P938"/>
      <c r="Q938" s="11"/>
    </row>
    <row r="939" spans="1:17" x14ac:dyDescent="0.35">
      <c r="A939" s="3" t="s">
        <v>55</v>
      </c>
      <c r="B939" s="4">
        <v>16.654833046042686</v>
      </c>
      <c r="C939" s="4">
        <v>18.553758994369289</v>
      </c>
      <c r="D939" s="4">
        <v>20.70011678484537</v>
      </c>
      <c r="E939" s="4">
        <v>23.129272258689294</v>
      </c>
      <c r="F939" s="4">
        <v>25.889747292765538</v>
      </c>
      <c r="G939" s="4">
        <v>29.048723917420084</v>
      </c>
      <c r="H939" s="4">
        <v>32.660928202649664</v>
      </c>
      <c r="I939" s="4">
        <v>36.787631383362886</v>
      </c>
      <c r="J939" s="4">
        <v>41.448005410661146</v>
      </c>
      <c r="K939" s="4">
        <v>46.671138423323072</v>
      </c>
      <c r="L939" s="4">
        <v>52.459130155728218</v>
      </c>
      <c r="M939" s="4">
        <v>58.842523789065311</v>
      </c>
      <c r="N939" s="4">
        <v>65.910399995271931</v>
      </c>
      <c r="O939"/>
      <c r="P939"/>
      <c r="Q939" s="11"/>
    </row>
    <row r="940" spans="1:17" x14ac:dyDescent="0.35">
      <c r="A940" s="3" t="s">
        <v>56</v>
      </c>
      <c r="B940" s="4">
        <v>38.810955844779549</v>
      </c>
      <c r="C940" s="4">
        <v>42.358254821988155</v>
      </c>
      <c r="D940" s="4">
        <v>46.274150194129767</v>
      </c>
      <c r="E940" s="4">
        <v>50.617613557200109</v>
      </c>
      <c r="F940" s="4">
        <v>55.445299511940377</v>
      </c>
      <c r="G940" s="4">
        <v>60.821877431128165</v>
      </c>
      <c r="H940" s="4">
        <v>66.812507646723532</v>
      </c>
      <c r="I940" s="4">
        <v>73.439792634172107</v>
      </c>
      <c r="J940" s="4">
        <v>80.723229135319514</v>
      </c>
      <c r="K940" s="4">
        <v>88.691910675211901</v>
      </c>
      <c r="L940" s="4">
        <v>97.373741714810777</v>
      </c>
      <c r="M940" s="4">
        <v>106.85325114569574</v>
      </c>
      <c r="N940" s="4">
        <v>117.15196157477011</v>
      </c>
      <c r="O940"/>
      <c r="P940"/>
      <c r="Q940" s="11"/>
    </row>
    <row r="941" spans="1:17" x14ac:dyDescent="0.35">
      <c r="A941" s="3" t="s">
        <v>57</v>
      </c>
      <c r="B941" s="4">
        <v>107.31527832605187</v>
      </c>
      <c r="C941" s="4">
        <v>116.0506800800037</v>
      </c>
      <c r="D941" s="4">
        <v>125.61871540089828</v>
      </c>
      <c r="E941" s="4">
        <v>136.15356678073101</v>
      </c>
      <c r="F941" s="4">
        <v>147.77776109587407</v>
      </c>
      <c r="G941" s="4">
        <v>160.63011884803979</v>
      </c>
      <c r="H941" s="4">
        <v>174.84502680581403</v>
      </c>
      <c r="I941" s="4">
        <v>190.43985344942618</v>
      </c>
      <c r="J941" s="4">
        <v>207.4224442450367</v>
      </c>
      <c r="K941" s="4">
        <v>225.82415244452744</v>
      </c>
      <c r="L941" s="4">
        <v>245.67127680134689</v>
      </c>
      <c r="M941" s="4">
        <v>267.13110605301523</v>
      </c>
      <c r="N941" s="4">
        <v>290.20637619933291</v>
      </c>
      <c r="O941"/>
      <c r="P941"/>
      <c r="Q941" s="11"/>
    </row>
    <row r="942" spans="1:17" x14ac:dyDescent="0.35">
      <c r="A942" s="2" t="s">
        <v>47</v>
      </c>
      <c r="O942"/>
      <c r="P942"/>
      <c r="Q942" s="11"/>
    </row>
    <row r="943" spans="1:17" x14ac:dyDescent="0.35">
      <c r="A943" s="3" t="s">
        <v>82</v>
      </c>
      <c r="B943" s="4">
        <v>55.465788890822239</v>
      </c>
      <c r="C943" s="4">
        <v>60.912013816357444</v>
      </c>
      <c r="D943" s="4">
        <v>66.974266978975137</v>
      </c>
      <c r="E943" s="4">
        <v>73.746885815889399</v>
      </c>
      <c r="F943" s="4">
        <v>81.335046804705911</v>
      </c>
      <c r="G943" s="4">
        <v>89.870601348548249</v>
      </c>
      <c r="H943" s="4">
        <v>99.473435849373203</v>
      </c>
      <c r="I943" s="4">
        <v>110.22742401753499</v>
      </c>
      <c r="J943" s="4">
        <v>122.17123454598067</v>
      </c>
      <c r="K943" s="4">
        <v>135.36304909853499</v>
      </c>
      <c r="L943" s="4">
        <v>149.83287187053901</v>
      </c>
      <c r="M943" s="4">
        <v>165.69577493476106</v>
      </c>
      <c r="N943" s="4">
        <v>183.06236157004204</v>
      </c>
      <c r="O943"/>
      <c r="P943"/>
      <c r="Q943" s="11"/>
    </row>
    <row r="944" spans="1:17" x14ac:dyDescent="0.35">
      <c r="A944" s="3" t="s">
        <v>83</v>
      </c>
      <c r="B944" s="4">
        <v>107.31527832605187</v>
      </c>
      <c r="C944" s="4">
        <v>116.0506800800037</v>
      </c>
      <c r="D944" s="4">
        <v>125.61871540089828</v>
      </c>
      <c r="E944" s="4">
        <v>136.15356678073101</v>
      </c>
      <c r="F944" s="4">
        <v>147.77776109587407</v>
      </c>
      <c r="G944" s="4">
        <v>160.63011884803979</v>
      </c>
      <c r="H944" s="4">
        <v>174.84502680581403</v>
      </c>
      <c r="I944" s="4">
        <v>190.43985344942618</v>
      </c>
      <c r="J944" s="4">
        <v>207.4224442450367</v>
      </c>
      <c r="K944" s="4">
        <v>225.82415244452744</v>
      </c>
      <c r="L944" s="4">
        <v>245.67127680134689</v>
      </c>
      <c r="M944" s="4">
        <v>267.13110605301523</v>
      </c>
      <c r="N944" s="4">
        <v>290.20637619933291</v>
      </c>
      <c r="O944"/>
      <c r="P944"/>
      <c r="Q944" s="11"/>
    </row>
    <row r="945" spans="1:17" x14ac:dyDescent="0.35">
      <c r="A945" s="2" t="s">
        <v>59</v>
      </c>
      <c r="O945"/>
      <c r="P945"/>
      <c r="Q945" s="11"/>
    </row>
    <row r="946" spans="1:17" x14ac:dyDescent="0.35">
      <c r="A946" s="3" t="s">
        <v>60</v>
      </c>
      <c r="O946"/>
      <c r="P946"/>
      <c r="Q946" s="11"/>
    </row>
    <row r="947" spans="1:17" x14ac:dyDescent="0.35">
      <c r="A947" s="34" t="s">
        <v>61</v>
      </c>
      <c r="B947" s="4">
        <v>33.027598695447892</v>
      </c>
      <c r="C947" s="4">
        <v>35.854665197291041</v>
      </c>
      <c r="D947" s="4">
        <v>38.905389269919723</v>
      </c>
      <c r="E947" s="4">
        <v>42.340214976860182</v>
      </c>
      <c r="F947" s="4">
        <v>46.404508112183464</v>
      </c>
      <c r="G947" s="4">
        <v>51.113415626762333</v>
      </c>
      <c r="H947" s="4">
        <v>56.490748890478955</v>
      </c>
      <c r="I947" s="4">
        <v>62.337534867128113</v>
      </c>
      <c r="J947" s="4">
        <v>68.554251511341732</v>
      </c>
      <c r="K947" s="4">
        <v>75.06806043712939</v>
      </c>
      <c r="L947" s="4">
        <v>81.999699988198387</v>
      </c>
      <c r="M947" s="4">
        <v>89.657975111474059</v>
      </c>
      <c r="N947" s="4">
        <v>97.87174612132992</v>
      </c>
      <c r="O947"/>
      <c r="P947"/>
      <c r="Q947" s="11"/>
    </row>
    <row r="948" spans="1:17" x14ac:dyDescent="0.35">
      <c r="A948" s="43" t="s">
        <v>62</v>
      </c>
      <c r="B948" s="4">
        <v>6.3445070457576742</v>
      </c>
      <c r="C948" s="4">
        <v>7.1148609231578774</v>
      </c>
      <c r="D948" s="4">
        <v>7.992981355470465</v>
      </c>
      <c r="E948" s="4">
        <v>8.9768156147806941</v>
      </c>
      <c r="F948" s="4">
        <v>10.069778260343812</v>
      </c>
      <c r="G948" s="4">
        <v>11.268960669304258</v>
      </c>
      <c r="H948" s="4">
        <v>12.614706758568749</v>
      </c>
      <c r="I948" s="4">
        <v>14.146392072123236</v>
      </c>
      <c r="J948" s="4">
        <v>15.91121018178489</v>
      </c>
      <c r="K948" s="4">
        <v>17.938626193072597</v>
      </c>
      <c r="L948" s="4">
        <v>20.230356319085349</v>
      </c>
      <c r="M948" s="4">
        <v>22.787890183511923</v>
      </c>
      <c r="N948" s="4">
        <v>25.639002747008028</v>
      </c>
      <c r="O948"/>
      <c r="P948"/>
      <c r="Q948" s="11"/>
    </row>
    <row r="949" spans="1:17" x14ac:dyDescent="0.35">
      <c r="A949" s="43" t="s">
        <v>63</v>
      </c>
      <c r="B949" s="4">
        <v>9.9152710900113767</v>
      </c>
      <c r="C949" s="4">
        <v>10.879695757554593</v>
      </c>
      <c r="D949" s="4">
        <v>11.957159315106255</v>
      </c>
      <c r="E949" s="4">
        <v>13.146316598680526</v>
      </c>
      <c r="F949" s="4">
        <v>14.431802022889061</v>
      </c>
      <c r="G949" s="4">
        <v>15.835300474497929</v>
      </c>
      <c r="H949" s="4">
        <v>17.37684077932996</v>
      </c>
      <c r="I949" s="4">
        <v>19.093479462138948</v>
      </c>
      <c r="J949" s="4">
        <v>21.008745006180863</v>
      </c>
      <c r="K949" s="4">
        <v>23.141037489812749</v>
      </c>
      <c r="L949" s="4">
        <v>25.480627156168556</v>
      </c>
      <c r="M949" s="4">
        <v>28.016453090104079</v>
      </c>
      <c r="N949" s="4">
        <v>30.782244318159627</v>
      </c>
      <c r="O949"/>
      <c r="P949"/>
      <c r="Q949" s="11"/>
    </row>
    <row r="950" spans="1:17" x14ac:dyDescent="0.35">
      <c r="A950" s="43" t="s">
        <v>64</v>
      </c>
      <c r="B950" s="4">
        <v>16.767820559678842</v>
      </c>
      <c r="C950" s="4">
        <v>17.86010851657857</v>
      </c>
      <c r="D950" s="4">
        <v>18.955248599343005</v>
      </c>
      <c r="E950" s="4">
        <v>20.217082763398963</v>
      </c>
      <c r="F950" s="4">
        <v>21.902927828950592</v>
      </c>
      <c r="G950" s="4">
        <v>24.009154482960145</v>
      </c>
      <c r="H950" s="4">
        <v>26.499201352580243</v>
      </c>
      <c r="I950" s="4">
        <v>29.097663332865928</v>
      </c>
      <c r="J950" s="4">
        <v>31.634296323375978</v>
      </c>
      <c r="K950" s="4">
        <v>33.988396754244043</v>
      </c>
      <c r="L950" s="4">
        <v>36.288716512944482</v>
      </c>
      <c r="M950" s="4">
        <v>38.85363183785806</v>
      </c>
      <c r="N950" s="4">
        <v>41.450499056162265</v>
      </c>
      <c r="O950"/>
      <c r="P950"/>
      <c r="Q950" s="11"/>
    </row>
    <row r="951" spans="1:17" x14ac:dyDescent="0.35">
      <c r="A951" s="34" t="s">
        <v>65</v>
      </c>
      <c r="B951" s="4">
        <v>29.638146123135208</v>
      </c>
      <c r="C951" s="4">
        <v>32.283842539897712</v>
      </c>
      <c r="D951" s="4">
        <v>35.222781042339044</v>
      </c>
      <c r="E951" s="4">
        <v>38.443956772600039</v>
      </c>
      <c r="F951" s="4">
        <v>41.895568052700057</v>
      </c>
      <c r="G951" s="4">
        <v>45.634764062697108</v>
      </c>
      <c r="H951" s="4">
        <v>49.712154738043296</v>
      </c>
      <c r="I951" s="4">
        <v>54.225465715776288</v>
      </c>
      <c r="J951" s="4">
        <v>59.231014534513868</v>
      </c>
      <c r="K951" s="4">
        <v>64.768846176008992</v>
      </c>
      <c r="L951" s="4">
        <v>70.798911893518934</v>
      </c>
      <c r="M951" s="4">
        <v>77.27841141470175</v>
      </c>
      <c r="N951" s="4">
        <v>84.289128148577163</v>
      </c>
      <c r="O951"/>
      <c r="P951"/>
      <c r="Q951" s="11"/>
    </row>
    <row r="952" spans="1:17" x14ac:dyDescent="0.35">
      <c r="A952" s="34" t="s">
        <v>66</v>
      </c>
      <c r="B952" s="4">
        <v>18.253239505526878</v>
      </c>
      <c r="C952" s="4">
        <v>19.760555303456087</v>
      </c>
      <c r="D952" s="4">
        <v>21.427273935315593</v>
      </c>
      <c r="E952" s="4">
        <v>23.243511385554061</v>
      </c>
      <c r="F952" s="4">
        <v>25.174915332115731</v>
      </c>
      <c r="G952" s="4">
        <v>27.253401343544635</v>
      </c>
      <c r="H952" s="4">
        <v>29.506160357030126</v>
      </c>
      <c r="I952" s="4">
        <v>31.987636551537165</v>
      </c>
      <c r="J952" s="4">
        <v>34.726460214839364</v>
      </c>
      <c r="K952" s="4">
        <v>37.740955321471475</v>
      </c>
      <c r="L952" s="4">
        <v>41.002254009066405</v>
      </c>
      <c r="M952" s="4">
        <v>44.480522517679645</v>
      </c>
      <c r="N952" s="4">
        <v>48.218293833468721</v>
      </c>
      <c r="O952"/>
      <c r="P952"/>
      <c r="Q952" s="11"/>
    </row>
    <row r="953" spans="1:17" x14ac:dyDescent="0.35">
      <c r="A953" s="34" t="s">
        <v>67</v>
      </c>
      <c r="B953" s="4">
        <v>12.192403178668723</v>
      </c>
      <c r="C953" s="4">
        <v>13.105741241026742</v>
      </c>
      <c r="D953" s="4">
        <v>14.110665520751665</v>
      </c>
      <c r="E953" s="4">
        <v>15.198531700780217</v>
      </c>
      <c r="F953" s="4">
        <v>16.344907715627375</v>
      </c>
      <c r="G953" s="4">
        <v>17.569046844233277</v>
      </c>
      <c r="H953" s="4">
        <v>18.8865878142675</v>
      </c>
      <c r="I953" s="4">
        <v>20.330140868096283</v>
      </c>
      <c r="J953" s="4">
        <v>21.91495165297955</v>
      </c>
      <c r="K953" s="4">
        <v>23.64928552596367</v>
      </c>
      <c r="L953" s="4">
        <v>25.511552192438153</v>
      </c>
      <c r="M953" s="4">
        <v>27.480115067905103</v>
      </c>
      <c r="N953" s="4">
        <v>29.57860862709423</v>
      </c>
      <c r="O953"/>
      <c r="P953"/>
      <c r="Q953" s="11"/>
    </row>
    <row r="954" spans="1:17" x14ac:dyDescent="0.35">
      <c r="A954" s="34" t="s">
        <v>68</v>
      </c>
      <c r="B954" s="4">
        <v>19.915193800132393</v>
      </c>
      <c r="C954" s="4">
        <v>21.812827980184434</v>
      </c>
      <c r="D954" s="4">
        <v>23.927634369838415</v>
      </c>
      <c r="E954" s="4">
        <v>26.287355740623891</v>
      </c>
      <c r="F954" s="4">
        <v>28.932365381685241</v>
      </c>
      <c r="G954" s="4">
        <v>31.920666442909393</v>
      </c>
      <c r="H954" s="4">
        <v>35.292097975863129</v>
      </c>
      <c r="I954" s="4">
        <v>39.090201213208424</v>
      </c>
      <c r="J954" s="4">
        <v>43.310082906893079</v>
      </c>
      <c r="K954" s="4">
        <v>47.956637639364708</v>
      </c>
      <c r="L954" s="4">
        <v>53.005788206509422</v>
      </c>
      <c r="M954" s="4">
        <v>58.462862206108326</v>
      </c>
      <c r="N954" s="4">
        <v>64.390081451426113</v>
      </c>
      <c r="O954"/>
      <c r="P954"/>
      <c r="Q954" s="11"/>
    </row>
    <row r="955" spans="1:17" x14ac:dyDescent="0.35">
      <c r="A955" s="34" t="s">
        <v>69</v>
      </c>
      <c r="B955" s="4">
        <v>22.553335510139071</v>
      </c>
      <c r="C955" s="4">
        <v>23.999040612274502</v>
      </c>
      <c r="D955" s="4">
        <v>25.562559590154695</v>
      </c>
      <c r="E955" s="4">
        <v>27.26415424909581</v>
      </c>
      <c r="F955" s="4">
        <v>29.120237884163714</v>
      </c>
      <c r="G955" s="4">
        <v>31.14913332219302</v>
      </c>
      <c r="H955" s="4">
        <v>33.366853415004783</v>
      </c>
      <c r="I955" s="4">
        <v>35.765745539415086</v>
      </c>
      <c r="J955" s="4">
        <v>38.336508637495548</v>
      </c>
      <c r="K955" s="4">
        <v>41.074435992416106</v>
      </c>
      <c r="L955" s="4">
        <v>43.973868294742573</v>
      </c>
      <c r="M955" s="4">
        <v>47.054413237284486</v>
      </c>
      <c r="N955" s="4">
        <v>50.305120439785782</v>
      </c>
      <c r="O955"/>
      <c r="P955"/>
      <c r="Q955" s="11"/>
    </row>
    <row r="956" spans="1:17" x14ac:dyDescent="0.35">
      <c r="A956" s="3" t="s">
        <v>70</v>
      </c>
      <c r="O956"/>
      <c r="P956"/>
      <c r="Q956" s="11"/>
    </row>
    <row r="957" spans="1:17" x14ac:dyDescent="0.35">
      <c r="A957" s="34" t="s">
        <v>71</v>
      </c>
      <c r="B957" s="4">
        <v>4.2013681668010694</v>
      </c>
      <c r="C957" s="4">
        <v>4.7022715250235114</v>
      </c>
      <c r="D957" s="4">
        <v>5.2707316376581979</v>
      </c>
      <c r="E957" s="4">
        <v>5.9166977492291082</v>
      </c>
      <c r="F957" s="4">
        <v>6.6536650542407436</v>
      </c>
      <c r="G957" s="4">
        <v>7.5001700500825992</v>
      </c>
      <c r="H957" s="4">
        <v>8.4718710814489953</v>
      </c>
      <c r="I957" s="4">
        <v>9.5864067198591609</v>
      </c>
      <c r="J957" s="4">
        <v>10.85076301508826</v>
      </c>
      <c r="K957" s="4">
        <v>12.274642094434357</v>
      </c>
      <c r="L957" s="4">
        <v>13.86081880807836</v>
      </c>
      <c r="M957" s="4">
        <v>15.619625499356417</v>
      </c>
      <c r="N957" s="4">
        <v>17.577115483465029</v>
      </c>
      <c r="O957"/>
      <c r="P957"/>
      <c r="Q957" s="11"/>
    </row>
    <row r="958" spans="1:17" x14ac:dyDescent="0.35">
      <c r="A958" s="34" t="s">
        <v>72</v>
      </c>
      <c r="B958" s="4">
        <v>3.282892822145778</v>
      </c>
      <c r="C958" s="4">
        <v>3.7264407631295384</v>
      </c>
      <c r="D958" s="4">
        <v>4.2305991277325727</v>
      </c>
      <c r="E958" s="4">
        <v>4.814536174842325</v>
      </c>
      <c r="F958" s="4">
        <v>5.4886264260662943</v>
      </c>
      <c r="G958" s="4">
        <v>6.2639664959180257</v>
      </c>
      <c r="H958" s="4">
        <v>7.1500953245972658</v>
      </c>
      <c r="I958" s="4">
        <v>8.155621184762273</v>
      </c>
      <c r="J958" s="4">
        <v>9.2946065116597669</v>
      </c>
      <c r="K958" s="4">
        <v>10.604899839155403</v>
      </c>
      <c r="L958" s="4">
        <v>12.114873598263012</v>
      </c>
      <c r="M958" s="4">
        <v>13.841220874706497</v>
      </c>
      <c r="N958" s="4">
        <v>15.802216698364715</v>
      </c>
      <c r="O958"/>
      <c r="P958"/>
      <c r="Q958" s="11"/>
    </row>
    <row r="959" spans="1:17" x14ac:dyDescent="0.35">
      <c r="A959" s="34" t="s">
        <v>73</v>
      </c>
      <c r="B959" s="4">
        <v>2.9608067693906821</v>
      </c>
      <c r="C959" s="4">
        <v>3.2566590251120182</v>
      </c>
      <c r="D959" s="4">
        <v>3.5885869999562479</v>
      </c>
      <c r="E959" s="4">
        <v>3.9531498248879635</v>
      </c>
      <c r="F959" s="4">
        <v>4.3494775451846106</v>
      </c>
      <c r="G959" s="4">
        <v>4.773940963952815</v>
      </c>
      <c r="H959" s="4">
        <v>5.24141887697626</v>
      </c>
      <c r="I959" s="4">
        <v>5.7651563981022811</v>
      </c>
      <c r="J959" s="4">
        <v>6.3604444538736118</v>
      </c>
      <c r="K959" s="4">
        <v>7.0341608684883523</v>
      </c>
      <c r="L959" s="4">
        <v>7.7815839672636686</v>
      </c>
      <c r="M959" s="4">
        <v>8.5980499478287236</v>
      </c>
      <c r="N959" s="4">
        <v>9.488958363536053</v>
      </c>
      <c r="O959"/>
      <c r="P959"/>
      <c r="Q959" s="11"/>
    </row>
    <row r="960" spans="1:17" x14ac:dyDescent="0.35">
      <c r="A960" s="34" t="s">
        <v>74</v>
      </c>
      <c r="B960" s="4">
        <v>3.474527622598619</v>
      </c>
      <c r="C960" s="4">
        <v>3.8541113274840018</v>
      </c>
      <c r="D960" s="4">
        <v>4.2819767367791259</v>
      </c>
      <c r="E960" s="4">
        <v>4.7591279522109344</v>
      </c>
      <c r="F960" s="4">
        <v>5.2815084477241694</v>
      </c>
      <c r="G960" s="4">
        <v>5.8584148552612811</v>
      </c>
      <c r="H960" s="4">
        <v>6.498911374579535</v>
      </c>
      <c r="I960" s="4">
        <v>7.2187948648911764</v>
      </c>
      <c r="J960" s="4">
        <v>8.0293998600223695</v>
      </c>
      <c r="K960" s="4">
        <v>8.9405476289116059</v>
      </c>
      <c r="L960" s="4">
        <v>9.9515653665002066</v>
      </c>
      <c r="M960" s="4">
        <v>11.061172237613338</v>
      </c>
      <c r="N960" s="4">
        <v>12.285657549666842</v>
      </c>
      <c r="O960"/>
      <c r="P960"/>
      <c r="Q960" s="11"/>
    </row>
    <row r="961" spans="1:17" x14ac:dyDescent="0.35">
      <c r="A961" s="34" t="s">
        <v>75</v>
      </c>
      <c r="B961" s="4">
        <v>2.6565544758171717</v>
      </c>
      <c r="C961" s="4">
        <v>2.9589754756643565</v>
      </c>
      <c r="D961" s="4">
        <v>3.2989238289587632</v>
      </c>
      <c r="E961" s="4">
        <v>3.6826013659312884</v>
      </c>
      <c r="F961" s="4">
        <v>4.1164698195497209</v>
      </c>
      <c r="G961" s="4">
        <v>4.6080215612897746</v>
      </c>
      <c r="H961" s="4">
        <v>5.1652917309190336</v>
      </c>
      <c r="I961" s="4">
        <v>5.7935586634061274</v>
      </c>
      <c r="J961" s="4">
        <v>6.4981466638952519</v>
      </c>
      <c r="K961" s="4">
        <v>7.2854376116412656</v>
      </c>
      <c r="L961" s="4">
        <v>8.162077256590365</v>
      </c>
      <c r="M961" s="4">
        <v>9.1398283554947852</v>
      </c>
      <c r="N961" s="4">
        <v>10.225840637199182</v>
      </c>
      <c r="O961"/>
      <c r="P961"/>
      <c r="Q961" s="11"/>
    </row>
    <row r="962" spans="1:17" x14ac:dyDescent="0.35">
      <c r="A962" s="3" t="s">
        <v>76</v>
      </c>
      <c r="O962"/>
      <c r="P962"/>
      <c r="Q962" s="11"/>
    </row>
    <row r="963" spans="1:17" x14ac:dyDescent="0.35">
      <c r="A963" s="34" t="s">
        <v>77</v>
      </c>
      <c r="B963" s="4">
        <v>2.9655407191498262</v>
      </c>
      <c r="C963" s="4">
        <v>3.2594876919691456</v>
      </c>
      <c r="D963" s="4">
        <v>3.5831685007213596</v>
      </c>
      <c r="E963" s="4">
        <v>3.9487915454954257</v>
      </c>
      <c r="F963" s="4">
        <v>4.3595585087322366</v>
      </c>
      <c r="G963" s="4">
        <v>4.8185112106624706</v>
      </c>
      <c r="H963" s="4">
        <v>5.3267508549968428</v>
      </c>
      <c r="I963" s="4">
        <v>5.8841586358599507</v>
      </c>
      <c r="J963" s="4">
        <v>6.4941603941852728</v>
      </c>
      <c r="K963" s="4">
        <v>7.1759531415315614</v>
      </c>
      <c r="L963" s="4">
        <v>7.9394496981195379</v>
      </c>
      <c r="M963" s="4">
        <v>8.7850817959414265</v>
      </c>
      <c r="N963" s="4">
        <v>9.7135766537215709</v>
      </c>
      <c r="O963"/>
      <c r="P963"/>
      <c r="Q963" s="11"/>
    </row>
    <row r="964" spans="1:17" x14ac:dyDescent="0.35">
      <c r="A964" s="34" t="s">
        <v>78</v>
      </c>
      <c r="B964" s="4">
        <v>2.9357290946079644</v>
      </c>
      <c r="C964" s="4">
        <v>3.1938202181440269</v>
      </c>
      <c r="D964" s="4">
        <v>3.4802469917838676</v>
      </c>
      <c r="E964" s="4">
        <v>3.7938127200986296</v>
      </c>
      <c r="F964" s="4">
        <v>4.1293001367921534</v>
      </c>
      <c r="G964" s="4">
        <v>4.4922557379527435</v>
      </c>
      <c r="H964" s="4">
        <v>4.887554286193696</v>
      </c>
      <c r="I964" s="4">
        <v>5.3246780526331534</v>
      </c>
      <c r="J964" s="4">
        <v>5.8089955371445816</v>
      </c>
      <c r="K964" s="4">
        <v>6.3442519744106951</v>
      </c>
      <c r="L964" s="4">
        <v>6.9263278416957794</v>
      </c>
      <c r="M964" s="4">
        <v>7.5508538585460077</v>
      </c>
      <c r="N964" s="4">
        <v>8.2256544957970519</v>
      </c>
      <c r="O964"/>
      <c r="P964"/>
      <c r="Q964" s="11"/>
    </row>
    <row r="965" spans="1:17" x14ac:dyDescent="0.35">
      <c r="A965" s="34" t="s">
        <v>79</v>
      </c>
      <c r="B965" s="4">
        <v>1.7534403807196237</v>
      </c>
      <c r="C965" s="4">
        <v>1.9678065759434908</v>
      </c>
      <c r="D965" s="4">
        <v>2.2009472860072368</v>
      </c>
      <c r="E965" s="4">
        <v>2.4578547748561497</v>
      </c>
      <c r="F965" s="4">
        <v>2.7477499051516556</v>
      </c>
      <c r="G965" s="4">
        <v>3.0812152284635368</v>
      </c>
      <c r="H965" s="4">
        <v>3.4685344450240141</v>
      </c>
      <c r="I965" s="4">
        <v>3.9121201566943875</v>
      </c>
      <c r="J965" s="4">
        <v>4.40965823662125</v>
      </c>
      <c r="K965" s="4">
        <v>4.9660435106544547</v>
      </c>
      <c r="L965" s="4">
        <v>5.5921655642758292</v>
      </c>
      <c r="M965" s="4">
        <v>6.3012709053382405</v>
      </c>
      <c r="N965" s="4">
        <v>7.0980695310268986</v>
      </c>
      <c r="O965"/>
      <c r="P965"/>
      <c r="Q965" s="11"/>
    </row>
    <row r="966" spans="1:17" x14ac:dyDescent="0.35">
      <c r="A966" s="34" t="s">
        <v>80</v>
      </c>
      <c r="B966" s="4">
        <v>1.373719601686316</v>
      </c>
      <c r="C966" s="4">
        <v>1.4798457936012883</v>
      </c>
      <c r="D966" s="4">
        <v>1.5885810925577262</v>
      </c>
      <c r="E966" s="4">
        <v>1.7025234549778556</v>
      </c>
      <c r="F966" s="4">
        <v>1.8267164173913242</v>
      </c>
      <c r="G966" s="4">
        <v>1.9662034158942667</v>
      </c>
      <c r="H966" s="4">
        <v>2.1248827078493226</v>
      </c>
      <c r="I966" s="4">
        <v>2.301011075316544</v>
      </c>
      <c r="J966" s="4">
        <v>2.4901050119263486</v>
      </c>
      <c r="K966" s="4">
        <v>2.6922373923032623</v>
      </c>
      <c r="L966" s="4">
        <v>2.9105257824826731</v>
      </c>
      <c r="M966" s="4">
        <v>3.1486165489114719</v>
      </c>
      <c r="N966" s="4">
        <v>3.4050728257391651</v>
      </c>
      <c r="O966"/>
      <c r="P966"/>
      <c r="Q966" s="11"/>
    </row>
    <row r="967" spans="1:17" x14ac:dyDescent="0.35">
      <c r="A967" s="34" t="s">
        <v>81</v>
      </c>
      <c r="B967" s="4">
        <v>1.5965707509068794</v>
      </c>
      <c r="C967" s="4">
        <v>1.7466026261592551</v>
      </c>
      <c r="D967" s="4">
        <v>1.9129164493991893</v>
      </c>
      <c r="E967" s="4">
        <v>2.093632208576544</v>
      </c>
      <c r="F967" s="4">
        <v>2.28723316127149</v>
      </c>
      <c r="G967" s="4">
        <v>2.4975930347707562</v>
      </c>
      <c r="H967" s="4">
        <v>2.7285487819144412</v>
      </c>
      <c r="I967" s="4">
        <v>2.9890469602747856</v>
      </c>
      <c r="J967" s="4">
        <v>3.2841296485375375</v>
      </c>
      <c r="K967" s="4">
        <v>3.6108063891771121</v>
      </c>
      <c r="L967" s="4">
        <v>3.9726862041425584</v>
      </c>
      <c r="M967" s="4">
        <v>4.3668614088859892</v>
      </c>
      <c r="N967" s="4">
        <v>4.7935969091765278</v>
      </c>
      <c r="O967"/>
      <c r="P967"/>
      <c r="Q967" s="11"/>
    </row>
    <row r="968" spans="1:17" x14ac:dyDescent="0.35">
      <c r="A968" s="2" t="s">
        <v>84</v>
      </c>
      <c r="O968"/>
      <c r="P968"/>
      <c r="Q968" s="11"/>
    </row>
    <row r="969" spans="1:17" x14ac:dyDescent="0.35">
      <c r="A969" s="3" t="s">
        <v>85</v>
      </c>
      <c r="B969" s="4">
        <v>11.025404749815022</v>
      </c>
      <c r="C969" s="4">
        <v>11.827727955656028</v>
      </c>
      <c r="D969" s="4">
        <v>12.709345018497391</v>
      </c>
      <c r="E969" s="4">
        <v>13.661977788594781</v>
      </c>
      <c r="F969" s="4">
        <v>14.663219705637118</v>
      </c>
      <c r="G969" s="4">
        <v>15.730030636577391</v>
      </c>
      <c r="H969" s="4">
        <v>16.875997314265195</v>
      </c>
      <c r="I969" s="4">
        <v>18.12976063345485</v>
      </c>
      <c r="J969" s="4">
        <v>19.504245592547846</v>
      </c>
      <c r="K969" s="4">
        <v>21.006058538114104</v>
      </c>
      <c r="L969" s="4">
        <v>22.615230640851333</v>
      </c>
      <c r="M969" s="4">
        <v>24.311906063335652</v>
      </c>
      <c r="N969" s="4">
        <v>26.116434472484279</v>
      </c>
      <c r="O969"/>
      <c r="P969"/>
      <c r="Q969" s="11"/>
    </row>
    <row r="970" spans="1:17" x14ac:dyDescent="0.35">
      <c r="A970" s="3" t="s">
        <v>86</v>
      </c>
      <c r="B970" s="4">
        <v>28.771496045544719</v>
      </c>
      <c r="C970" s="4">
        <v>30.885417370043069</v>
      </c>
      <c r="D970" s="4">
        <v>33.16031650942061</v>
      </c>
      <c r="E970" s="4">
        <v>35.693463809236853</v>
      </c>
      <c r="F970" s="4">
        <v>38.490951727297443</v>
      </c>
      <c r="G970" s="4">
        <v>41.555868272379911</v>
      </c>
      <c r="H970" s="4">
        <v>44.873206062738255</v>
      </c>
      <c r="I970" s="4">
        <v>48.41796522621992</v>
      </c>
      <c r="J970" s="4">
        <v>52.19555281724616</v>
      </c>
      <c r="K970" s="4">
        <v>56.336612560770114</v>
      </c>
      <c r="L970" s="4">
        <v>60.88570560945066</v>
      </c>
      <c r="M970" s="4">
        <v>65.809049169243693</v>
      </c>
      <c r="N970" s="4">
        <v>71.076526871738466</v>
      </c>
      <c r="O970"/>
      <c r="P970"/>
      <c r="Q970" s="11"/>
    </row>
    <row r="971" spans="1:17" x14ac:dyDescent="0.35">
      <c r="A971" s="3" t="s">
        <v>87</v>
      </c>
      <c r="B971" s="4">
        <v>50.617798849429533</v>
      </c>
      <c r="C971" s="4">
        <v>55.309902756333344</v>
      </c>
      <c r="D971" s="4">
        <v>60.703512240415392</v>
      </c>
      <c r="E971" s="4">
        <v>66.885938313174591</v>
      </c>
      <c r="F971" s="4">
        <v>74.003436951887295</v>
      </c>
      <c r="G971" s="4">
        <v>82.073696804776233</v>
      </c>
      <c r="H971" s="4">
        <v>91.149194741317132</v>
      </c>
      <c r="I971" s="4">
        <v>101.21214495165685</v>
      </c>
      <c r="J971" s="4">
        <v>112.3231046047737</v>
      </c>
      <c r="K971" s="4">
        <v>124.40504862304255</v>
      </c>
      <c r="L971" s="4">
        <v>137.37861761828253</v>
      </c>
      <c r="M971" s="4">
        <v>151.49200818918973</v>
      </c>
      <c r="N971" s="4">
        <v>166.81890137571042</v>
      </c>
      <c r="O971"/>
      <c r="P971"/>
      <c r="Q971" s="11"/>
    </row>
    <row r="972" spans="1:17" x14ac:dyDescent="0.35">
      <c r="A972" s="3" t="s">
        <v>88</v>
      </c>
      <c r="B972" s="4">
        <v>37.03739744658413</v>
      </c>
      <c r="C972" s="4">
        <v>40.576700535354611</v>
      </c>
      <c r="D972" s="4">
        <v>44.300955148400121</v>
      </c>
      <c r="E972" s="4">
        <v>48.28943659150427</v>
      </c>
      <c r="F972" s="4">
        <v>52.695945817133399</v>
      </c>
      <c r="G972" s="4">
        <v>57.684409892644055</v>
      </c>
      <c r="H972" s="4">
        <v>63.395687049507771</v>
      </c>
      <c r="I972" s="4">
        <v>69.810959195902726</v>
      </c>
      <c r="J972" s="4">
        <v>76.825861668907137</v>
      </c>
      <c r="K972" s="4">
        <v>84.468488281820285</v>
      </c>
      <c r="L972" s="4">
        <v>92.863498047792049</v>
      </c>
      <c r="M972" s="4">
        <v>102.15996825718447</v>
      </c>
      <c r="N972" s="4">
        <v>112.35104749086206</v>
      </c>
      <c r="O972"/>
      <c r="P972"/>
      <c r="Q972" s="11"/>
    </row>
    <row r="973" spans="1:17" x14ac:dyDescent="0.35">
      <c r="A973" s="3" t="s">
        <v>89</v>
      </c>
      <c r="B973" s="4">
        <v>11.724413717850437</v>
      </c>
      <c r="C973" s="4">
        <v>12.76847643589765</v>
      </c>
      <c r="D973" s="4">
        <v>13.92147386192288</v>
      </c>
      <c r="E973" s="4">
        <v>15.168146211671891</v>
      </c>
      <c r="F973" s="4">
        <v>16.496122168841758</v>
      </c>
      <c r="G973" s="4">
        <v>17.932114776396311</v>
      </c>
      <c r="H973" s="4">
        <v>19.502077048116792</v>
      </c>
      <c r="I973" s="4">
        <v>21.267996240170277</v>
      </c>
      <c r="J973" s="4">
        <v>23.262940956591301</v>
      </c>
      <c r="K973" s="4">
        <v>25.462459318693082</v>
      </c>
      <c r="L973" s="4">
        <v>27.889039676132622</v>
      </c>
      <c r="M973" s="4">
        <v>30.518984862872806</v>
      </c>
      <c r="N973" s="4">
        <v>33.351156228111009</v>
      </c>
      <c r="O973"/>
      <c r="P973"/>
      <c r="Q973" s="11"/>
    </row>
    <row r="974" spans="1:17" x14ac:dyDescent="0.35">
      <c r="A974" s="3" t="s">
        <v>90</v>
      </c>
      <c r="B974" s="4">
        <v>23.604556407650257</v>
      </c>
      <c r="C974" s="4">
        <v>25.594468843076434</v>
      </c>
      <c r="D974" s="4">
        <v>27.797379601217035</v>
      </c>
      <c r="E974" s="4">
        <v>30.201489882438032</v>
      </c>
      <c r="F974" s="4">
        <v>32.763131529782939</v>
      </c>
      <c r="G974" s="4">
        <v>35.52459981381412</v>
      </c>
      <c r="H974" s="4">
        <v>38.522300439242052</v>
      </c>
      <c r="I974" s="4">
        <v>41.828451219556563</v>
      </c>
      <c r="J974" s="4">
        <v>45.481973150951234</v>
      </c>
      <c r="K974" s="4">
        <v>49.50853422062228</v>
      </c>
      <c r="L974" s="4">
        <v>53.872057079376724</v>
      </c>
      <c r="M974" s="4">
        <v>58.534964445949917</v>
      </c>
      <c r="N974" s="4">
        <v>63.554671330468729</v>
      </c>
      <c r="O974"/>
      <c r="P974"/>
      <c r="Q974" s="11"/>
    </row>
    <row r="975" spans="1:17" x14ac:dyDescent="0.35">
      <c r="A975" s="2" t="s">
        <v>91</v>
      </c>
      <c r="O975"/>
      <c r="P975"/>
      <c r="Q975" s="11"/>
    </row>
    <row r="976" spans="1:17" x14ac:dyDescent="0.35">
      <c r="A976" s="3" t="s">
        <v>92</v>
      </c>
      <c r="B976" s="4">
        <v>61.797234886080048</v>
      </c>
      <c r="C976" s="4">
        <v>67.771375902740118</v>
      </c>
      <c r="D976" s="4">
        <v>74.335481106586471</v>
      </c>
      <c r="E976" s="4">
        <v>81.738658482275056</v>
      </c>
      <c r="F976" s="4">
        <v>90.041333504927934</v>
      </c>
      <c r="G976" s="4">
        <v>99.300053892005522</v>
      </c>
      <c r="H976" s="4">
        <v>109.5308286152754</v>
      </c>
      <c r="I976" s="4">
        <v>120.72438816571535</v>
      </c>
      <c r="J976" s="4">
        <v>132.94421709937328</v>
      </c>
      <c r="K976" s="4">
        <v>146.57604006765797</v>
      </c>
      <c r="L976" s="4">
        <v>161.81246421160105</v>
      </c>
      <c r="M976" s="4">
        <v>178.65108511204957</v>
      </c>
      <c r="N976" s="4">
        <v>197.09544391121918</v>
      </c>
      <c r="O976"/>
      <c r="P976"/>
      <c r="Q976" s="11"/>
    </row>
    <row r="977" spans="1:17" x14ac:dyDescent="0.35">
      <c r="A977" s="3" t="s">
        <v>93</v>
      </c>
      <c r="B977" s="4">
        <v>100.98383233079406</v>
      </c>
      <c r="C977" s="4">
        <v>109.19131799362103</v>
      </c>
      <c r="D977" s="4">
        <v>118.25750127328696</v>
      </c>
      <c r="E977" s="4">
        <v>128.16179411434535</v>
      </c>
      <c r="F977" s="4">
        <v>139.07147439565205</v>
      </c>
      <c r="G977" s="4">
        <v>151.20066630458251</v>
      </c>
      <c r="H977" s="4">
        <v>164.78763403991181</v>
      </c>
      <c r="I977" s="4">
        <v>179.94288930124583</v>
      </c>
      <c r="J977" s="4">
        <v>196.64946169164412</v>
      </c>
      <c r="K977" s="4">
        <v>214.61116147540446</v>
      </c>
      <c r="L977" s="4">
        <v>233.69168446028485</v>
      </c>
      <c r="M977" s="4">
        <v>254.17579587572672</v>
      </c>
      <c r="N977" s="4">
        <v>276.17329385815583</v>
      </c>
      <c r="O977"/>
      <c r="P977"/>
      <c r="Q977" s="11"/>
    </row>
    <row r="978" spans="1:17" x14ac:dyDescent="0.35">
      <c r="A978" s="2" t="s">
        <v>94</v>
      </c>
      <c r="O978"/>
      <c r="P978"/>
      <c r="Q978" s="11"/>
    </row>
    <row r="979" spans="1:17" x14ac:dyDescent="0.35">
      <c r="A979" s="3" t="s">
        <v>48</v>
      </c>
      <c r="B979" s="4">
        <v>10.113557695257104</v>
      </c>
      <c r="C979" s="4">
        <v>11.078836843343751</v>
      </c>
      <c r="D979" s="4">
        <v>12.147852566279791</v>
      </c>
      <c r="E979" s="4">
        <v>13.337228883914808</v>
      </c>
      <c r="F979" s="4">
        <v>14.663219705637118</v>
      </c>
      <c r="G979" s="4">
        <v>16.144432212092489</v>
      </c>
      <c r="H979" s="4">
        <v>17.79987118371989</v>
      </c>
      <c r="I979" s="4">
        <v>19.63747525773568</v>
      </c>
      <c r="J979" s="4">
        <v>21.66446064557562</v>
      </c>
      <c r="K979" s="4">
        <v>23.890716665553668</v>
      </c>
      <c r="L979" s="4">
        <v>26.325949237604789</v>
      </c>
      <c r="M979" s="4">
        <v>28.995307160996138</v>
      </c>
      <c r="N979" s="4">
        <v>31.907203421121189</v>
      </c>
      <c r="O979"/>
      <c r="P979"/>
      <c r="Q979" s="11"/>
    </row>
    <row r="980" spans="1:17" x14ac:dyDescent="0.35">
      <c r="A980" s="3" t="s">
        <v>95</v>
      </c>
      <c r="B980" s="4">
        <v>5.6664127790982146</v>
      </c>
      <c r="C980" s="4">
        <v>6.3030284752072818</v>
      </c>
      <c r="D980" s="4">
        <v>7.0237733523899113</v>
      </c>
      <c r="E980" s="4">
        <v>7.8245934133495316</v>
      </c>
      <c r="F980" s="4">
        <v>8.706286700222039</v>
      </c>
      <c r="G980" s="4">
        <v>9.6641144617943109</v>
      </c>
      <c r="H980" s="4">
        <v>10.730539635458523</v>
      </c>
      <c r="I980" s="4">
        <v>11.936104818576108</v>
      </c>
      <c r="J980" s="4">
        <v>13.316901036427582</v>
      </c>
      <c r="K980" s="4">
        <v>14.892942691128027</v>
      </c>
      <c r="L980" s="4">
        <v>16.660471582363094</v>
      </c>
      <c r="M980" s="4">
        <v>18.61556092922056</v>
      </c>
      <c r="N980" s="4">
        <v>20.775778109120097</v>
      </c>
      <c r="O980"/>
      <c r="P980"/>
      <c r="Q980" s="11"/>
    </row>
    <row r="981" spans="1:17" x14ac:dyDescent="0.35">
      <c r="A981" s="3" t="s">
        <v>96</v>
      </c>
      <c r="B981" s="4">
        <v>28.895235273109051</v>
      </c>
      <c r="C981" s="4">
        <v>31.56195296216535</v>
      </c>
      <c r="D981" s="4">
        <v>34.586110856965746</v>
      </c>
      <c r="E981" s="4">
        <v>38.207607604433349</v>
      </c>
      <c r="F981" s="4">
        <v>42.614982269507919</v>
      </c>
      <c r="G981" s="4">
        <v>47.776967267635484</v>
      </c>
      <c r="H981" s="4">
        <v>53.655536433550111</v>
      </c>
      <c r="I981" s="4">
        <v>59.94486907180999</v>
      </c>
      <c r="J981" s="4">
        <v>66.538859109138343</v>
      </c>
      <c r="K981" s="4">
        <v>73.621938996725078</v>
      </c>
      <c r="L981" s="4">
        <v>81.129952214162415</v>
      </c>
      <c r="M981" s="4">
        <v>89.423378446324818</v>
      </c>
      <c r="N981" s="4">
        <v>98.542775683638979</v>
      </c>
      <c r="O981"/>
      <c r="P981"/>
      <c r="Q981" s="11"/>
    </row>
    <row r="982" spans="1:17" x14ac:dyDescent="0.35">
      <c r="A982" s="3" t="s">
        <v>97</v>
      </c>
      <c r="B982" s="4">
        <v>12.260918356320078</v>
      </c>
      <c r="C982" s="4">
        <v>13.326738468322832</v>
      </c>
      <c r="D982" s="4">
        <v>14.508766797877724</v>
      </c>
      <c r="E982" s="4">
        <v>15.801688514516966</v>
      </c>
      <c r="F982" s="4">
        <v>17.183460592543497</v>
      </c>
      <c r="G982" s="4">
        <v>18.676910276507495</v>
      </c>
      <c r="H982" s="4">
        <v>20.301988136008205</v>
      </c>
      <c r="I982" s="4">
        <v>22.097709773076755</v>
      </c>
      <c r="J982" s="4">
        <v>24.085875556923984</v>
      </c>
      <c r="K982" s="4">
        <v>26.28147461556042</v>
      </c>
      <c r="L982" s="4">
        <v>28.666859536006971</v>
      </c>
      <c r="M982" s="4">
        <v>31.223410492949316</v>
      </c>
      <c r="N982" s="4">
        <v>33.982994769822092</v>
      </c>
      <c r="O982"/>
      <c r="P982"/>
      <c r="Q982" s="11"/>
    </row>
    <row r="983" spans="1:17" x14ac:dyDescent="0.35">
      <c r="A983" s="3" t="s">
        <v>98</v>
      </c>
      <c r="B983" s="4">
        <v>61.809330670723696</v>
      </c>
      <c r="C983" s="4">
        <v>67.508896908325553</v>
      </c>
      <c r="D983" s="4">
        <v>73.818418059740225</v>
      </c>
      <c r="E983" s="4">
        <v>80.662276296059218</v>
      </c>
      <c r="F983" s="4">
        <v>87.97931823382271</v>
      </c>
      <c r="G983" s="4">
        <v>95.916114522401301</v>
      </c>
      <c r="H983" s="4">
        <v>104.61686367919177</v>
      </c>
      <c r="I983" s="4">
        <v>114.4207263810744</v>
      </c>
      <c r="J983" s="4">
        <v>125.51519669739024</v>
      </c>
      <c r="K983" s="4">
        <v>137.7795462027027</v>
      </c>
      <c r="L983" s="4">
        <v>151.34560532740295</v>
      </c>
      <c r="M983" s="4">
        <v>166.09606109043295</v>
      </c>
      <c r="N983" s="4">
        <v>182.03498269272967</v>
      </c>
      <c r="O983"/>
      <c r="P983"/>
      <c r="Q983" s="11"/>
    </row>
    <row r="984" spans="1:17" x14ac:dyDescent="0.35">
      <c r="A984" s="3" t="s">
        <v>99</v>
      </c>
      <c r="B984" s="4">
        <v>21.684567022549867</v>
      </c>
      <c r="C984" s="4">
        <v>23.226549697896957</v>
      </c>
      <c r="D984" s="4">
        <v>24.790451599069026</v>
      </c>
      <c r="E984" s="4">
        <v>26.41623244432563</v>
      </c>
      <c r="F984" s="4">
        <v>28.180875371771336</v>
      </c>
      <c r="G984" s="4">
        <v>30.159580708485073</v>
      </c>
      <c r="H984" s="4">
        <v>32.408232405776531</v>
      </c>
      <c r="I984" s="4">
        <v>34.895355883748657</v>
      </c>
      <c r="J984" s="4">
        <v>37.548578468673711</v>
      </c>
      <c r="K984" s="4">
        <v>40.365821930548478</v>
      </c>
      <c r="L984" s="4">
        <v>43.390663863511861</v>
      </c>
      <c r="M984" s="4">
        <v>46.673532521259716</v>
      </c>
      <c r="N984" s="4">
        <v>50.18830722222981</v>
      </c>
      <c r="O984"/>
      <c r="P984"/>
      <c r="Q984" s="11"/>
    </row>
    <row r="985" spans="1:17" x14ac:dyDescent="0.35">
      <c r="A985" s="3" t="s">
        <v>100</v>
      </c>
      <c r="B985" s="4">
        <v>22.351045419816078</v>
      </c>
      <c r="C985" s="4">
        <v>23.956690541099423</v>
      </c>
      <c r="D985" s="4">
        <v>25.717609147551013</v>
      </c>
      <c r="E985" s="4">
        <v>27.650825440020938</v>
      </c>
      <c r="F985" s="4">
        <v>29.784665027075373</v>
      </c>
      <c r="G985" s="4">
        <v>32.162600747671874</v>
      </c>
      <c r="H985" s="4">
        <v>34.805431181482184</v>
      </c>
      <c r="I985" s="4">
        <v>37.73503628093961</v>
      </c>
      <c r="J985" s="4">
        <v>40.92380727688797</v>
      </c>
      <c r="K985" s="4">
        <v>44.354760440844096</v>
      </c>
      <c r="L985" s="4">
        <v>47.984646910833831</v>
      </c>
      <c r="M985" s="4">
        <v>51.799630346592792</v>
      </c>
      <c r="N985" s="4">
        <v>55.836695870713136</v>
      </c>
      <c r="O985"/>
      <c r="P985"/>
      <c r="Q985" s="11"/>
    </row>
    <row r="986" spans="1:17" x14ac:dyDescent="0.35">
      <c r="A986" s="1" t="s">
        <v>42</v>
      </c>
      <c r="O986"/>
      <c r="P986"/>
      <c r="Q986" s="11"/>
    </row>
    <row r="987" spans="1:17" x14ac:dyDescent="0.35">
      <c r="A987" s="2" t="s">
        <v>54</v>
      </c>
      <c r="O987"/>
      <c r="P987"/>
      <c r="Q987" s="11"/>
    </row>
    <row r="988" spans="1:17" x14ac:dyDescent="0.35">
      <c r="A988" s="3" t="s">
        <v>55</v>
      </c>
      <c r="B988" s="4">
        <v>16.19167620945742</v>
      </c>
      <c r="C988" s="4">
        <v>18.253620518849775</v>
      </c>
      <c r="D988" s="4">
        <v>20.60096210068146</v>
      </c>
      <c r="E988" s="4">
        <v>23.234711570088958</v>
      </c>
      <c r="F988" s="4">
        <v>26.158705806387957</v>
      </c>
      <c r="G988" s="4">
        <v>29.43759350787186</v>
      </c>
      <c r="H988" s="4">
        <v>33.142195283877491</v>
      </c>
      <c r="I988" s="4">
        <v>37.41243275739717</v>
      </c>
      <c r="J988" s="4">
        <v>42.354463420388434</v>
      </c>
      <c r="K988" s="4">
        <v>47.981082142008418</v>
      </c>
      <c r="L988" s="4">
        <v>54.391160156937538</v>
      </c>
      <c r="M988" s="4">
        <v>61.603207442178274</v>
      </c>
      <c r="N988" s="4">
        <v>69.679138142034901</v>
      </c>
      <c r="O988"/>
      <c r="P988"/>
      <c r="Q988" s="11"/>
    </row>
    <row r="989" spans="1:17" x14ac:dyDescent="0.35">
      <c r="A989" s="3" t="s">
        <v>56</v>
      </c>
      <c r="B989" s="4">
        <v>50.98122570179742</v>
      </c>
      <c r="C989" s="4">
        <v>56.016559540021184</v>
      </c>
      <c r="D989" s="4">
        <v>61.559494644564403</v>
      </c>
      <c r="E989" s="4">
        <v>67.819267765270453</v>
      </c>
      <c r="F989" s="4">
        <v>74.850158198476436</v>
      </c>
      <c r="G989" s="4">
        <v>82.703628966091642</v>
      </c>
      <c r="H989" s="4">
        <v>91.397766501378612</v>
      </c>
      <c r="I989" s="4">
        <v>100.92969779876003</v>
      </c>
      <c r="J989" s="4">
        <v>111.35735067030674</v>
      </c>
      <c r="K989" s="4">
        <v>123.00900847366299</v>
      </c>
      <c r="L989" s="4">
        <v>136.05338340634393</v>
      </c>
      <c r="M989" s="4">
        <v>150.49649646545927</v>
      </c>
      <c r="N989" s="4">
        <v>166.34941760226931</v>
      </c>
      <c r="O989"/>
      <c r="P989"/>
      <c r="Q989" s="11"/>
    </row>
    <row r="990" spans="1:17" x14ac:dyDescent="0.35">
      <c r="A990" s="3" t="s">
        <v>57</v>
      </c>
      <c r="B990" s="4">
        <v>112.99180549923659</v>
      </c>
      <c r="C990" s="4">
        <v>122.57704343430942</v>
      </c>
      <c r="D990" s="4">
        <v>133.17970431300213</v>
      </c>
      <c r="E990" s="4">
        <v>144.9214396148511</v>
      </c>
      <c r="F990" s="4">
        <v>157.98822318709557</v>
      </c>
      <c r="G990" s="4">
        <v>172.65446999632198</v>
      </c>
      <c r="H990" s="4">
        <v>189.08506349780643</v>
      </c>
      <c r="I990" s="4">
        <v>207.45743797758257</v>
      </c>
      <c r="J990" s="4">
        <v>227.6841093461955</v>
      </c>
      <c r="K990" s="4">
        <v>249.73104995656922</v>
      </c>
      <c r="L990" s="4">
        <v>273.41336164301697</v>
      </c>
      <c r="M990" s="4">
        <v>298.70353242364467</v>
      </c>
      <c r="N990" s="4">
        <v>325.86460443856885</v>
      </c>
      <c r="O990"/>
      <c r="P990"/>
      <c r="Q990" s="11"/>
    </row>
    <row r="991" spans="1:17" x14ac:dyDescent="0.35">
      <c r="A991" s="2" t="s">
        <v>47</v>
      </c>
      <c r="O991"/>
      <c r="P991"/>
      <c r="Q991" s="11"/>
    </row>
    <row r="992" spans="1:17" x14ac:dyDescent="0.35">
      <c r="A992" s="3" t="s">
        <v>82</v>
      </c>
      <c r="B992" s="4">
        <v>67.17290191125484</v>
      </c>
      <c r="C992" s="4">
        <v>74.270180058870963</v>
      </c>
      <c r="D992" s="4">
        <v>82.160456745245867</v>
      </c>
      <c r="E992" s="4">
        <v>91.053979335359415</v>
      </c>
      <c r="F992" s="4">
        <v>101.00886400486439</v>
      </c>
      <c r="G992" s="4">
        <v>112.1412224739635</v>
      </c>
      <c r="H992" s="4">
        <v>124.53996178525611</v>
      </c>
      <c r="I992" s="4">
        <v>138.3421305561572</v>
      </c>
      <c r="J992" s="4">
        <v>153.71181409069519</v>
      </c>
      <c r="K992" s="4">
        <v>170.99009061567142</v>
      </c>
      <c r="L992" s="4">
        <v>190.44454356328146</v>
      </c>
      <c r="M992" s="4">
        <v>212.09970390763755</v>
      </c>
      <c r="N992" s="4">
        <v>236.02855574430421</v>
      </c>
      <c r="O992"/>
      <c r="P992"/>
      <c r="Q992" s="11"/>
    </row>
    <row r="993" spans="1:17" x14ac:dyDescent="0.35">
      <c r="A993" s="3" t="s">
        <v>83</v>
      </c>
      <c r="B993" s="4">
        <v>112.99180549923659</v>
      </c>
      <c r="C993" s="4">
        <v>122.57704343430942</v>
      </c>
      <c r="D993" s="4">
        <v>133.17970431300213</v>
      </c>
      <c r="E993" s="4">
        <v>144.9214396148511</v>
      </c>
      <c r="F993" s="4">
        <v>157.98822318709557</v>
      </c>
      <c r="G993" s="4">
        <v>172.65446999632198</v>
      </c>
      <c r="H993" s="4">
        <v>189.08506349780643</v>
      </c>
      <c r="I993" s="4">
        <v>207.45743797758257</v>
      </c>
      <c r="J993" s="4">
        <v>227.6841093461955</v>
      </c>
      <c r="K993" s="4">
        <v>249.73104995656922</v>
      </c>
      <c r="L993" s="4">
        <v>273.41336164301697</v>
      </c>
      <c r="M993" s="4">
        <v>298.70353242364467</v>
      </c>
      <c r="N993" s="4">
        <v>325.86460443856885</v>
      </c>
      <c r="O993"/>
      <c r="P993"/>
      <c r="Q993" s="11"/>
    </row>
    <row r="994" spans="1:17" x14ac:dyDescent="0.35">
      <c r="A994" s="2" t="s">
        <v>59</v>
      </c>
      <c r="O994"/>
      <c r="P994"/>
      <c r="Q994" s="11"/>
    </row>
    <row r="995" spans="1:17" x14ac:dyDescent="0.35">
      <c r="A995" s="3" t="s">
        <v>60</v>
      </c>
      <c r="O995"/>
      <c r="P995"/>
      <c r="Q995" s="11"/>
    </row>
    <row r="996" spans="1:17" x14ac:dyDescent="0.35">
      <c r="A996" s="34" t="s">
        <v>61</v>
      </c>
      <c r="B996" s="4">
        <v>37.355147321981761</v>
      </c>
      <c r="C996" s="4">
        <v>40.615059074946117</v>
      </c>
      <c r="D996" s="4">
        <v>44.391595276428944</v>
      </c>
      <c r="E996" s="4">
        <v>48.831052549462413</v>
      </c>
      <c r="F996" s="4">
        <v>53.956863174701027</v>
      </c>
      <c r="G996" s="4">
        <v>59.780335791193892</v>
      </c>
      <c r="H996" s="4">
        <v>66.201962661019934</v>
      </c>
      <c r="I996" s="4">
        <v>73.328276676920439</v>
      </c>
      <c r="J996" s="4">
        <v>81.17988956387552</v>
      </c>
      <c r="K996" s="4">
        <v>89.912475258383211</v>
      </c>
      <c r="L996" s="4">
        <v>99.388440986682838</v>
      </c>
      <c r="M996" s="4">
        <v>109.31676869066945</v>
      </c>
      <c r="N996" s="4">
        <v>119.85826223988926</v>
      </c>
      <c r="O996"/>
      <c r="P996"/>
      <c r="Q996" s="11"/>
    </row>
    <row r="997" spans="1:17" x14ac:dyDescent="0.35">
      <c r="A997" s="43" t="s">
        <v>62</v>
      </c>
      <c r="B997" s="4">
        <v>6.391715159144427</v>
      </c>
      <c r="C997" s="4">
        <v>7.2115090971092242</v>
      </c>
      <c r="D997" s="4">
        <v>8.1454632366124571</v>
      </c>
      <c r="E997" s="4">
        <v>9.1942635909466421</v>
      </c>
      <c r="F997" s="4">
        <v>10.359717729542597</v>
      </c>
      <c r="G997" s="4">
        <v>11.667723617763654</v>
      </c>
      <c r="H997" s="4">
        <v>13.146710667004468</v>
      </c>
      <c r="I997" s="4">
        <v>14.852612523125618</v>
      </c>
      <c r="J997" s="4">
        <v>16.828141206888048</v>
      </c>
      <c r="K997" s="4">
        <v>19.079053764674157</v>
      </c>
      <c r="L997" s="4">
        <v>21.645355053496175</v>
      </c>
      <c r="M997" s="4">
        <v>24.535201183080574</v>
      </c>
      <c r="N997" s="4">
        <v>27.774064500076665</v>
      </c>
      <c r="O997"/>
      <c r="P997"/>
      <c r="Q997" s="11"/>
    </row>
    <row r="998" spans="1:17" x14ac:dyDescent="0.35">
      <c r="A998" s="43" t="s">
        <v>63</v>
      </c>
      <c r="B998" s="4">
        <v>13.576598315373536</v>
      </c>
      <c r="C998" s="4">
        <v>14.943507674443458</v>
      </c>
      <c r="D998" s="4">
        <v>16.450778792698109</v>
      </c>
      <c r="E998" s="4">
        <v>18.155070387747337</v>
      </c>
      <c r="F998" s="4">
        <v>20.071953100988775</v>
      </c>
      <c r="G998" s="4">
        <v>22.216349383242985</v>
      </c>
      <c r="H998" s="4">
        <v>24.594318653690056</v>
      </c>
      <c r="I998" s="4">
        <v>27.206322031416565</v>
      </c>
      <c r="J998" s="4">
        <v>30.069213146586431</v>
      </c>
      <c r="K998" s="4">
        <v>33.272965326332752</v>
      </c>
      <c r="L998" s="4">
        <v>36.865013236876592</v>
      </c>
      <c r="M998" s="4">
        <v>40.849036627814058</v>
      </c>
      <c r="N998" s="4">
        <v>45.230110754870523</v>
      </c>
      <c r="O998"/>
      <c r="P998"/>
      <c r="Q998" s="11"/>
    </row>
    <row r="999" spans="1:17" x14ac:dyDescent="0.35">
      <c r="A999" s="43" t="s">
        <v>64</v>
      </c>
      <c r="B999" s="4">
        <v>17.386833847463798</v>
      </c>
      <c r="C999" s="4">
        <v>18.460042303393436</v>
      </c>
      <c r="D999" s="4">
        <v>19.795353247118378</v>
      </c>
      <c r="E999" s="4">
        <v>21.481718570768436</v>
      </c>
      <c r="F999" s="4">
        <v>23.525192344169653</v>
      </c>
      <c r="G999" s="4">
        <v>25.896262790187251</v>
      </c>
      <c r="H999" s="4">
        <v>28.460933340325411</v>
      </c>
      <c r="I999" s="4">
        <v>31.269342122378255</v>
      </c>
      <c r="J999" s="4">
        <v>34.282535210401036</v>
      </c>
      <c r="K999" s="4">
        <v>37.560456167376302</v>
      </c>
      <c r="L999" s="4">
        <v>40.87807269631007</v>
      </c>
      <c r="M999" s="4">
        <v>43.932530879774816</v>
      </c>
      <c r="N999" s="4">
        <v>46.854086984942072</v>
      </c>
      <c r="O999"/>
      <c r="P999"/>
      <c r="Q999" s="11"/>
    </row>
    <row r="1000" spans="1:17" x14ac:dyDescent="0.35">
      <c r="A1000" s="34" t="s">
        <v>65</v>
      </c>
      <c r="B1000" s="4">
        <v>32.716229427318602</v>
      </c>
      <c r="C1000" s="4">
        <v>35.73027973461317</v>
      </c>
      <c r="D1000" s="4">
        <v>39.059437382452728</v>
      </c>
      <c r="E1000" s="4">
        <v>42.75412245665931</v>
      </c>
      <c r="F1000" s="4">
        <v>46.862932956513234</v>
      </c>
      <c r="G1000" s="4">
        <v>51.441371071547003</v>
      </c>
      <c r="H1000" s="4">
        <v>56.545502560200397</v>
      </c>
      <c r="I1000" s="4">
        <v>62.195524967620564</v>
      </c>
      <c r="J1000" s="4">
        <v>68.409060601404832</v>
      </c>
      <c r="K1000" s="4">
        <v>75.21191310221414</v>
      </c>
      <c r="L1000" s="4">
        <v>82.62894822274599</v>
      </c>
      <c r="M1000" s="4">
        <v>90.733149967661049</v>
      </c>
      <c r="N1000" s="4">
        <v>99.544197311290489</v>
      </c>
      <c r="O1000"/>
      <c r="P1000"/>
      <c r="Q1000" s="11"/>
    </row>
    <row r="1001" spans="1:17" x14ac:dyDescent="0.35">
      <c r="A1001" s="34" t="s">
        <v>66</v>
      </c>
      <c r="B1001" s="4">
        <v>20.48499211792068</v>
      </c>
      <c r="C1001" s="4">
        <v>22.325886054157632</v>
      </c>
      <c r="D1001" s="4">
        <v>24.371679425224315</v>
      </c>
      <c r="E1001" s="4">
        <v>26.615101918029978</v>
      </c>
      <c r="F1001" s="4">
        <v>29.020623619859116</v>
      </c>
      <c r="G1001" s="4">
        <v>31.628106142587686</v>
      </c>
      <c r="H1001" s="4">
        <v>34.472967112838838</v>
      </c>
      <c r="I1001" s="4">
        <v>37.623375065452869</v>
      </c>
      <c r="J1001" s="4">
        <v>41.118918660162521</v>
      </c>
      <c r="K1001" s="4">
        <v>44.987977392186359</v>
      </c>
      <c r="L1001" s="4">
        <v>49.20336112731809</v>
      </c>
      <c r="M1001" s="4">
        <v>53.73590878941193</v>
      </c>
      <c r="N1001" s="4">
        <v>58.643026147744472</v>
      </c>
      <c r="O1001"/>
      <c r="P1001"/>
      <c r="Q1001" s="11"/>
    </row>
    <row r="1002" spans="1:17" x14ac:dyDescent="0.35">
      <c r="A1002" s="34" t="s">
        <v>67</v>
      </c>
      <c r="B1002" s="4">
        <v>13.432090998743195</v>
      </c>
      <c r="C1002" s="4">
        <v>14.509156052993514</v>
      </c>
      <c r="D1002" s="4">
        <v>15.61778302038975</v>
      </c>
      <c r="E1002" s="4">
        <v>16.78376300576846</v>
      </c>
      <c r="F1002" s="4">
        <v>18.057276919023451</v>
      </c>
      <c r="G1002" s="4">
        <v>19.48905189680093</v>
      </c>
      <c r="H1002" s="4">
        <v>21.11901342814938</v>
      </c>
      <c r="I1002" s="4">
        <v>22.931443867370543</v>
      </c>
      <c r="J1002" s="4">
        <v>24.883138155636068</v>
      </c>
      <c r="K1002" s="4">
        <v>26.975948690953651</v>
      </c>
      <c r="L1002" s="4">
        <v>29.242251912987285</v>
      </c>
      <c r="M1002" s="4">
        <v>31.720084881097797</v>
      </c>
      <c r="N1002" s="4">
        <v>34.396682569703707</v>
      </c>
      <c r="O1002"/>
      <c r="P1002"/>
      <c r="Q1002" s="11"/>
    </row>
    <row r="1003" spans="1:17" x14ac:dyDescent="0.35">
      <c r="A1003" s="34" t="s">
        <v>68</v>
      </c>
      <c r="B1003" s="4">
        <v>22.640047482006914</v>
      </c>
      <c r="C1003" s="4">
        <v>25.093577278535129</v>
      </c>
      <c r="D1003" s="4">
        <v>27.718216360512212</v>
      </c>
      <c r="E1003" s="4">
        <v>30.568826379593894</v>
      </c>
      <c r="F1003" s="4">
        <v>33.749910431984304</v>
      </c>
      <c r="G1003" s="4">
        <v>37.3772165325977</v>
      </c>
      <c r="H1003" s="4">
        <v>41.556736931812843</v>
      </c>
      <c r="I1003" s="4">
        <v>46.294417649854516</v>
      </c>
      <c r="J1003" s="4">
        <v>51.539354586401906</v>
      </c>
      <c r="K1003" s="4">
        <v>57.326752270026631</v>
      </c>
      <c r="L1003" s="4">
        <v>63.758657245207388</v>
      </c>
      <c r="M1003" s="4">
        <v>70.958282154983394</v>
      </c>
      <c r="N1003" s="4">
        <v>78.945848003605263</v>
      </c>
      <c r="O1003"/>
      <c r="P1003"/>
      <c r="Q1003" s="11"/>
    </row>
    <row r="1004" spans="1:17" x14ac:dyDescent="0.35">
      <c r="A1004" s="34" t="s">
        <v>69</v>
      </c>
      <c r="B1004" s="4">
        <v>25.112198846101581</v>
      </c>
      <c r="C1004" s="4">
        <v>26.904936498890045</v>
      </c>
      <c r="D1004" s="4">
        <v>28.853842230193788</v>
      </c>
      <c r="E1004" s="4">
        <v>30.984796604246046</v>
      </c>
      <c r="F1004" s="4">
        <v>33.319975267245653</v>
      </c>
      <c r="G1004" s="4">
        <v>35.88429867753829</v>
      </c>
      <c r="H1004" s="4">
        <v>38.700654647609255</v>
      </c>
      <c r="I1004" s="4">
        <v>41.765048808078532</v>
      </c>
      <c r="J1004" s="4">
        <v>45.071391657628332</v>
      </c>
      <c r="K1004" s="4">
        <v>48.618770771469102</v>
      </c>
      <c r="L1004" s="4">
        <v>52.405065007185634</v>
      </c>
      <c r="M1004" s="4">
        <v>56.458151133372532</v>
      </c>
      <c r="N1004" s="4">
        <v>60.769945287699166</v>
      </c>
      <c r="O1004"/>
      <c r="P1004"/>
      <c r="Q1004" s="11"/>
    </row>
    <row r="1005" spans="1:17" x14ac:dyDescent="0.35">
      <c r="A1005" s="3" t="s">
        <v>70</v>
      </c>
      <c r="O1005"/>
      <c r="P1005"/>
      <c r="Q1005" s="11"/>
    </row>
    <row r="1006" spans="1:17" x14ac:dyDescent="0.35">
      <c r="A1006" s="34" t="s">
        <v>71</v>
      </c>
      <c r="B1006" s="4">
        <v>3.9401606941384659</v>
      </c>
      <c r="C1006" s="4">
        <v>4.4519650502820776</v>
      </c>
      <c r="D1006" s="4">
        <v>5.0349138307120009</v>
      </c>
      <c r="E1006" s="4">
        <v>5.7013278290061873</v>
      </c>
      <c r="F1006" s="4">
        <v>6.464567296311321</v>
      </c>
      <c r="G1006" s="4">
        <v>7.3402945180258143</v>
      </c>
      <c r="H1006" s="4">
        <v>8.3458379634164519</v>
      </c>
      <c r="I1006" s="4">
        <v>9.4949525413726299</v>
      </c>
      <c r="J1006" s="4">
        <v>10.802127172351341</v>
      </c>
      <c r="K1006" s="4">
        <v>12.284297321675913</v>
      </c>
      <c r="L1006" s="4">
        <v>13.95965902993793</v>
      </c>
      <c r="M1006" s="4">
        <v>15.856032166963637</v>
      </c>
      <c r="N1006" s="4">
        <v>17.994641114713051</v>
      </c>
      <c r="O1006"/>
      <c r="P1006"/>
      <c r="Q1006" s="11"/>
    </row>
    <row r="1007" spans="1:17" x14ac:dyDescent="0.35">
      <c r="A1007" s="34" t="s">
        <v>72</v>
      </c>
      <c r="B1007" s="4">
        <v>2.9041998943704792</v>
      </c>
      <c r="C1007" s="4">
        <v>3.3063132260181356</v>
      </c>
      <c r="D1007" s="4">
        <v>3.7696133889749914</v>
      </c>
      <c r="E1007" s="4">
        <v>4.3041165997308832</v>
      </c>
      <c r="F1007" s="4">
        <v>4.9230166333447754</v>
      </c>
      <c r="G1007" s="4">
        <v>5.6440379443579918</v>
      </c>
      <c r="H1007" s="4">
        <v>6.4838289158052689</v>
      </c>
      <c r="I1007" s="4">
        <v>7.4615422109948204</v>
      </c>
      <c r="J1007" s="4">
        <v>8.5891745979115282</v>
      </c>
      <c r="K1007" s="4">
        <v>9.8814953436234827</v>
      </c>
      <c r="L1007" s="4">
        <v>11.348494705435829</v>
      </c>
      <c r="M1007" s="4">
        <v>13.006803867446614</v>
      </c>
      <c r="N1007" s="4">
        <v>14.887039425802307</v>
      </c>
      <c r="O1007"/>
      <c r="P1007"/>
      <c r="Q1007" s="11"/>
    </row>
    <row r="1008" spans="1:17" x14ac:dyDescent="0.35">
      <c r="A1008" s="34" t="s">
        <v>73</v>
      </c>
      <c r="B1008" s="4">
        <v>2.7667485199647395</v>
      </c>
      <c r="C1008" s="4">
        <v>3.0621295867188767</v>
      </c>
      <c r="D1008" s="4">
        <v>3.3928735178671916</v>
      </c>
      <c r="E1008" s="4">
        <v>3.7567968038817434</v>
      </c>
      <c r="F1008" s="4">
        <v>4.152241301861503</v>
      </c>
      <c r="G1008" s="4">
        <v>4.5872345950816804</v>
      </c>
      <c r="H1008" s="4">
        <v>5.0700918738392469</v>
      </c>
      <c r="I1008" s="4">
        <v>5.6189855080310229</v>
      </c>
      <c r="J1008" s="4">
        <v>6.245564664090737</v>
      </c>
      <c r="K1008" s="4">
        <v>6.9466985135577399</v>
      </c>
      <c r="L1008" s="4">
        <v>7.7317524317669983</v>
      </c>
      <c r="M1008" s="4">
        <v>8.5977943905933554</v>
      </c>
      <c r="N1008" s="4">
        <v>9.547945955056452</v>
      </c>
      <c r="O1008"/>
      <c r="P1008"/>
      <c r="Q1008" s="11"/>
    </row>
    <row r="1009" spans="1:17" x14ac:dyDescent="0.35">
      <c r="A1009" s="34" t="s">
        <v>74</v>
      </c>
      <c r="B1009" s="4">
        <v>3.3143861046855192</v>
      </c>
      <c r="C1009" s="4">
        <v>3.7006283453397084</v>
      </c>
      <c r="D1009" s="4">
        <v>4.1384231422160767</v>
      </c>
      <c r="E1009" s="4">
        <v>4.6297366093171366</v>
      </c>
      <c r="F1009" s="4">
        <v>5.1716538370490568</v>
      </c>
      <c r="G1009" s="4">
        <v>5.774249131796827</v>
      </c>
      <c r="H1009" s="4">
        <v>6.4476237432809445</v>
      </c>
      <c r="I1009" s="4">
        <v>7.2088132048669777</v>
      </c>
      <c r="J1009" s="4">
        <v>8.0708316178466166</v>
      </c>
      <c r="K1009" s="4">
        <v>9.0454971469963663</v>
      </c>
      <c r="L1009" s="4">
        <v>10.134301930245075</v>
      </c>
      <c r="M1009" s="4">
        <v>11.338137846152787</v>
      </c>
      <c r="N1009" s="4">
        <v>12.675910334651958</v>
      </c>
      <c r="O1009"/>
      <c r="P1009"/>
      <c r="Q1009" s="11"/>
    </row>
    <row r="1010" spans="1:17" x14ac:dyDescent="0.35">
      <c r="A1010" s="34" t="s">
        <v>75</v>
      </c>
      <c r="B1010" s="4">
        <v>2.6044214513139452</v>
      </c>
      <c r="C1010" s="4">
        <v>2.9213307991841369</v>
      </c>
      <c r="D1010" s="4">
        <v>3.2773376464344279</v>
      </c>
      <c r="E1010" s="4">
        <v>3.685692106686385</v>
      </c>
      <c r="F1010" s="4">
        <v>4.152241301861503</v>
      </c>
      <c r="G1010" s="4">
        <v>4.6830449662235605</v>
      </c>
      <c r="H1010" s="4">
        <v>5.2826475480022435</v>
      </c>
      <c r="I1010" s="4">
        <v>5.954618946404274</v>
      </c>
      <c r="J1010" s="4">
        <v>6.7062638966295962</v>
      </c>
      <c r="K1010" s="4">
        <v>7.5616205399984375</v>
      </c>
      <c r="L1010" s="4">
        <v>8.5367440747244636</v>
      </c>
      <c r="M1010" s="4">
        <v>9.6385865904114585</v>
      </c>
      <c r="N1010" s="4">
        <v>10.874738847876845</v>
      </c>
      <c r="O1010"/>
      <c r="P1010"/>
      <c r="Q1010" s="11"/>
    </row>
    <row r="1011" spans="1:17" x14ac:dyDescent="0.35">
      <c r="A1011" s="3" t="s">
        <v>76</v>
      </c>
      <c r="O1011"/>
      <c r="P1011"/>
      <c r="Q1011" s="11"/>
    </row>
    <row r="1012" spans="1:17" x14ac:dyDescent="0.35">
      <c r="A1012" s="34" t="s">
        <v>77</v>
      </c>
      <c r="B1012" s="4">
        <v>3.7625452046097676</v>
      </c>
      <c r="C1012" s="4">
        <v>4.1726096729118014</v>
      </c>
      <c r="D1012" s="4">
        <v>4.632581158564264</v>
      </c>
      <c r="E1012" s="4">
        <v>5.1397835903984781</v>
      </c>
      <c r="F1012" s="4">
        <v>5.6922379823048939</v>
      </c>
      <c r="G1012" s="4">
        <v>6.3012273263817598</v>
      </c>
      <c r="H1012" s="4">
        <v>6.9785205722225712</v>
      </c>
      <c r="I1012" s="4">
        <v>7.7495488705936895</v>
      </c>
      <c r="J1012" s="4">
        <v>8.6309509772998201</v>
      </c>
      <c r="K1012" s="4">
        <v>9.6190733808664497</v>
      </c>
      <c r="L1012" s="4">
        <v>10.727536196545259</v>
      </c>
      <c r="M1012" s="4">
        <v>11.953006213573723</v>
      </c>
      <c r="N1012" s="4">
        <v>13.300539421853591</v>
      </c>
      <c r="O1012"/>
      <c r="P1012"/>
      <c r="Q1012" s="11"/>
    </row>
    <row r="1013" spans="1:17" x14ac:dyDescent="0.35">
      <c r="A1013" s="34" t="s">
        <v>78</v>
      </c>
      <c r="B1013" s="4">
        <v>3.613031570010607</v>
      </c>
      <c r="C1013" s="4">
        <v>3.9523170807075898</v>
      </c>
      <c r="D1013" s="4">
        <v>4.3284039487070318</v>
      </c>
      <c r="E1013" s="4">
        <v>4.7370314532524151</v>
      </c>
      <c r="F1013" s="4">
        <v>5.1747618020953601</v>
      </c>
      <c r="G1013" s="4">
        <v>5.6503537010163019</v>
      </c>
      <c r="H1013" s="4">
        <v>6.1724805479752174</v>
      </c>
      <c r="I1013" s="4">
        <v>6.7613725142882553</v>
      </c>
      <c r="J1013" s="4">
        <v>7.4284227956069158</v>
      </c>
      <c r="K1013" s="4">
        <v>8.1668529376082208</v>
      </c>
      <c r="L1013" s="4">
        <v>8.9848126403613744</v>
      </c>
      <c r="M1013" s="4">
        <v>9.875711140515806</v>
      </c>
      <c r="N1013" s="4">
        <v>10.840134047086691</v>
      </c>
      <c r="O1013"/>
      <c r="P1013"/>
      <c r="Q1013" s="11"/>
    </row>
    <row r="1014" spans="1:17" x14ac:dyDescent="0.35">
      <c r="A1014" s="34" t="s">
        <v>79</v>
      </c>
      <c r="B1014" s="4">
        <v>2.0761867878709772</v>
      </c>
      <c r="C1014" s="4">
        <v>2.3401263277307076</v>
      </c>
      <c r="D1014" s="4">
        <v>2.6400712884509177</v>
      </c>
      <c r="E1014" s="4">
        <v>2.9822017017645641</v>
      </c>
      <c r="F1014" s="4">
        <v>3.3731780635880857</v>
      </c>
      <c r="G1014" s="4">
        <v>3.8207937227518789</v>
      </c>
      <c r="H1014" s="4">
        <v>4.3336294689852428</v>
      </c>
      <c r="I1014" s="4">
        <v>4.9183224344106629</v>
      </c>
      <c r="J1014" s="4">
        <v>5.5818201591749732</v>
      </c>
      <c r="K1014" s="4">
        <v>6.3322609100246794</v>
      </c>
      <c r="L1014" s="4">
        <v>7.1783469879207216</v>
      </c>
      <c r="M1014" s="4">
        <v>8.1336374525647699</v>
      </c>
      <c r="N1014" s="4">
        <v>9.2081679173621449</v>
      </c>
      <c r="O1014"/>
      <c r="P1014"/>
      <c r="Q1014" s="11"/>
    </row>
    <row r="1015" spans="1:17" x14ac:dyDescent="0.35">
      <c r="A1015" s="34" t="s">
        <v>80</v>
      </c>
      <c r="B1015" s="4">
        <v>1.4918245177079055</v>
      </c>
      <c r="C1015" s="4">
        <v>1.6190157376455738</v>
      </c>
      <c r="D1015" s="4">
        <v>1.7590749024496364</v>
      </c>
      <c r="E1015" s="4">
        <v>1.9099311162113333</v>
      </c>
      <c r="F1015" s="4">
        <v>2.0699047208381436</v>
      </c>
      <c r="G1015" s="4">
        <v>2.2422425758087976</v>
      </c>
      <c r="H1015" s="4">
        <v>2.430050201044716</v>
      </c>
      <c r="I1015" s="4">
        <v>2.6408785247189117</v>
      </c>
      <c r="J1015" s="4">
        <v>2.8785809232794866</v>
      </c>
      <c r="K1015" s="4">
        <v>3.1398375734293267</v>
      </c>
      <c r="L1015" s="4">
        <v>3.4271604508811371</v>
      </c>
      <c r="M1015" s="4">
        <v>3.7373487495766731</v>
      </c>
      <c r="N1015" s="4">
        <v>4.0700058065964031</v>
      </c>
      <c r="O1015"/>
      <c r="P1015"/>
      <c r="Q1015" s="11"/>
    </row>
    <row r="1016" spans="1:17" x14ac:dyDescent="0.35">
      <c r="A1016" s="34" t="s">
        <v>81</v>
      </c>
      <c r="B1016" s="4">
        <v>1.9504964717463034</v>
      </c>
      <c r="C1016" s="4">
        <v>2.1418929725061431</v>
      </c>
      <c r="D1016" s="4">
        <v>2.3543145386696884</v>
      </c>
      <c r="E1016" s="4">
        <v>2.5911382262012617</v>
      </c>
      <c r="F1016" s="4">
        <v>2.8557018833785501</v>
      </c>
      <c r="G1016" s="4">
        <v>3.1518338765753744</v>
      </c>
      <c r="H1016" s="4">
        <v>3.483477106859993</v>
      </c>
      <c r="I1016" s="4">
        <v>3.8524467427610647</v>
      </c>
      <c r="J1016" s="4">
        <v>4.2604334075905257</v>
      </c>
      <c r="K1016" s="4">
        <v>4.7096694192269188</v>
      </c>
      <c r="L1016" s="4">
        <v>5.2023722563523886</v>
      </c>
      <c r="M1016" s="4">
        <v>5.7438322962872332</v>
      </c>
      <c r="N1016" s="4">
        <v>6.3360757519412685</v>
      </c>
      <c r="O1016"/>
      <c r="P1016"/>
      <c r="Q1016" s="11"/>
    </row>
    <row r="1017" spans="1:17" x14ac:dyDescent="0.35">
      <c r="A1017" s="2" t="s">
        <v>84</v>
      </c>
      <c r="O1017"/>
      <c r="P1017"/>
      <c r="Q1017" s="11"/>
    </row>
    <row r="1018" spans="1:17" x14ac:dyDescent="0.35">
      <c r="A1018" s="3" t="s">
        <v>85</v>
      </c>
      <c r="B1018" s="4">
        <v>10.799591979854574</v>
      </c>
      <c r="C1018" s="4">
        <v>11.605684892451984</v>
      </c>
      <c r="D1018" s="4">
        <v>12.484103765061008</v>
      </c>
      <c r="E1018" s="4">
        <v>13.446694808920244</v>
      </c>
      <c r="F1018" s="4">
        <v>14.503836882749757</v>
      </c>
      <c r="G1018" s="4">
        <v>15.667225625044038</v>
      </c>
      <c r="H1018" s="4">
        <v>16.947806532497502</v>
      </c>
      <c r="I1018" s="4">
        <v>18.344880485862866</v>
      </c>
      <c r="J1018" s="4">
        <v>19.85681495934039</v>
      </c>
      <c r="K1018" s="4">
        <v>21.484234224518538</v>
      </c>
      <c r="L1018" s="4">
        <v>23.227231838253434</v>
      </c>
      <c r="M1018" s="4">
        <v>25.099194203091812</v>
      </c>
      <c r="N1018" s="4">
        <v>27.097678530814783</v>
      </c>
      <c r="O1018"/>
      <c r="P1018"/>
      <c r="Q1018" s="11"/>
    </row>
    <row r="1019" spans="1:17" x14ac:dyDescent="0.35">
      <c r="A1019" s="3" t="s">
        <v>86</v>
      </c>
      <c r="B1019" s="4">
        <v>33.601312386008296</v>
      </c>
      <c r="C1019" s="4">
        <v>36.383409188950935</v>
      </c>
      <c r="D1019" s="4">
        <v>39.468622819581427</v>
      </c>
      <c r="E1019" s="4">
        <v>42.802297923818145</v>
      </c>
      <c r="F1019" s="4">
        <v>46.360478607360832</v>
      </c>
      <c r="G1019" s="4">
        <v>50.090825041066537</v>
      </c>
      <c r="H1019" s="4">
        <v>54.138026761091673</v>
      </c>
      <c r="I1019" s="4">
        <v>58.620507368973335</v>
      </c>
      <c r="J1019" s="4">
        <v>63.669526807764989</v>
      </c>
      <c r="K1019" s="4">
        <v>69.323206722192381</v>
      </c>
      <c r="L1019" s="4">
        <v>75.502025692000998</v>
      </c>
      <c r="M1019" s="4">
        <v>82.130897132791063</v>
      </c>
      <c r="N1019" s="4">
        <v>89.234555420931656</v>
      </c>
      <c r="O1019"/>
      <c r="P1019"/>
      <c r="Q1019" s="11"/>
    </row>
    <row r="1020" spans="1:17" x14ac:dyDescent="0.35">
      <c r="A1020" s="3" t="s">
        <v>87</v>
      </c>
      <c r="B1020" s="4">
        <v>62.3213084712701</v>
      </c>
      <c r="C1020" s="4">
        <v>68.289129209752076</v>
      </c>
      <c r="D1020" s="4">
        <v>75.120071721275991</v>
      </c>
      <c r="E1020" s="4">
        <v>83.139129139234257</v>
      </c>
      <c r="F1020" s="4">
        <v>92.461960127529721</v>
      </c>
      <c r="G1020" s="4">
        <v>103.25104850992324</v>
      </c>
      <c r="H1020" s="4">
        <v>115.35886251111637</v>
      </c>
      <c r="I1020" s="4">
        <v>128.80810625125741</v>
      </c>
      <c r="J1020" s="4">
        <v>143.55032233983752</v>
      </c>
      <c r="K1020" s="4">
        <v>159.87522135501985</v>
      </c>
      <c r="L1020" s="4">
        <v>177.72005979965644</v>
      </c>
      <c r="M1020" s="4">
        <v>197.02016417177862</v>
      </c>
      <c r="N1020" s="4">
        <v>218.07710438136826</v>
      </c>
      <c r="O1020"/>
      <c r="P1020"/>
      <c r="Q1020" s="11"/>
    </row>
    <row r="1021" spans="1:17" x14ac:dyDescent="0.35">
      <c r="A1021" s="3" t="s">
        <v>88</v>
      </c>
      <c r="B1021" s="4">
        <v>40.204833088332201</v>
      </c>
      <c r="C1021" s="4">
        <v>44.300014203535028</v>
      </c>
      <c r="D1021" s="4">
        <v>48.644993222144876</v>
      </c>
      <c r="E1021" s="4">
        <v>53.330925409380761</v>
      </c>
      <c r="F1021" s="4">
        <v>58.533341705382952</v>
      </c>
      <c r="G1021" s="4">
        <v>64.443027234900228</v>
      </c>
      <c r="H1021" s="4">
        <v>71.229309906328993</v>
      </c>
      <c r="I1021" s="4">
        <v>78.885878018942151</v>
      </c>
      <c r="J1021" s="4">
        <v>87.309464801952558</v>
      </c>
      <c r="K1021" s="4">
        <v>96.544845729357291</v>
      </c>
      <c r="L1021" s="4">
        <v>106.74808817688132</v>
      </c>
      <c r="M1021" s="4">
        <v>118.10679559816708</v>
      </c>
      <c r="N1021" s="4">
        <v>130.63246652538379</v>
      </c>
      <c r="O1021"/>
      <c r="P1021"/>
      <c r="Q1021" s="11"/>
    </row>
    <row r="1022" spans="1:17" x14ac:dyDescent="0.35">
      <c r="A1022" s="3" t="s">
        <v>89</v>
      </c>
      <c r="B1022" s="4">
        <v>10.433163708112188</v>
      </c>
      <c r="C1022" s="4">
        <v>11.427944908448055</v>
      </c>
      <c r="D1022" s="4">
        <v>12.531861428950782</v>
      </c>
      <c r="E1022" s="4">
        <v>13.733015171599163</v>
      </c>
      <c r="F1022" s="4">
        <v>15.021831057133678</v>
      </c>
      <c r="G1022" s="4">
        <v>16.424088808888623</v>
      </c>
      <c r="H1022" s="4">
        <v>17.965456549172011</v>
      </c>
      <c r="I1022" s="4">
        <v>19.705374925067463</v>
      </c>
      <c r="J1022" s="4">
        <v>21.677843368844488</v>
      </c>
      <c r="K1022" s="4">
        <v>23.864010323868907</v>
      </c>
      <c r="L1022" s="4">
        <v>26.288545832249156</v>
      </c>
      <c r="M1022" s="4">
        <v>28.933120731787572</v>
      </c>
      <c r="N1022" s="4">
        <v>31.800334872422663</v>
      </c>
      <c r="O1022"/>
      <c r="P1022"/>
      <c r="Q1022" s="11"/>
    </row>
    <row r="1023" spans="1:17" x14ac:dyDescent="0.35">
      <c r="A1023" s="3" t="s">
        <v>90</v>
      </c>
      <c r="B1023" s="4">
        <v>22.804497776914065</v>
      </c>
      <c r="C1023" s="4">
        <v>24.841041090042275</v>
      </c>
      <c r="D1023" s="4">
        <v>27.090508101233915</v>
      </c>
      <c r="E1023" s="4">
        <v>29.523356497257925</v>
      </c>
      <c r="F1023" s="4">
        <v>32.115638811803038</v>
      </c>
      <c r="G1023" s="4">
        <v>34.919477250462784</v>
      </c>
      <c r="H1023" s="4">
        <v>37.985563022855992</v>
      </c>
      <c r="I1023" s="4">
        <v>41.434821483636533</v>
      </c>
      <c r="J1023" s="4">
        <v>45.331951159150783</v>
      </c>
      <c r="K1023" s="4">
        <v>49.629622217283668</v>
      </c>
      <c r="L1023" s="4">
        <v>54.371953867257069</v>
      </c>
      <c r="M1023" s="4">
        <v>59.513064493666036</v>
      </c>
      <c r="N1023" s="4">
        <v>65.051020451951985</v>
      </c>
      <c r="O1023"/>
      <c r="P1023"/>
      <c r="Q1023" s="11"/>
    </row>
    <row r="1024" spans="1:17" x14ac:dyDescent="0.35">
      <c r="A1024" s="2" t="s">
        <v>91</v>
      </c>
      <c r="O1024"/>
      <c r="P1024"/>
      <c r="Q1024" s="11"/>
    </row>
    <row r="1025" spans="1:17" x14ac:dyDescent="0.35">
      <c r="A1025" s="3" t="s">
        <v>92</v>
      </c>
      <c r="B1025" s="4">
        <v>73.455412546444805</v>
      </c>
      <c r="C1025" s="4">
        <v>80.990361466704599</v>
      </c>
      <c r="D1025" s="4">
        <v>89.383081486001217</v>
      </c>
      <c r="E1025" s="4">
        <v>98.772132870811845</v>
      </c>
      <c r="F1025" s="4">
        <v>109.29677079500711</v>
      </c>
      <c r="G1025" s="4">
        <v>121.11721304131727</v>
      </c>
      <c r="H1025" s="4">
        <v>134.40059529913003</v>
      </c>
      <c r="I1025" s="4">
        <v>149.23457668059393</v>
      </c>
      <c r="J1025" s="4">
        <v>165.70331805850128</v>
      </c>
      <c r="K1025" s="4">
        <v>183.91331832041098</v>
      </c>
      <c r="L1025" s="4">
        <v>203.972124990259</v>
      </c>
      <c r="M1025" s="4">
        <v>226.10940741452836</v>
      </c>
      <c r="N1025" s="4">
        <v>250.42994611076989</v>
      </c>
      <c r="O1025"/>
      <c r="P1025"/>
      <c r="Q1025" s="11"/>
    </row>
    <row r="1026" spans="1:17" x14ac:dyDescent="0.35">
      <c r="A1026" s="3" t="s">
        <v>93</v>
      </c>
      <c r="B1026" s="4">
        <v>106.70929486404661</v>
      </c>
      <c r="C1026" s="4">
        <v>115.85686202647577</v>
      </c>
      <c r="D1026" s="4">
        <v>125.95707957224677</v>
      </c>
      <c r="E1026" s="4">
        <v>137.20328607939865</v>
      </c>
      <c r="F1026" s="4">
        <v>149.70031639695287</v>
      </c>
      <c r="G1026" s="4">
        <v>163.67847942896822</v>
      </c>
      <c r="H1026" s="4">
        <v>179.22442998393251</v>
      </c>
      <c r="I1026" s="4">
        <v>196.56499185314584</v>
      </c>
      <c r="J1026" s="4">
        <v>215.69260537838943</v>
      </c>
      <c r="K1026" s="4">
        <v>236.80782225182966</v>
      </c>
      <c r="L1026" s="4">
        <v>259.88578021603939</v>
      </c>
      <c r="M1026" s="4">
        <v>284.69382891675389</v>
      </c>
      <c r="N1026" s="4">
        <v>311.4632140721032</v>
      </c>
      <c r="O1026"/>
      <c r="P1026"/>
      <c r="Q1026" s="11"/>
    </row>
    <row r="1027" spans="1:17" x14ac:dyDescent="0.35">
      <c r="A1027" s="2" t="s">
        <v>94</v>
      </c>
      <c r="O1027"/>
      <c r="P1027"/>
      <c r="Q1027" s="11"/>
    </row>
    <row r="1028" spans="1:17" x14ac:dyDescent="0.35">
      <c r="A1028" s="3" t="s">
        <v>48</v>
      </c>
      <c r="B1028" s="4">
        <v>17.724136493582897</v>
      </c>
      <c r="C1028" s="4">
        <v>19.566109255766602</v>
      </c>
      <c r="D1028" s="4">
        <v>21.638640411601884</v>
      </c>
      <c r="E1028" s="4">
        <v>23.92349060014779</v>
      </c>
      <c r="F1028" s="4">
        <v>26.417702893579914</v>
      </c>
      <c r="G1028" s="4">
        <v>29.101509252899504</v>
      </c>
      <c r="H1028" s="4">
        <v>32.067667246377873</v>
      </c>
      <c r="I1028" s="4">
        <v>35.400284868454094</v>
      </c>
      <c r="J1028" s="4">
        <v>39.197244199138702</v>
      </c>
      <c r="K1028" s="4">
        <v>43.505983303764381</v>
      </c>
      <c r="L1028" s="4">
        <v>48.302860574220048</v>
      </c>
      <c r="M1028" s="4">
        <v>53.5642275252291</v>
      </c>
      <c r="N1028" s="4">
        <v>59.328766150549455</v>
      </c>
      <c r="O1028"/>
      <c r="P1028"/>
      <c r="Q1028" s="11"/>
    </row>
    <row r="1029" spans="1:17" x14ac:dyDescent="0.35">
      <c r="A1029" s="3" t="s">
        <v>95</v>
      </c>
      <c r="B1029" s="4">
        <v>19.92532180347288</v>
      </c>
      <c r="C1029" s="4">
        <v>22.122775013648283</v>
      </c>
      <c r="D1029" s="4">
        <v>24.599444440154098</v>
      </c>
      <c r="E1029" s="4">
        <v>27.394378855351214</v>
      </c>
      <c r="F1029" s="4">
        <v>30.561656288651275</v>
      </c>
      <c r="G1029" s="4">
        <v>34.176625076678967</v>
      </c>
      <c r="H1029" s="4">
        <v>38.298933927876092</v>
      </c>
      <c r="I1029" s="4">
        <v>42.995064413949017</v>
      </c>
      <c r="J1029" s="4">
        <v>48.281355711334854</v>
      </c>
      <c r="K1029" s="4">
        <v>54.185414870613513</v>
      </c>
      <c r="L1029" s="4">
        <v>60.7030778432134</v>
      </c>
      <c r="M1029" s="4">
        <v>67.863073824456052</v>
      </c>
      <c r="N1029" s="4">
        <v>75.761185469451576</v>
      </c>
      <c r="O1029"/>
      <c r="P1029"/>
      <c r="Q1029" s="11"/>
    </row>
    <row r="1030" spans="1:17" x14ac:dyDescent="0.35">
      <c r="A1030" s="3" t="s">
        <v>96</v>
      </c>
      <c r="B1030" s="4">
        <v>22.572590895921508</v>
      </c>
      <c r="C1030" s="4">
        <v>24.448528901512105</v>
      </c>
      <c r="D1030" s="4">
        <v>26.621633305937479</v>
      </c>
      <c r="E1030" s="4">
        <v>29.313880551593371</v>
      </c>
      <c r="F1030" s="4">
        <v>32.633632986186967</v>
      </c>
      <c r="G1030" s="4">
        <v>36.592279028168349</v>
      </c>
      <c r="H1030" s="4">
        <v>41.032014649279176</v>
      </c>
      <c r="I1030" s="4">
        <v>45.892805303102421</v>
      </c>
      <c r="J1030" s="4">
        <v>51.127378753759501</v>
      </c>
      <c r="K1030" s="4">
        <v>56.861845449019711</v>
      </c>
      <c r="L1030" s="4">
        <v>63.227726703716712</v>
      </c>
      <c r="M1030" s="4">
        <v>70.19152816115934</v>
      </c>
      <c r="N1030" s="4">
        <v>77.718818520634898</v>
      </c>
      <c r="O1030"/>
      <c r="P1030"/>
      <c r="Q1030" s="11"/>
    </row>
    <row r="1031" spans="1:17" x14ac:dyDescent="0.35">
      <c r="A1031" s="3" t="s">
        <v>97</v>
      </c>
      <c r="B1031" s="4">
        <v>29.168689177773675</v>
      </c>
      <c r="C1031" s="4">
        <v>31.619376095764906</v>
      </c>
      <c r="D1031" s="4">
        <v>34.328663114464419</v>
      </c>
      <c r="E1031" s="4">
        <v>37.32730818285426</v>
      </c>
      <c r="F1031" s="4">
        <v>40.662542689137716</v>
      </c>
      <c r="G1031" s="4">
        <v>44.40421737689546</v>
      </c>
      <c r="H1031" s="4">
        <v>48.593802299201634</v>
      </c>
      <c r="I1031" s="4">
        <v>53.275866599232884</v>
      </c>
      <c r="J1031" s="4">
        <v>58.426811373889635</v>
      </c>
      <c r="K1031" s="4">
        <v>64.036820905136693</v>
      </c>
      <c r="L1031" s="4">
        <v>70.057417149308293</v>
      </c>
      <c r="M1031" s="4">
        <v>76.48058885130439</v>
      </c>
      <c r="N1031" s="4">
        <v>83.372738424255786</v>
      </c>
      <c r="O1031"/>
      <c r="P1031"/>
      <c r="Q1031" s="11"/>
    </row>
    <row r="1032" spans="1:17" x14ac:dyDescent="0.35">
      <c r="A1032" s="3" t="s">
        <v>98</v>
      </c>
      <c r="B1032" s="4">
        <v>57.414500963608312</v>
      </c>
      <c r="C1032" s="4">
        <v>63.064476104246765</v>
      </c>
      <c r="D1032" s="4">
        <v>69.381929251518173</v>
      </c>
      <c r="E1032" s="4">
        <v>76.361172267178034</v>
      </c>
      <c r="F1032" s="4">
        <v>83.915056250195036</v>
      </c>
      <c r="G1032" s="4">
        <v>92.171505747527348</v>
      </c>
      <c r="H1032" s="4">
        <v>101.24934018214238</v>
      </c>
      <c r="I1032" s="4">
        <v>111.36709042644186</v>
      </c>
      <c r="J1032" s="4">
        <v>122.66529219841283</v>
      </c>
      <c r="K1032" s="4">
        <v>135.25512270004651</v>
      </c>
      <c r="L1032" s="4">
        <v>149.08380879650258</v>
      </c>
      <c r="M1032" s="4">
        <v>164.09057418106573</v>
      </c>
      <c r="N1032" s="4">
        <v>180.47672705568073</v>
      </c>
      <c r="O1032"/>
      <c r="P1032"/>
      <c r="Q1032" s="11"/>
    </row>
    <row r="1033" spans="1:17" x14ac:dyDescent="0.35">
      <c r="A1033" s="3" t="s">
        <v>99</v>
      </c>
      <c r="B1033" s="4">
        <v>13.305978380262989</v>
      </c>
      <c r="C1033" s="4">
        <v>14.317353941381548</v>
      </c>
      <c r="D1033" s="4">
        <v>15.35152414971277</v>
      </c>
      <c r="E1033" s="4">
        <v>16.433505029289954</v>
      </c>
      <c r="F1033" s="4">
        <v>17.611801929053279</v>
      </c>
      <c r="G1033" s="4">
        <v>18.934693064755862</v>
      </c>
      <c r="H1033" s="4">
        <v>20.439203635813129</v>
      </c>
      <c r="I1033" s="4">
        <v>22.107921483789184</v>
      </c>
      <c r="J1033" s="4">
        <v>23.89718441472418</v>
      </c>
      <c r="K1033" s="4">
        <v>25.80725587139947</v>
      </c>
      <c r="L1033" s="4">
        <v>27.867581927748606</v>
      </c>
      <c r="M1033" s="4">
        <v>30.112534050941989</v>
      </c>
      <c r="N1033" s="4">
        <v>32.527708276127441</v>
      </c>
      <c r="O1033"/>
      <c r="P1033"/>
      <c r="Q1033" s="11"/>
    </row>
    <row r="1034" spans="1:17" x14ac:dyDescent="0.35">
      <c r="A1034" s="3" t="s">
        <v>100</v>
      </c>
      <c r="B1034" s="4">
        <v>20.053489695869175</v>
      </c>
      <c r="C1034" s="4">
        <v>21.708604180860153</v>
      </c>
      <c r="D1034" s="4">
        <v>23.418326384859167</v>
      </c>
      <c r="E1034" s="4">
        <v>25.221683463795852</v>
      </c>
      <c r="F1034" s="4">
        <v>27.194694155155791</v>
      </c>
      <c r="G1034" s="4">
        <v>29.414862923359983</v>
      </c>
      <c r="H1034" s="4">
        <v>31.944063342372257</v>
      </c>
      <c r="I1034" s="4">
        <v>34.760535438770312</v>
      </c>
      <c r="J1034" s="4">
        <v>37.800656785631034</v>
      </c>
      <c r="K1034" s="4">
        <v>41.068697472260311</v>
      </c>
      <c r="L1034" s="4">
        <v>44.615432211588775</v>
      </c>
      <c r="M1034" s="4">
        <v>48.500709737125653</v>
      </c>
      <c r="N1034" s="4">
        <v>52.707216286173285</v>
      </c>
      <c r="O1034"/>
      <c r="P1034"/>
      <c r="Q1034" s="11"/>
    </row>
    <row r="1035" spans="1:17" x14ac:dyDescent="0.35">
      <c r="A1035" s="1" t="s">
        <v>41</v>
      </c>
      <c r="O1035"/>
      <c r="P1035"/>
      <c r="Q1035" s="11"/>
    </row>
    <row r="1036" spans="1:17" x14ac:dyDescent="0.35">
      <c r="A1036" s="2" t="s">
        <v>54</v>
      </c>
      <c r="O1036"/>
      <c r="P1036"/>
      <c r="Q1036" s="11"/>
    </row>
    <row r="1037" spans="1:17" x14ac:dyDescent="0.35">
      <c r="A1037" s="3" t="s">
        <v>55</v>
      </c>
      <c r="B1037" s="4">
        <v>7.1632279396392997</v>
      </c>
      <c r="C1037" s="4">
        <v>7.9134958758915515</v>
      </c>
      <c r="D1037" s="4">
        <v>8.71245534457384</v>
      </c>
      <c r="E1037" s="4">
        <v>9.5768184903073887</v>
      </c>
      <c r="F1037" s="4">
        <v>10.538623964454464</v>
      </c>
      <c r="G1037" s="4">
        <v>11.632992580638529</v>
      </c>
      <c r="H1037" s="4">
        <v>12.891537853647597</v>
      </c>
      <c r="I1037" s="4">
        <v>14.314411611170813</v>
      </c>
      <c r="J1037" s="4">
        <v>15.884170216469586</v>
      </c>
      <c r="K1037" s="4">
        <v>17.610119058845545</v>
      </c>
      <c r="L1037" s="4">
        <v>19.521958867604543</v>
      </c>
      <c r="M1037" s="4">
        <v>21.655465597164483</v>
      </c>
      <c r="N1037" s="4">
        <v>24.014496036514213</v>
      </c>
      <c r="O1037"/>
      <c r="P1037"/>
      <c r="Q1037" s="11"/>
    </row>
    <row r="1038" spans="1:17" x14ac:dyDescent="0.35">
      <c r="A1038" s="3" t="s">
        <v>56</v>
      </c>
      <c r="B1038" s="4">
        <v>21.749144442988474</v>
      </c>
      <c r="C1038" s="4">
        <v>23.409120565628676</v>
      </c>
      <c r="D1038" s="4">
        <v>25.220316120725233</v>
      </c>
      <c r="E1038" s="4">
        <v>27.207375124999874</v>
      </c>
      <c r="F1038" s="4">
        <v>29.392125552239978</v>
      </c>
      <c r="G1038" s="4">
        <v>31.799198733006161</v>
      </c>
      <c r="H1038" s="4">
        <v>34.451855508070338</v>
      </c>
      <c r="I1038" s="4">
        <v>37.349828480561449</v>
      </c>
      <c r="J1038" s="4">
        <v>40.490946591222517</v>
      </c>
      <c r="K1038" s="4">
        <v>43.877625973692517</v>
      </c>
      <c r="L1038" s="4">
        <v>47.511212861709062</v>
      </c>
      <c r="M1038" s="4">
        <v>51.420251325813773</v>
      </c>
      <c r="N1038" s="4">
        <v>55.601033310128017</v>
      </c>
      <c r="O1038"/>
      <c r="P1038"/>
      <c r="Q1038" s="11"/>
    </row>
    <row r="1039" spans="1:17" x14ac:dyDescent="0.35">
      <c r="A1039" s="3" t="s">
        <v>57</v>
      </c>
      <c r="B1039" s="4">
        <v>43.15117467909743</v>
      </c>
      <c r="C1039" s="4">
        <v>46.167648258831093</v>
      </c>
      <c r="D1039" s="4">
        <v>49.487323071523278</v>
      </c>
      <c r="E1039" s="4">
        <v>53.02920261286507</v>
      </c>
      <c r="F1039" s="4">
        <v>56.753874010410733</v>
      </c>
      <c r="G1039" s="4">
        <v>60.588815653550753</v>
      </c>
      <c r="H1039" s="4">
        <v>64.703086141685475</v>
      </c>
      <c r="I1039" s="4">
        <v>69.226141454202121</v>
      </c>
      <c r="J1039" s="4">
        <v>74.296133779818135</v>
      </c>
      <c r="K1039" s="4">
        <v>79.935565825716637</v>
      </c>
      <c r="L1039" s="4">
        <v>86.029702936051947</v>
      </c>
      <c r="M1039" s="4">
        <v>92.473739320733614</v>
      </c>
      <c r="N1039" s="4">
        <v>99.279753845172252</v>
      </c>
      <c r="O1039"/>
      <c r="P1039"/>
      <c r="Q1039" s="11"/>
    </row>
    <row r="1040" spans="1:17" x14ac:dyDescent="0.35">
      <c r="A1040" s="2" t="s">
        <v>47</v>
      </c>
      <c r="O1040"/>
      <c r="P1040"/>
      <c r="Q1040" s="11"/>
    </row>
    <row r="1041" spans="1:17" x14ac:dyDescent="0.35">
      <c r="A1041" s="3" t="s">
        <v>82</v>
      </c>
      <c r="B1041" s="4">
        <v>28.912372382627773</v>
      </c>
      <c r="C1041" s="4">
        <v>31.322616441520228</v>
      </c>
      <c r="D1041" s="4">
        <v>33.932771465299069</v>
      </c>
      <c r="E1041" s="4">
        <v>36.78419361530726</v>
      </c>
      <c r="F1041" s="4">
        <v>39.930749516694441</v>
      </c>
      <c r="G1041" s="4">
        <v>43.432191313644694</v>
      </c>
      <c r="H1041" s="4">
        <v>47.343393361717936</v>
      </c>
      <c r="I1041" s="4">
        <v>51.66424009173226</v>
      </c>
      <c r="J1041" s="4">
        <v>56.375116807692102</v>
      </c>
      <c r="K1041" s="4">
        <v>61.487745032538058</v>
      </c>
      <c r="L1041" s="4">
        <v>67.033171729313608</v>
      </c>
      <c r="M1041" s="4">
        <v>73.075716922978259</v>
      </c>
      <c r="N1041" s="4">
        <v>79.615529346642234</v>
      </c>
      <c r="O1041"/>
      <c r="P1041"/>
      <c r="Q1041" s="11"/>
    </row>
    <row r="1042" spans="1:17" x14ac:dyDescent="0.35">
      <c r="A1042" s="3" t="s">
        <v>83</v>
      </c>
      <c r="B1042" s="4">
        <v>43.15117467909743</v>
      </c>
      <c r="C1042" s="4">
        <v>46.167648258831093</v>
      </c>
      <c r="D1042" s="4">
        <v>49.487323071523278</v>
      </c>
      <c r="E1042" s="4">
        <v>53.02920261286507</v>
      </c>
      <c r="F1042" s="4">
        <v>56.753874010410733</v>
      </c>
      <c r="G1042" s="4">
        <v>60.588815653550753</v>
      </c>
      <c r="H1042" s="4">
        <v>64.703086141685475</v>
      </c>
      <c r="I1042" s="4">
        <v>69.226141454202121</v>
      </c>
      <c r="J1042" s="4">
        <v>74.296133779818135</v>
      </c>
      <c r="K1042" s="4">
        <v>79.935565825716637</v>
      </c>
      <c r="L1042" s="4">
        <v>86.029702936051947</v>
      </c>
      <c r="M1042" s="4">
        <v>92.473739320733614</v>
      </c>
      <c r="N1042" s="4">
        <v>99.279753845172252</v>
      </c>
      <c r="O1042"/>
      <c r="P1042"/>
      <c r="Q1042" s="11"/>
    </row>
    <row r="1043" spans="1:17" x14ac:dyDescent="0.35">
      <c r="A1043" s="2" t="s">
        <v>59</v>
      </c>
      <c r="O1043"/>
      <c r="P1043"/>
      <c r="Q1043" s="11"/>
    </row>
    <row r="1044" spans="1:17" x14ac:dyDescent="0.35">
      <c r="A1044" s="3" t="s">
        <v>60</v>
      </c>
      <c r="O1044"/>
      <c r="P1044"/>
      <c r="Q1044" s="11"/>
    </row>
    <row r="1045" spans="1:17" x14ac:dyDescent="0.35">
      <c r="A1045" s="34" t="s">
        <v>61</v>
      </c>
      <c r="B1045" s="4">
        <v>14.554725412422172</v>
      </c>
      <c r="C1045" s="4">
        <v>15.802166648930573</v>
      </c>
      <c r="D1045" s="4">
        <v>17.151790265543482</v>
      </c>
      <c r="E1045" s="4">
        <v>18.574229858944797</v>
      </c>
      <c r="F1045" s="4">
        <v>20.107114416437952</v>
      </c>
      <c r="G1045" s="4">
        <v>21.645463405784255</v>
      </c>
      <c r="H1045" s="4">
        <v>23.329484609841018</v>
      </c>
      <c r="I1045" s="4">
        <v>25.161588243506756</v>
      </c>
      <c r="J1045" s="4">
        <v>27.217642365699831</v>
      </c>
      <c r="K1045" s="4">
        <v>29.546769070541458</v>
      </c>
      <c r="L1045" s="4">
        <v>32.093896032410868</v>
      </c>
      <c r="M1045" s="4">
        <v>34.87063141382238</v>
      </c>
      <c r="N1045" s="4">
        <v>37.840665498343355</v>
      </c>
      <c r="O1045"/>
      <c r="P1045"/>
      <c r="Q1045" s="11"/>
    </row>
    <row r="1046" spans="1:17" x14ac:dyDescent="0.35">
      <c r="A1046" s="43" t="s">
        <v>62</v>
      </c>
      <c r="B1046" s="4">
        <v>2.7497964982780481</v>
      </c>
      <c r="C1046" s="4">
        <v>3.0243532316169488</v>
      </c>
      <c r="D1046" s="4">
        <v>3.3313640004044269</v>
      </c>
      <c r="E1046" s="4">
        <v>3.6750925860100923</v>
      </c>
      <c r="F1046" s="4">
        <v>4.0616371121204669</v>
      </c>
      <c r="G1046" s="4">
        <v>4.4996692437096932</v>
      </c>
      <c r="H1046" s="4">
        <v>4.9954407047564873</v>
      </c>
      <c r="I1046" s="4">
        <v>5.5558269158298215</v>
      </c>
      <c r="J1046" s="4">
        <v>6.180928933303969</v>
      </c>
      <c r="K1046" s="4">
        <v>6.8722423519373477</v>
      </c>
      <c r="L1046" s="4">
        <v>7.6271320653062471</v>
      </c>
      <c r="M1046" s="4">
        <v>8.4471469042294913</v>
      </c>
      <c r="N1046" s="4">
        <v>9.3420781937672537</v>
      </c>
      <c r="O1046"/>
      <c r="P1046"/>
      <c r="Q1046" s="11"/>
    </row>
    <row r="1047" spans="1:17" x14ac:dyDescent="0.35">
      <c r="A1047" s="43" t="s">
        <v>63</v>
      </c>
      <c r="B1047" s="4">
        <v>5.7635402194763676</v>
      </c>
      <c r="C1047" s="4">
        <v>6.2283361662709167</v>
      </c>
      <c r="D1047" s="4">
        <v>6.7070897019804887</v>
      </c>
      <c r="E1047" s="4">
        <v>7.2108955728016237</v>
      </c>
      <c r="F1047" s="4">
        <v>7.7613461647450475</v>
      </c>
      <c r="G1047" s="4">
        <v>8.3803055000688307</v>
      </c>
      <c r="H1047" s="4">
        <v>9.0850300796953434</v>
      </c>
      <c r="I1047" s="4">
        <v>9.8688688814011005</v>
      </c>
      <c r="J1047" s="4">
        <v>10.713330031949583</v>
      </c>
      <c r="K1047" s="4">
        <v>11.619289823900125</v>
      </c>
      <c r="L1047" s="4">
        <v>12.600773707205473</v>
      </c>
      <c r="M1047" s="4">
        <v>13.67427020117916</v>
      </c>
      <c r="N1047" s="4">
        <v>14.834395476977775</v>
      </c>
      <c r="O1047"/>
      <c r="P1047"/>
      <c r="Q1047" s="11"/>
    </row>
    <row r="1048" spans="1:17" x14ac:dyDescent="0.35">
      <c r="A1048" s="43" t="s">
        <v>64</v>
      </c>
      <c r="B1048" s="4">
        <v>6.0413886946677557</v>
      </c>
      <c r="C1048" s="4">
        <v>6.5494772510427079</v>
      </c>
      <c r="D1048" s="4">
        <v>7.1133365631585672</v>
      </c>
      <c r="E1048" s="4">
        <v>7.6882417001330801</v>
      </c>
      <c r="F1048" s="4">
        <v>8.2841311395724375</v>
      </c>
      <c r="G1048" s="4">
        <v>8.7654886620057315</v>
      </c>
      <c r="H1048" s="4">
        <v>9.2490138253891878</v>
      </c>
      <c r="I1048" s="4">
        <v>9.7368924462758351</v>
      </c>
      <c r="J1048" s="4">
        <v>10.323383400446279</v>
      </c>
      <c r="K1048" s="4">
        <v>11.055236894703985</v>
      </c>
      <c r="L1048" s="4">
        <v>11.865990259899149</v>
      </c>
      <c r="M1048" s="4">
        <v>12.749214308413727</v>
      </c>
      <c r="N1048" s="4">
        <v>13.664191827598327</v>
      </c>
      <c r="O1048"/>
      <c r="P1048"/>
      <c r="Q1048" s="11"/>
    </row>
    <row r="1049" spans="1:17" x14ac:dyDescent="0.35">
      <c r="A1049" s="34" t="s">
        <v>65</v>
      </c>
      <c r="B1049" s="4">
        <v>12.870169011662943</v>
      </c>
      <c r="C1049" s="4">
        <v>13.814335931608284</v>
      </c>
      <c r="D1049" s="4">
        <v>14.845035687252166</v>
      </c>
      <c r="E1049" s="4">
        <v>15.941503081554684</v>
      </c>
      <c r="F1049" s="4">
        <v>17.087073515945296</v>
      </c>
      <c r="G1049" s="4">
        <v>18.306422112694772</v>
      </c>
      <c r="H1049" s="4">
        <v>19.621937708965163</v>
      </c>
      <c r="I1049" s="4">
        <v>21.090853226304304</v>
      </c>
      <c r="J1049" s="4">
        <v>22.738278324389114</v>
      </c>
      <c r="K1049" s="4">
        <v>24.531438954786822</v>
      </c>
      <c r="L1049" s="4">
        <v>26.484408389068307</v>
      </c>
      <c r="M1049" s="4">
        <v>28.566371029554279</v>
      </c>
      <c r="N1049" s="4">
        <v>30.769149028063865</v>
      </c>
      <c r="O1049"/>
      <c r="P1049"/>
      <c r="Q1049" s="11"/>
    </row>
    <row r="1050" spans="1:17" x14ac:dyDescent="0.35">
      <c r="A1050" s="34" t="s">
        <v>66</v>
      </c>
      <c r="B1050" s="4">
        <v>8.388777029682533</v>
      </c>
      <c r="C1050" s="4">
        <v>8.9218041639629693</v>
      </c>
      <c r="D1050" s="4">
        <v>9.4980467638639112</v>
      </c>
      <c r="E1050" s="4">
        <v>10.124963358914155</v>
      </c>
      <c r="F1050" s="4">
        <v>10.808567433342143</v>
      </c>
      <c r="G1050" s="4">
        <v>11.555568434860916</v>
      </c>
      <c r="H1050" s="4">
        <v>12.37180460569668</v>
      </c>
      <c r="I1050" s="4">
        <v>13.254327032080399</v>
      </c>
      <c r="J1050" s="4">
        <v>14.199581845430728</v>
      </c>
      <c r="K1050" s="4">
        <v>15.205724063126627</v>
      </c>
      <c r="L1050" s="4">
        <v>16.270559644810945</v>
      </c>
      <c r="M1050" s="4">
        <v>17.401247801221903</v>
      </c>
      <c r="N1050" s="4">
        <v>18.593631743860421</v>
      </c>
      <c r="O1050"/>
      <c r="P1050"/>
      <c r="Q1050" s="11"/>
    </row>
    <row r="1051" spans="1:17" x14ac:dyDescent="0.35">
      <c r="A1051" s="34" t="s">
        <v>67</v>
      </c>
      <c r="B1051" s="4">
        <v>5.197128071451556</v>
      </c>
      <c r="C1051" s="4">
        <v>5.5105147500829208</v>
      </c>
      <c r="D1051" s="4">
        <v>5.8525398508704001</v>
      </c>
      <c r="E1051" s="4">
        <v>6.218235007756534</v>
      </c>
      <c r="F1051" s="4">
        <v>6.5964051247602775</v>
      </c>
      <c r="G1051" s="4">
        <v>6.9940613043969453</v>
      </c>
      <c r="H1051" s="4">
        <v>7.4163747694213713</v>
      </c>
      <c r="I1051" s="4">
        <v>7.8748718098156196</v>
      </c>
      <c r="J1051" s="4">
        <v>8.373692208346645</v>
      </c>
      <c r="K1051" s="4">
        <v>8.9140369194630242</v>
      </c>
      <c r="L1051" s="4">
        <v>9.4857360583033241</v>
      </c>
      <c r="M1051" s="4">
        <v>10.079098611378654</v>
      </c>
      <c r="N1051" s="4">
        <v>10.701519491001822</v>
      </c>
      <c r="O1051"/>
      <c r="P1051"/>
      <c r="Q1051" s="11"/>
    </row>
    <row r="1052" spans="1:17" x14ac:dyDescent="0.35">
      <c r="A1052" s="34" t="s">
        <v>68</v>
      </c>
      <c r="B1052" s="4">
        <v>9.0615634752046521</v>
      </c>
      <c r="C1052" s="4">
        <v>9.7926078343269118</v>
      </c>
      <c r="D1052" s="4">
        <v>10.598950430080091</v>
      </c>
      <c r="E1052" s="4">
        <v>11.489353779006953</v>
      </c>
      <c r="F1052" s="4">
        <v>12.47753740466703</v>
      </c>
      <c r="G1052" s="4">
        <v>13.583986787326731</v>
      </c>
      <c r="H1052" s="4">
        <v>14.820246870989292</v>
      </c>
      <c r="I1052" s="4">
        <v>16.198657790047228</v>
      </c>
      <c r="J1052" s="4">
        <v>17.710672378564261</v>
      </c>
      <c r="K1052" s="4">
        <v>19.352014268699715</v>
      </c>
      <c r="L1052" s="4">
        <v>21.106763983689291</v>
      </c>
      <c r="M1052" s="4">
        <v>22.971377040960416</v>
      </c>
      <c r="N1052" s="4">
        <v>24.96469301571495</v>
      </c>
      <c r="O1052"/>
      <c r="P1052"/>
      <c r="Q1052" s="11"/>
    </row>
    <row r="1053" spans="1:17" x14ac:dyDescent="0.35">
      <c r="A1053" s="34" t="s">
        <v>69</v>
      </c>
      <c r="B1053" s="4">
        <v>10.006593413624534</v>
      </c>
      <c r="C1053" s="4">
        <v>10.546130851872611</v>
      </c>
      <c r="D1053" s="4">
        <v>11.133402100040069</v>
      </c>
      <c r="E1053" s="4">
        <v>11.758020305454542</v>
      </c>
      <c r="F1053" s="4">
        <v>12.398062644127751</v>
      </c>
      <c r="G1053" s="4">
        <v>13.066342925136707</v>
      </c>
      <c r="H1053" s="4">
        <v>13.771924698418211</v>
      </c>
      <c r="I1053" s="4">
        <v>14.535446812263755</v>
      </c>
      <c r="J1053" s="4">
        <v>15.363408029121221</v>
      </c>
      <c r="K1053" s="4">
        <v>16.256745175576572</v>
      </c>
      <c r="L1053" s="4">
        <v>17.195619796976612</v>
      </c>
      <c r="M1053" s="4">
        <v>18.161521124171443</v>
      </c>
      <c r="N1053" s="4">
        <v>19.167158082488534</v>
      </c>
      <c r="O1053"/>
      <c r="P1053"/>
      <c r="Q1053" s="11"/>
    </row>
    <row r="1054" spans="1:17" x14ac:dyDescent="0.35">
      <c r="A1054" s="3" t="s">
        <v>70</v>
      </c>
      <c r="O1054"/>
      <c r="P1054"/>
      <c r="Q1054" s="11"/>
    </row>
    <row r="1055" spans="1:17" x14ac:dyDescent="0.35">
      <c r="A1055" s="34" t="s">
        <v>71</v>
      </c>
      <c r="B1055" s="4">
        <v>1.7628639515282265</v>
      </c>
      <c r="C1055" s="4">
        <v>1.9610510459462787</v>
      </c>
      <c r="D1055" s="4">
        <v>2.1849856486573564</v>
      </c>
      <c r="E1055" s="4">
        <v>2.4354030411266039</v>
      </c>
      <c r="F1055" s="4">
        <v>2.7104567359588665</v>
      </c>
      <c r="G1055" s="4">
        <v>3.015131486860029</v>
      </c>
      <c r="H1055" s="4">
        <v>3.3543491953429543</v>
      </c>
      <c r="I1055" s="4">
        <v>3.7365626940554226</v>
      </c>
      <c r="J1055" s="4">
        <v>4.1680112387423511</v>
      </c>
      <c r="K1055" s="4">
        <v>4.6542190815908526</v>
      </c>
      <c r="L1055" s="4">
        <v>5.1953097359092117</v>
      </c>
      <c r="M1055" s="4">
        <v>5.7910898214855386</v>
      </c>
      <c r="N1055" s="4">
        <v>6.450561851790277</v>
      </c>
      <c r="O1055"/>
      <c r="P1055"/>
      <c r="Q1055" s="11"/>
    </row>
    <row r="1056" spans="1:17" x14ac:dyDescent="0.35">
      <c r="A1056" s="34" t="s">
        <v>72</v>
      </c>
      <c r="B1056" s="4">
        <v>1.2771902034123481</v>
      </c>
      <c r="C1056" s="4">
        <v>1.4310896064011362</v>
      </c>
      <c r="D1056" s="4">
        <v>1.6037960037928862</v>
      </c>
      <c r="E1056" s="4">
        <v>1.8017310281494416</v>
      </c>
      <c r="F1056" s="4">
        <v>2.0276699246104499</v>
      </c>
      <c r="G1056" s="4">
        <v>2.2844795793327446</v>
      </c>
      <c r="H1056" s="4">
        <v>2.5742750459086201</v>
      </c>
      <c r="I1056" s="4">
        <v>2.8986868944777964</v>
      </c>
      <c r="J1056" s="4">
        <v>3.2611561777253963</v>
      </c>
      <c r="K1056" s="4">
        <v>3.6732458619474957</v>
      </c>
      <c r="L1056" s="4">
        <v>4.1425915027273064</v>
      </c>
      <c r="M1056" s="4">
        <v>4.6723780736836122</v>
      </c>
      <c r="N1056" s="4">
        <v>5.2660854860704243</v>
      </c>
      <c r="O1056"/>
      <c r="P1056"/>
      <c r="Q1056" s="11"/>
    </row>
    <row r="1057" spans="1:17" x14ac:dyDescent="0.35">
      <c r="A1057" s="34" t="s">
        <v>73</v>
      </c>
      <c r="B1057" s="4">
        <v>1.273984358345627</v>
      </c>
      <c r="C1057" s="4">
        <v>1.3811855848662618</v>
      </c>
      <c r="D1057" s="4">
        <v>1.4921904356408555</v>
      </c>
      <c r="E1057" s="4">
        <v>1.6095029699129801</v>
      </c>
      <c r="F1057" s="4">
        <v>1.7380027925232426</v>
      </c>
      <c r="G1057" s="4">
        <v>1.8826936353355503</v>
      </c>
      <c r="H1057" s="4">
        <v>2.0476085494398943</v>
      </c>
      <c r="I1057" s="4">
        <v>2.231443482183384</v>
      </c>
      <c r="J1057" s="4">
        <v>2.4301991079720313</v>
      </c>
      <c r="K1057" s="4">
        <v>2.6442171145046252</v>
      </c>
      <c r="L1057" s="4">
        <v>2.8768354000697784</v>
      </c>
      <c r="M1057" s="4">
        <v>3.1319967499035695</v>
      </c>
      <c r="N1057" s="4">
        <v>3.4086844266180014</v>
      </c>
      <c r="O1057"/>
      <c r="P1057"/>
      <c r="Q1057" s="11"/>
    </row>
    <row r="1058" spans="1:17" x14ac:dyDescent="0.35">
      <c r="A1058" s="34" t="s">
        <v>74</v>
      </c>
      <c r="B1058" s="4">
        <v>1.4982657951209621</v>
      </c>
      <c r="C1058" s="4">
        <v>1.6334244856603588</v>
      </c>
      <c r="D1058" s="4">
        <v>1.7824870602898533</v>
      </c>
      <c r="E1058" s="4">
        <v>1.9476779338194714</v>
      </c>
      <c r="F1058" s="4">
        <v>2.1311224717844519</v>
      </c>
      <c r="G1058" s="4">
        <v>2.3352446160006481</v>
      </c>
      <c r="H1058" s="4">
        <v>2.5624763569210076</v>
      </c>
      <c r="I1058" s="4">
        <v>2.8136065890057802</v>
      </c>
      <c r="J1058" s="4">
        <v>3.0893014302263886</v>
      </c>
      <c r="K1058" s="4">
        <v>3.3905909756131187</v>
      </c>
      <c r="L1058" s="4">
        <v>3.718454966032311</v>
      </c>
      <c r="M1058" s="4">
        <v>4.0760307795157154</v>
      </c>
      <c r="N1058" s="4">
        <v>4.4640382663540397</v>
      </c>
      <c r="O1058"/>
      <c r="P1058"/>
      <c r="Q1058" s="11"/>
    </row>
    <row r="1059" spans="1:17" x14ac:dyDescent="0.35">
      <c r="A1059" s="34" t="s">
        <v>75</v>
      </c>
      <c r="B1059" s="4">
        <v>1.1666973480771965</v>
      </c>
      <c r="C1059" s="4">
        <v>1.287632699548398</v>
      </c>
      <c r="D1059" s="4">
        <v>1.4233799566489329</v>
      </c>
      <c r="E1059" s="4">
        <v>1.5740319693965314</v>
      </c>
      <c r="F1059" s="4">
        <v>1.7380027925232426</v>
      </c>
      <c r="G1059" s="4">
        <v>1.9181293080585933</v>
      </c>
      <c r="H1059" s="4">
        <v>2.1171120074654657</v>
      </c>
      <c r="I1059" s="4">
        <v>2.3397865313869266</v>
      </c>
      <c r="J1059" s="4">
        <v>2.5894405337722817</v>
      </c>
      <c r="K1059" s="4">
        <v>2.8688023836457797</v>
      </c>
      <c r="L1059" s="4">
        <v>3.1771724781919004</v>
      </c>
      <c r="M1059" s="4">
        <v>3.5136646296071974</v>
      </c>
      <c r="N1059" s="4">
        <v>3.8829852153445406</v>
      </c>
      <c r="O1059"/>
      <c r="P1059"/>
      <c r="Q1059" s="11"/>
    </row>
    <row r="1060" spans="1:17" x14ac:dyDescent="0.35">
      <c r="A1060" s="3" t="s">
        <v>76</v>
      </c>
      <c r="O1060"/>
      <c r="P1060"/>
      <c r="Q1060" s="11"/>
    </row>
    <row r="1061" spans="1:17" x14ac:dyDescent="0.35">
      <c r="A1061" s="34" t="s">
        <v>77</v>
      </c>
      <c r="B1061" s="4">
        <v>1.4762004193198477</v>
      </c>
      <c r="C1061" s="4">
        <v>1.5951427449916025</v>
      </c>
      <c r="D1061" s="4">
        <v>1.7263272165003374</v>
      </c>
      <c r="E1061" s="4">
        <v>1.8711775053943438</v>
      </c>
      <c r="F1061" s="4">
        <v>2.0319240480456418</v>
      </c>
      <c r="G1061" s="4">
        <v>2.2118982476460816</v>
      </c>
      <c r="H1061" s="4">
        <v>2.4129744502762334</v>
      </c>
      <c r="I1061" s="4">
        <v>2.6371557605825231</v>
      </c>
      <c r="J1061" s="4">
        <v>2.8830440515443865</v>
      </c>
      <c r="K1061" s="4">
        <v>3.1499369269305246</v>
      </c>
      <c r="L1061" s="4">
        <v>3.4352370802296028</v>
      </c>
      <c r="M1061" s="4">
        <v>3.738362254092837</v>
      </c>
      <c r="N1061" s="4">
        <v>4.0623731762475925</v>
      </c>
      <c r="O1061"/>
      <c r="P1061"/>
      <c r="Q1061" s="11"/>
    </row>
    <row r="1062" spans="1:17" x14ac:dyDescent="0.35">
      <c r="A1062" s="34" t="s">
        <v>78</v>
      </c>
      <c r="B1062" s="4">
        <v>1.3079695157980438</v>
      </c>
      <c r="C1062" s="4">
        <v>1.4027415423615948</v>
      </c>
      <c r="D1062" s="4">
        <v>1.5071859834715573</v>
      </c>
      <c r="E1062" s="4">
        <v>1.6189046872832336</v>
      </c>
      <c r="F1062" s="4">
        <v>1.73674589241739</v>
      </c>
      <c r="G1062" s="4">
        <v>1.8585335189614729</v>
      </c>
      <c r="H1062" s="4">
        <v>1.9894808962403574</v>
      </c>
      <c r="I1062" s="4">
        <v>2.1336334426635273</v>
      </c>
      <c r="J1062" s="4">
        <v>2.2953430144488514</v>
      </c>
      <c r="K1062" s="4">
        <v>2.4754295825530677</v>
      </c>
      <c r="L1062" s="4">
        <v>2.6704704117250952</v>
      </c>
      <c r="M1062" s="4">
        <v>2.8773180171060204</v>
      </c>
      <c r="N1062" s="4">
        <v>3.0964315730214964</v>
      </c>
      <c r="O1062"/>
      <c r="P1062"/>
      <c r="Q1062" s="11"/>
    </row>
    <row r="1063" spans="1:17" x14ac:dyDescent="0.35">
      <c r="A1063" s="34" t="s">
        <v>79</v>
      </c>
      <c r="B1063" s="4">
        <v>0.82808054474221093</v>
      </c>
      <c r="C1063" s="4">
        <v>0.91818411688282275</v>
      </c>
      <c r="D1063" s="4">
        <v>1.0199282408768333</v>
      </c>
      <c r="E1063" s="4">
        <v>1.1326066709056162</v>
      </c>
      <c r="F1063" s="4">
        <v>1.2562233134876772</v>
      </c>
      <c r="G1063" s="4">
        <v>1.3899819787786465</v>
      </c>
      <c r="H1063" s="4">
        <v>1.5384461689003535</v>
      </c>
      <c r="I1063" s="4">
        <v>1.7058447344675645</v>
      </c>
      <c r="J1063" s="4">
        <v>1.8971441129581446</v>
      </c>
      <c r="K1063" s="4">
        <v>2.1149555219706433</v>
      </c>
      <c r="L1063" s="4">
        <v>2.3584788777115895</v>
      </c>
      <c r="M1063" s="4">
        <v>2.6268977235356785</v>
      </c>
      <c r="N1063" s="4">
        <v>2.9224363267488718</v>
      </c>
      <c r="O1063"/>
      <c r="P1063"/>
      <c r="Q1063" s="11"/>
    </row>
    <row r="1064" spans="1:17" x14ac:dyDescent="0.35">
      <c r="A1064" s="34" t="s">
        <v>80</v>
      </c>
      <c r="B1064" s="4">
        <v>0.60958241797587787</v>
      </c>
      <c r="C1064" s="4">
        <v>0.64629702655197729</v>
      </c>
      <c r="D1064" s="4">
        <v>0.68589999652670897</v>
      </c>
      <c r="E1064" s="4">
        <v>0.72890139875827653</v>
      </c>
      <c r="F1064" s="4">
        <v>0.77570073455796473</v>
      </c>
      <c r="G1064" s="4">
        <v>0.8267422632959307</v>
      </c>
      <c r="H1064" s="4">
        <v>0.88240215002221545</v>
      </c>
      <c r="I1064" s="4">
        <v>0.94242488307390393</v>
      </c>
      <c r="J1064" s="4">
        <v>1.0065147736234745</v>
      </c>
      <c r="K1064" s="4">
        <v>1.0745005991518468</v>
      </c>
      <c r="L1064" s="4">
        <v>1.1461882798022553</v>
      </c>
      <c r="M1064" s="4">
        <v>1.2220447329634587</v>
      </c>
      <c r="N1064" s="4">
        <v>1.3017361111010286</v>
      </c>
      <c r="O1064"/>
      <c r="P1064"/>
      <c r="Q1064" s="11"/>
    </row>
    <row r="1065" spans="1:17" x14ac:dyDescent="0.35">
      <c r="A1065" s="34" t="s">
        <v>81</v>
      </c>
      <c r="B1065" s="4">
        <v>0.7837560933564679</v>
      </c>
      <c r="C1065" s="4">
        <v>0.84595566635662423</v>
      </c>
      <c r="D1065" s="4">
        <v>0.91414889676690014</v>
      </c>
      <c r="E1065" s="4">
        <v>0.98715363179417781</v>
      </c>
      <c r="F1065" s="4">
        <v>1.0640142819157923</v>
      </c>
      <c r="G1065" s="4">
        <v>1.146327362725422</v>
      </c>
      <c r="H1065" s="4">
        <v>1.2355814195545847</v>
      </c>
      <c r="I1065" s="4">
        <v>1.3354916200194995</v>
      </c>
      <c r="J1065" s="4">
        <v>1.4478209949451217</v>
      </c>
      <c r="K1065" s="4">
        <v>1.5706843581525303</v>
      </c>
      <c r="L1065" s="4">
        <v>1.7051520277071444</v>
      </c>
      <c r="M1065" s="4">
        <v>1.8494264407091658</v>
      </c>
      <c r="N1065" s="4">
        <v>2.0031338990452743</v>
      </c>
      <c r="O1065"/>
      <c r="P1065"/>
      <c r="Q1065" s="11"/>
    </row>
    <row r="1066" spans="1:17" x14ac:dyDescent="0.35">
      <c r="A1066" s="2" t="s">
        <v>84</v>
      </c>
      <c r="O1066"/>
      <c r="P1066"/>
      <c r="Q1066" s="11"/>
    </row>
    <row r="1067" spans="1:17" x14ac:dyDescent="0.35">
      <c r="A1067" s="3" t="s">
        <v>85</v>
      </c>
      <c r="B1067" s="4">
        <v>4.6100186587846004</v>
      </c>
      <c r="C1067" s="4">
        <v>4.8774852786505054</v>
      </c>
      <c r="D1067" s="4">
        <v>5.1690921013220068</v>
      </c>
      <c r="E1067" s="4">
        <v>5.4802892610779832</v>
      </c>
      <c r="F1067" s="4">
        <v>5.8010774116263102</v>
      </c>
      <c r="G1067" s="4">
        <v>6.1375535572962923</v>
      </c>
      <c r="H1067" s="4">
        <v>6.4941472873041475</v>
      </c>
      <c r="I1067" s="4">
        <v>6.8808142800506467</v>
      </c>
      <c r="J1067" s="4">
        <v>7.3009697799081756</v>
      </c>
      <c r="K1067" s="4">
        <v>7.7554363880076407</v>
      </c>
      <c r="L1067" s="4">
        <v>8.2351356335095662</v>
      </c>
      <c r="M1067" s="4">
        <v>8.7314814231740812</v>
      </c>
      <c r="N1067" s="4">
        <v>9.2507619009012743</v>
      </c>
      <c r="O1067"/>
      <c r="P1067"/>
      <c r="Q1067" s="11"/>
    </row>
    <row r="1068" spans="1:17" x14ac:dyDescent="0.35">
      <c r="A1068" s="3" t="s">
        <v>86</v>
      </c>
      <c r="B1068" s="4">
        <v>13.476741494838548</v>
      </c>
      <c r="C1068" s="4">
        <v>14.260638989477606</v>
      </c>
      <c r="D1068" s="4">
        <v>15.105072926618144</v>
      </c>
      <c r="E1068" s="4">
        <v>16.020908292322112</v>
      </c>
      <c r="F1068" s="4">
        <v>17.01649374077051</v>
      </c>
      <c r="G1068" s="4">
        <v>18.101093099494559</v>
      </c>
      <c r="H1068" s="4">
        <v>19.282405402819638</v>
      </c>
      <c r="I1068" s="4">
        <v>20.554264202409158</v>
      </c>
      <c r="J1068" s="4">
        <v>21.909671666088371</v>
      </c>
      <c r="K1068" s="4">
        <v>23.344390591370601</v>
      </c>
      <c r="L1068" s="4">
        <v>24.853717238004236</v>
      </c>
      <c r="M1068" s="4">
        <v>26.447314589040996</v>
      </c>
      <c r="N1068" s="4">
        <v>28.117438355802989</v>
      </c>
      <c r="O1068"/>
      <c r="P1068"/>
      <c r="Q1068" s="11"/>
    </row>
    <row r="1069" spans="1:17" x14ac:dyDescent="0.35">
      <c r="A1069" s="3" t="s">
        <v>87</v>
      </c>
      <c r="B1069" s="4">
        <v>23.06673922756292</v>
      </c>
      <c r="C1069" s="4">
        <v>25.136166222887837</v>
      </c>
      <c r="D1069" s="4">
        <v>27.390400724720919</v>
      </c>
      <c r="E1069" s="4">
        <v>29.794976871673782</v>
      </c>
      <c r="F1069" s="4">
        <v>32.389348881580233</v>
      </c>
      <c r="G1069" s="4">
        <v>35.108953938867316</v>
      </c>
      <c r="H1069" s="4">
        <v>38.115790976372438</v>
      </c>
      <c r="I1069" s="4">
        <v>41.466009521086761</v>
      </c>
      <c r="J1069" s="4">
        <v>45.254787385221022</v>
      </c>
      <c r="K1069" s="4">
        <v>49.510113619525342</v>
      </c>
      <c r="L1069" s="4">
        <v>54.220296005769697</v>
      </c>
      <c r="M1069" s="4">
        <v>59.388994975634134</v>
      </c>
      <c r="N1069" s="4">
        <v>64.977364524669511</v>
      </c>
      <c r="O1069"/>
      <c r="P1069"/>
      <c r="Q1069" s="11"/>
    </row>
    <row r="1070" spans="1:17" x14ac:dyDescent="0.35">
      <c r="A1070" s="3" t="s">
        <v>88</v>
      </c>
      <c r="B1070" s="4">
        <v>15.828847065683702</v>
      </c>
      <c r="C1070" s="4">
        <v>17.139798059409134</v>
      </c>
      <c r="D1070" s="4">
        <v>18.589621384620902</v>
      </c>
      <c r="E1070" s="4">
        <v>20.169837043632011</v>
      </c>
      <c r="F1070" s="4">
        <v>21.85072491712577</v>
      </c>
      <c r="G1070" s="4">
        <v>23.660056073885912</v>
      </c>
      <c r="H1070" s="4">
        <v>25.621524908606066</v>
      </c>
      <c r="I1070" s="4">
        <v>27.782512421042753</v>
      </c>
      <c r="J1070" s="4">
        <v>30.168021819468919</v>
      </c>
      <c r="K1070" s="4">
        <v>32.794125405622275</v>
      </c>
      <c r="L1070" s="4">
        <v>35.635903798326162</v>
      </c>
      <c r="M1070" s="4">
        <v>38.667576171491092</v>
      </c>
      <c r="N1070" s="4">
        <v>41.926248434708612</v>
      </c>
      <c r="O1070"/>
      <c r="P1070"/>
      <c r="Q1070" s="11"/>
    </row>
    <row r="1071" spans="1:17" x14ac:dyDescent="0.35">
      <c r="A1071" s="3" t="s">
        <v>89</v>
      </c>
      <c r="B1071" s="4">
        <v>4.9093625343230087</v>
      </c>
      <c r="C1071" s="4">
        <v>5.2763262638743758</v>
      </c>
      <c r="D1071" s="4">
        <v>5.6812723535509191</v>
      </c>
      <c r="E1071" s="4">
        <v>6.1154033809409549</v>
      </c>
      <c r="F1071" s="4">
        <v>6.5745543998431524</v>
      </c>
      <c r="G1071" s="4">
        <v>7.0506468226874892</v>
      </c>
      <c r="H1071" s="4">
        <v>7.563565409059934</v>
      </c>
      <c r="I1071" s="4">
        <v>8.1289247916293625</v>
      </c>
      <c r="J1071" s="4">
        <v>8.7636399234578626</v>
      </c>
      <c r="K1071" s="4">
        <v>9.4712839973057417</v>
      </c>
      <c r="L1071" s="4">
        <v>10.23922582194238</v>
      </c>
      <c r="M1071" s="4">
        <v>11.055780889013837</v>
      </c>
      <c r="N1071" s="4">
        <v>11.923022658971368</v>
      </c>
      <c r="O1071"/>
      <c r="P1071"/>
      <c r="Q1071" s="11"/>
    </row>
    <row r="1072" spans="1:17" x14ac:dyDescent="0.35">
      <c r="A1072" s="3" t="s">
        <v>90</v>
      </c>
      <c r="B1072" s="4">
        <v>10.171838080532428</v>
      </c>
      <c r="C1072" s="4">
        <v>10.799849886051868</v>
      </c>
      <c r="D1072" s="4">
        <v>11.484635045989457</v>
      </c>
      <c r="E1072" s="4">
        <v>12.2319813785255</v>
      </c>
      <c r="F1072" s="4">
        <v>13.052424176159199</v>
      </c>
      <c r="G1072" s="4">
        <v>13.962703474963886</v>
      </c>
      <c r="H1072" s="4">
        <v>14.969045519241194</v>
      </c>
      <c r="I1072" s="4">
        <v>16.077856329715711</v>
      </c>
      <c r="J1072" s="4">
        <v>17.274160013365883</v>
      </c>
      <c r="K1072" s="4">
        <v>18.547960856423092</v>
      </c>
      <c r="L1072" s="4">
        <v>19.878596167813498</v>
      </c>
      <c r="M1072" s="4">
        <v>21.258308195357724</v>
      </c>
      <c r="N1072" s="4">
        <v>22.700447316760741</v>
      </c>
      <c r="O1072"/>
      <c r="P1072"/>
      <c r="Q1072" s="11"/>
    </row>
    <row r="1073" spans="1:17" x14ac:dyDescent="0.35">
      <c r="A1073" s="2" t="s">
        <v>91</v>
      </c>
      <c r="O1073"/>
      <c r="P1073"/>
      <c r="Q1073" s="11"/>
    </row>
    <row r="1074" spans="1:17" x14ac:dyDescent="0.35">
      <c r="A1074" s="3" t="s">
        <v>92</v>
      </c>
      <c r="B1074" s="4">
        <v>31.24541597094332</v>
      </c>
      <c r="C1074" s="4">
        <v>33.906695043546641</v>
      </c>
      <c r="D1074" s="4">
        <v>36.854582938296993</v>
      </c>
      <c r="E1074" s="4">
        <v>40.07413724387267</v>
      </c>
      <c r="F1074" s="4">
        <v>43.508080587197327</v>
      </c>
      <c r="G1074" s="4">
        <v>47.21310793420956</v>
      </c>
      <c r="H1074" s="4">
        <v>51.238269666226067</v>
      </c>
      <c r="I1074" s="4">
        <v>55.680407877652968</v>
      </c>
      <c r="J1074" s="4">
        <v>60.592352832450963</v>
      </c>
      <c r="K1074" s="4">
        <v>66.009448536459331</v>
      </c>
      <c r="L1074" s="4">
        <v>71.88482797707033</v>
      </c>
      <c r="M1074" s="4">
        <v>78.169473335654288</v>
      </c>
      <c r="N1074" s="4">
        <v>84.941066353024013</v>
      </c>
      <c r="O1074"/>
      <c r="P1074"/>
      <c r="Q1074" s="11"/>
    </row>
    <row r="1075" spans="1:17" x14ac:dyDescent="0.35">
      <c r="A1075" s="3" t="s">
        <v>93</v>
      </c>
      <c r="B1075" s="4">
        <v>40.818131090781883</v>
      </c>
      <c r="C1075" s="4">
        <v>43.583569656804677</v>
      </c>
      <c r="D1075" s="4">
        <v>46.565511598525354</v>
      </c>
      <c r="E1075" s="4">
        <v>49.739258984299667</v>
      </c>
      <c r="F1075" s="4">
        <v>53.176542939907847</v>
      </c>
      <c r="G1075" s="4">
        <v>56.807899032985887</v>
      </c>
      <c r="H1075" s="4">
        <v>60.808209837177351</v>
      </c>
      <c r="I1075" s="4">
        <v>65.209973668281421</v>
      </c>
      <c r="J1075" s="4">
        <v>70.078897755059273</v>
      </c>
      <c r="K1075" s="4">
        <v>75.413862321795364</v>
      </c>
      <c r="L1075" s="4">
        <v>81.178046688295211</v>
      </c>
      <c r="M1075" s="4">
        <v>87.379982908057571</v>
      </c>
      <c r="N1075" s="4">
        <v>93.954216838790472</v>
      </c>
      <c r="O1075"/>
      <c r="P1075"/>
      <c r="Q1075" s="11"/>
    </row>
    <row r="1076" spans="1:17" x14ac:dyDescent="0.35">
      <c r="A1076" s="2" t="s">
        <v>94</v>
      </c>
      <c r="O1076"/>
      <c r="P1076"/>
      <c r="Q1076" s="11"/>
    </row>
    <row r="1077" spans="1:17" x14ac:dyDescent="0.35">
      <c r="A1077" s="3" t="s">
        <v>48</v>
      </c>
      <c r="B1077" s="4">
        <v>12.177914639055933</v>
      </c>
      <c r="C1077" s="4">
        <v>13.188904290283038</v>
      </c>
      <c r="D1077" s="4">
        <v>14.307139263302666</v>
      </c>
      <c r="E1077" s="4">
        <v>15.526153052991859</v>
      </c>
      <c r="F1077" s="4">
        <v>16.8231244937163</v>
      </c>
      <c r="G1077" s="4">
        <v>18.219478977836513</v>
      </c>
      <c r="H1077" s="4">
        <v>19.733518406995035</v>
      </c>
      <c r="I1077" s="4">
        <v>21.401801433494999</v>
      </c>
      <c r="J1077" s="4">
        <v>23.243675175078931</v>
      </c>
      <c r="K1077" s="4">
        <v>25.27161995748617</v>
      </c>
      <c r="L1077" s="4">
        <v>27.466536574497589</v>
      </c>
      <c r="M1077" s="4">
        <v>29.808648126199081</v>
      </c>
      <c r="N1077" s="4">
        <v>32.32664255931445</v>
      </c>
      <c r="O1077"/>
      <c r="P1077"/>
      <c r="Q1077" s="11"/>
    </row>
    <row r="1078" spans="1:17" x14ac:dyDescent="0.35">
      <c r="A1078" s="3" t="s">
        <v>95</v>
      </c>
      <c r="B1078" s="4">
        <v>7.5467926653844311</v>
      </c>
      <c r="C1078" s="4">
        <v>8.2446395864605275</v>
      </c>
      <c r="D1078" s="4">
        <v>9.008527426657265</v>
      </c>
      <c r="E1078" s="4">
        <v>9.8678283443487462</v>
      </c>
      <c r="F1078" s="4">
        <v>10.82867783503578</v>
      </c>
      <c r="G1078" s="4">
        <v>11.896640054854817</v>
      </c>
      <c r="H1078" s="4">
        <v>13.072325007841908</v>
      </c>
      <c r="I1078" s="4">
        <v>14.353302789486923</v>
      </c>
      <c r="J1078" s="4">
        <v>15.745816376968726</v>
      </c>
      <c r="K1078" s="4">
        <v>17.294165169488267</v>
      </c>
      <c r="L1078" s="4">
        <v>19.01917176059532</v>
      </c>
      <c r="M1078" s="4">
        <v>20.918400273770953</v>
      </c>
      <c r="N1078" s="4">
        <v>22.9901255699655</v>
      </c>
      <c r="O1078"/>
      <c r="P1078"/>
      <c r="Q1078" s="11"/>
    </row>
    <row r="1079" spans="1:17" x14ac:dyDescent="0.35">
      <c r="A1079" s="3" t="s">
        <v>96</v>
      </c>
      <c r="B1079" s="4">
        <v>10.711937014558714</v>
      </c>
      <c r="C1079" s="4">
        <v>11.783594636424525</v>
      </c>
      <c r="D1079" s="4">
        <v>13.045143275313791</v>
      </c>
      <c r="E1079" s="4">
        <v>14.387915153354825</v>
      </c>
      <c r="F1079" s="4">
        <v>15.759593634918147</v>
      </c>
      <c r="G1079" s="4">
        <v>17.02723039028038</v>
      </c>
      <c r="H1079" s="4">
        <v>18.336762489538046</v>
      </c>
      <c r="I1079" s="4">
        <v>19.802559671105712</v>
      </c>
      <c r="J1079" s="4">
        <v>21.606524701578877</v>
      </c>
      <c r="K1079" s="4">
        <v>23.747107763569943</v>
      </c>
      <c r="L1079" s="4">
        <v>26.13853093088828</v>
      </c>
      <c r="M1079" s="4">
        <v>28.726955570127728</v>
      </c>
      <c r="N1079" s="4">
        <v>31.500897955085662</v>
      </c>
      <c r="O1079"/>
      <c r="P1079"/>
      <c r="Q1079" s="11"/>
    </row>
    <row r="1080" spans="1:17" x14ac:dyDescent="0.35">
      <c r="A1080" s="3" t="s">
        <v>97</v>
      </c>
      <c r="B1080" s="4">
        <v>6.4025474754227911</v>
      </c>
      <c r="C1080" s="4">
        <v>6.8228644374244043</v>
      </c>
      <c r="D1080" s="4">
        <v>7.2779222958756584</v>
      </c>
      <c r="E1080" s="4">
        <v>7.7736410893048857</v>
      </c>
      <c r="F1080" s="4">
        <v>8.3148776233310446</v>
      </c>
      <c r="G1080" s="4">
        <v>8.9070617359149828</v>
      </c>
      <c r="H1080" s="4">
        <v>9.5549937616817431</v>
      </c>
      <c r="I1080" s="4">
        <v>10.256724462278044</v>
      </c>
      <c r="J1080" s="4">
        <v>11.009820198383146</v>
      </c>
      <c r="K1080" s="4">
        <v>11.813152401784096</v>
      </c>
      <c r="L1080" s="4">
        <v>12.665311747922912</v>
      </c>
      <c r="M1080" s="4">
        <v>13.572157889490759</v>
      </c>
      <c r="N1080" s="4">
        <v>14.530770090730174</v>
      </c>
      <c r="O1080"/>
      <c r="P1080"/>
      <c r="Q1080" s="11"/>
    </row>
    <row r="1081" spans="1:17" x14ac:dyDescent="0.35">
      <c r="A1081" s="3" t="s">
        <v>98</v>
      </c>
      <c r="B1081" s="4">
        <v>17.547409757988021</v>
      </c>
      <c r="C1081" s="4">
        <v>18.857193115567757</v>
      </c>
      <c r="D1081" s="4">
        <v>20.1935151776201</v>
      </c>
      <c r="E1081" s="4">
        <v>21.589165615592151</v>
      </c>
      <c r="F1081" s="4">
        <v>23.107625022978137</v>
      </c>
      <c r="G1081" s="4">
        <v>24.811750864706909</v>
      </c>
      <c r="H1081" s="4">
        <v>26.749333193694731</v>
      </c>
      <c r="I1081" s="4">
        <v>28.896674309945418</v>
      </c>
      <c r="J1081" s="4">
        <v>31.195883050454267</v>
      </c>
      <c r="K1081" s="4">
        <v>33.6466990672102</v>
      </c>
      <c r="L1081" s="4">
        <v>36.286907919971114</v>
      </c>
      <c r="M1081" s="4">
        <v>39.160514424651772</v>
      </c>
      <c r="N1081" s="4">
        <v>42.247866173344285</v>
      </c>
      <c r="O1081"/>
      <c r="P1081"/>
      <c r="Q1081" s="11"/>
    </row>
    <row r="1082" spans="1:17" x14ac:dyDescent="0.35">
      <c r="A1082" s="3" t="s">
        <v>99</v>
      </c>
      <c r="B1082" s="4">
        <v>8.5566463942742388</v>
      </c>
      <c r="C1082" s="4">
        <v>8.9712919901446053</v>
      </c>
      <c r="D1082" s="4">
        <v>9.4209830051106014</v>
      </c>
      <c r="E1082" s="4">
        <v>9.9089166713699015</v>
      </c>
      <c r="F1082" s="4">
        <v>10.441939340927359</v>
      </c>
      <c r="G1082" s="4">
        <v>11.031479657133813</v>
      </c>
      <c r="H1082" s="4">
        <v>11.680044885056761</v>
      </c>
      <c r="I1082" s="4">
        <v>12.390100795194757</v>
      </c>
      <c r="J1082" s="4">
        <v>13.1474526171862</v>
      </c>
      <c r="K1082" s="4">
        <v>13.942333023317126</v>
      </c>
      <c r="L1082" s="4">
        <v>14.757386351319623</v>
      </c>
      <c r="M1082" s="4">
        <v>15.585652891584672</v>
      </c>
      <c r="N1082" s="4">
        <v>16.435966998456582</v>
      </c>
      <c r="O1082"/>
      <c r="P1082"/>
      <c r="Q1082" s="11"/>
    </row>
    <row r="1083" spans="1:17" x14ac:dyDescent="0.35">
      <c r="A1083" s="3" t="s">
        <v>100</v>
      </c>
      <c r="B1083" s="4">
        <v>9.1202991150410746</v>
      </c>
      <c r="C1083" s="4">
        <v>9.6217766440464558</v>
      </c>
      <c r="D1083" s="4">
        <v>10.166864092942268</v>
      </c>
      <c r="E1083" s="4">
        <v>10.759776301209962</v>
      </c>
      <c r="F1083" s="4">
        <v>11.40878557619841</v>
      </c>
      <c r="G1083" s="4">
        <v>12.12736528646804</v>
      </c>
      <c r="H1083" s="4">
        <v>12.919501758595207</v>
      </c>
      <c r="I1083" s="4">
        <v>13.789218084428535</v>
      </c>
      <c r="J1083" s="4">
        <v>14.722078467860067</v>
      </c>
      <c r="K1083" s="4">
        <v>15.708233475398892</v>
      </c>
      <c r="L1083" s="4">
        <v>16.729029380170719</v>
      </c>
      <c r="M1083" s="4">
        <v>17.777127067886887</v>
      </c>
      <c r="N1083" s="4">
        <v>18.863013844917813</v>
      </c>
      <c r="O1083"/>
      <c r="P1083"/>
      <c r="Q1083" s="11"/>
    </row>
    <row r="1084" spans="1:17" x14ac:dyDescent="0.35">
      <c r="A1084" s="1" t="s">
        <v>44</v>
      </c>
      <c r="O1084"/>
      <c r="P1084"/>
      <c r="Q1084" s="11"/>
    </row>
    <row r="1085" spans="1:17" x14ac:dyDescent="0.35">
      <c r="A1085" s="2" t="s">
        <v>54</v>
      </c>
      <c r="O1085"/>
      <c r="P1085"/>
      <c r="Q1085" s="11"/>
    </row>
    <row r="1086" spans="1:17" x14ac:dyDescent="0.35">
      <c r="A1086" s="3" t="s">
        <v>55</v>
      </c>
      <c r="B1086" s="4">
        <v>11.537101044391127</v>
      </c>
      <c r="C1086" s="4">
        <v>12.835645067133886</v>
      </c>
      <c r="D1086" s="4">
        <v>14.231862654413208</v>
      </c>
      <c r="E1086" s="4">
        <v>15.755027749652317</v>
      </c>
      <c r="F1086" s="4">
        <v>17.460439108371325</v>
      </c>
      <c r="G1086" s="4">
        <v>19.410046325661597</v>
      </c>
      <c r="H1086" s="4">
        <v>21.661660694478925</v>
      </c>
      <c r="I1086" s="4">
        <v>24.221801282000982</v>
      </c>
      <c r="J1086" s="4">
        <v>27.067324195575203</v>
      </c>
      <c r="K1086" s="4">
        <v>30.219946609782699</v>
      </c>
      <c r="L1086" s="4">
        <v>33.736937672447169</v>
      </c>
      <c r="M1086" s="4">
        <v>37.687616780151281</v>
      </c>
      <c r="N1086" s="4">
        <v>42.087630664117221</v>
      </c>
      <c r="O1086"/>
      <c r="P1086"/>
      <c r="Q1086" s="11"/>
    </row>
    <row r="1087" spans="1:17" x14ac:dyDescent="0.35">
      <c r="A1087" s="3" t="s">
        <v>56</v>
      </c>
      <c r="B1087" s="4">
        <v>36.7836624042626</v>
      </c>
      <c r="C1087" s="4">
        <v>40.041434122431689</v>
      </c>
      <c r="D1087" s="4">
        <v>43.658516011073466</v>
      </c>
      <c r="E1087" s="4">
        <v>47.620553253288136</v>
      </c>
      <c r="F1087" s="4">
        <v>51.862690420904933</v>
      </c>
      <c r="G1087" s="4">
        <v>56.455106970259607</v>
      </c>
      <c r="H1087" s="4">
        <v>61.459709619262256</v>
      </c>
      <c r="I1087" s="4">
        <v>66.996492629873472</v>
      </c>
      <c r="J1087" s="4">
        <v>73.133978099626219</v>
      </c>
      <c r="K1087" s="4">
        <v>79.920416369919224</v>
      </c>
      <c r="L1087" s="4">
        <v>87.305099495858457</v>
      </c>
      <c r="M1087" s="4">
        <v>95.2340517275682</v>
      </c>
      <c r="N1087" s="4">
        <v>103.80696180843468</v>
      </c>
      <c r="O1087"/>
      <c r="P1087"/>
      <c r="Q1087" s="11"/>
    </row>
    <row r="1088" spans="1:17" x14ac:dyDescent="0.35">
      <c r="A1088" s="3" t="s">
        <v>57</v>
      </c>
      <c r="B1088" s="4">
        <v>76.870832369204152</v>
      </c>
      <c r="C1088" s="4">
        <v>82.810676766501899</v>
      </c>
      <c r="D1088" s="4">
        <v>89.313009004721678</v>
      </c>
      <c r="E1088" s="4">
        <v>96.258922589341594</v>
      </c>
      <c r="F1088" s="4">
        <v>103.55250520707349</v>
      </c>
      <c r="G1088" s="4">
        <v>111.34694966507378</v>
      </c>
      <c r="H1088" s="4">
        <v>119.78375899940737</v>
      </c>
      <c r="I1088" s="4">
        <v>129.21918051512858</v>
      </c>
      <c r="J1088" s="4">
        <v>139.81779683846165</v>
      </c>
      <c r="K1088" s="4">
        <v>151.39057987074671</v>
      </c>
      <c r="L1088" s="4">
        <v>164.03479038583026</v>
      </c>
      <c r="M1088" s="4">
        <v>177.57101635940245</v>
      </c>
      <c r="N1088" s="4">
        <v>191.95790137066248</v>
      </c>
      <c r="O1088"/>
      <c r="P1088"/>
      <c r="Q1088" s="11"/>
    </row>
    <row r="1089" spans="1:17" x14ac:dyDescent="0.35">
      <c r="A1089" s="2" t="s">
        <v>47</v>
      </c>
      <c r="O1089"/>
      <c r="P1089"/>
      <c r="Q1089" s="11"/>
    </row>
    <row r="1090" spans="1:17" x14ac:dyDescent="0.35">
      <c r="A1090" s="3" t="s">
        <v>82</v>
      </c>
      <c r="B1090" s="4">
        <v>48.320763448653729</v>
      </c>
      <c r="C1090" s="4">
        <v>52.877079189565578</v>
      </c>
      <c r="D1090" s="4">
        <v>57.890378665486672</v>
      </c>
      <c r="E1090" s="4">
        <v>63.37558100294045</v>
      </c>
      <c r="F1090" s="4">
        <v>69.323129529276258</v>
      </c>
      <c r="G1090" s="4">
        <v>75.865153295921203</v>
      </c>
      <c r="H1090" s="4">
        <v>83.121370313741181</v>
      </c>
      <c r="I1090" s="4">
        <v>91.218293911874454</v>
      </c>
      <c r="J1090" s="4">
        <v>100.20130229520143</v>
      </c>
      <c r="K1090" s="4">
        <v>110.14036297970192</v>
      </c>
      <c r="L1090" s="4">
        <v>121.04203716830563</v>
      </c>
      <c r="M1090" s="4">
        <v>132.92166850771949</v>
      </c>
      <c r="N1090" s="4">
        <v>145.89459247255189</v>
      </c>
      <c r="O1090"/>
      <c r="P1090"/>
      <c r="Q1090" s="11"/>
    </row>
    <row r="1091" spans="1:17" x14ac:dyDescent="0.35">
      <c r="A1091" s="3" t="s">
        <v>83</v>
      </c>
      <c r="B1091" s="4">
        <v>76.870832369204152</v>
      </c>
      <c r="C1091" s="4">
        <v>82.810676766501899</v>
      </c>
      <c r="D1091" s="4">
        <v>89.313009004721678</v>
      </c>
      <c r="E1091" s="4">
        <v>96.258922589341594</v>
      </c>
      <c r="F1091" s="4">
        <v>103.55250520707349</v>
      </c>
      <c r="G1091" s="4">
        <v>111.34694966507378</v>
      </c>
      <c r="H1091" s="4">
        <v>119.78375899940737</v>
      </c>
      <c r="I1091" s="4">
        <v>129.21918051512858</v>
      </c>
      <c r="J1091" s="4">
        <v>139.81779683846165</v>
      </c>
      <c r="K1091" s="4">
        <v>151.39057987074671</v>
      </c>
      <c r="L1091" s="4">
        <v>164.03479038583026</v>
      </c>
      <c r="M1091" s="4">
        <v>177.57101635940245</v>
      </c>
      <c r="N1091" s="4">
        <v>191.95790137066248</v>
      </c>
      <c r="O1091"/>
      <c r="P1091"/>
      <c r="Q1091" s="11"/>
    </row>
    <row r="1092" spans="1:17" x14ac:dyDescent="0.35">
      <c r="A1092" s="2" t="s">
        <v>59</v>
      </c>
      <c r="O1092"/>
      <c r="P1092"/>
      <c r="Q1092" s="11"/>
    </row>
    <row r="1093" spans="1:17" x14ac:dyDescent="0.35">
      <c r="A1093" s="3" t="s">
        <v>60</v>
      </c>
      <c r="O1093"/>
      <c r="P1093"/>
      <c r="Q1093" s="11"/>
    </row>
    <row r="1094" spans="1:17" x14ac:dyDescent="0.35">
      <c r="A1094" s="34" t="s">
        <v>61</v>
      </c>
      <c r="B1094" s="4">
        <v>25.281905223562262</v>
      </c>
      <c r="C1094" s="4">
        <v>27.743741314639919</v>
      </c>
      <c r="D1094" s="4">
        <v>30.449207867703848</v>
      </c>
      <c r="E1094" s="4">
        <v>33.266104005301074</v>
      </c>
      <c r="F1094" s="4">
        <v>36.058572768942568</v>
      </c>
      <c r="G1094" s="4">
        <v>38.988502986861349</v>
      </c>
      <c r="H1094" s="4">
        <v>42.103597481841902</v>
      </c>
      <c r="I1094" s="4">
        <v>45.724032127235319</v>
      </c>
      <c r="J1094" s="4">
        <v>49.961996601185433</v>
      </c>
      <c r="K1094" s="4">
        <v>54.641579553528288</v>
      </c>
      <c r="L1094" s="4">
        <v>59.900772914803156</v>
      </c>
      <c r="M1094" s="4">
        <v>65.557526878517393</v>
      </c>
      <c r="N1094" s="4">
        <v>71.600027815584497</v>
      </c>
      <c r="O1094"/>
      <c r="P1094"/>
      <c r="Q1094" s="11"/>
    </row>
    <row r="1095" spans="1:17" x14ac:dyDescent="0.35">
      <c r="A1095" s="43" t="s">
        <v>62</v>
      </c>
      <c r="B1095" s="4">
        <v>4.4652586299826487</v>
      </c>
      <c r="C1095" s="4">
        <v>4.9758955872593393</v>
      </c>
      <c r="D1095" s="4">
        <v>5.55114771062979</v>
      </c>
      <c r="E1095" s="4">
        <v>6.1887400803848944</v>
      </c>
      <c r="F1095" s="4">
        <v>6.887187398868031</v>
      </c>
      <c r="G1095" s="4">
        <v>7.66101632076131</v>
      </c>
      <c r="H1095" s="4">
        <v>8.5256214320747734</v>
      </c>
      <c r="I1095" s="4">
        <v>9.5133808004493776</v>
      </c>
      <c r="J1095" s="4">
        <v>10.646498240400069</v>
      </c>
      <c r="K1095" s="4">
        <v>11.922563629687589</v>
      </c>
      <c r="L1095" s="4">
        <v>13.360517275878736</v>
      </c>
      <c r="M1095" s="4">
        <v>14.95853876741945</v>
      </c>
      <c r="N1095" s="4">
        <v>16.725258215592369</v>
      </c>
      <c r="O1095"/>
      <c r="P1095"/>
      <c r="Q1095" s="11"/>
    </row>
    <row r="1096" spans="1:17" x14ac:dyDescent="0.35">
      <c r="A1096" s="43" t="s">
        <v>63</v>
      </c>
      <c r="B1096" s="4">
        <v>9.9756476480381426</v>
      </c>
      <c r="C1096" s="4">
        <v>10.802060996683799</v>
      </c>
      <c r="D1096" s="4">
        <v>11.714940405199624</v>
      </c>
      <c r="E1096" s="4">
        <v>12.724491919423972</v>
      </c>
      <c r="F1096" s="4">
        <v>13.846491943273943</v>
      </c>
      <c r="G1096" s="4">
        <v>15.104349880407867</v>
      </c>
      <c r="H1096" s="4">
        <v>16.511718986338629</v>
      </c>
      <c r="I1096" s="4">
        <v>18.083245131887349</v>
      </c>
      <c r="J1096" s="4">
        <v>19.810371243472019</v>
      </c>
      <c r="K1096" s="4">
        <v>21.689247813509844</v>
      </c>
      <c r="L1096" s="4">
        <v>23.702944323580979</v>
      </c>
      <c r="M1096" s="4">
        <v>25.848291744190291</v>
      </c>
      <c r="N1096" s="4">
        <v>28.147282145569392</v>
      </c>
      <c r="O1096"/>
      <c r="P1096"/>
      <c r="Q1096" s="11"/>
    </row>
    <row r="1097" spans="1:17" x14ac:dyDescent="0.35">
      <c r="A1097" s="43" t="s">
        <v>64</v>
      </c>
      <c r="B1097" s="4">
        <v>10.840998945541472</v>
      </c>
      <c r="C1097" s="4">
        <v>11.965784730696781</v>
      </c>
      <c r="D1097" s="4">
        <v>13.183119751874436</v>
      </c>
      <c r="E1097" s="4">
        <v>14.352872005492209</v>
      </c>
      <c r="F1097" s="4">
        <v>15.324893426800593</v>
      </c>
      <c r="G1097" s="4">
        <v>16.223136785692173</v>
      </c>
      <c r="H1097" s="4">
        <v>17.066257063428502</v>
      </c>
      <c r="I1097" s="4">
        <v>18.12740619489859</v>
      </c>
      <c r="J1097" s="4">
        <v>19.505127117313343</v>
      </c>
      <c r="K1097" s="4">
        <v>21.029768110330856</v>
      </c>
      <c r="L1097" s="4">
        <v>22.837311315343442</v>
      </c>
      <c r="M1097" s="4">
        <v>24.750696366907654</v>
      </c>
      <c r="N1097" s="4">
        <v>26.727487454422736</v>
      </c>
      <c r="O1097"/>
      <c r="P1097"/>
      <c r="Q1097" s="11"/>
    </row>
    <row r="1098" spans="1:17" x14ac:dyDescent="0.35">
      <c r="A1098" s="34" t="s">
        <v>65</v>
      </c>
      <c r="B1098" s="4">
        <v>23.011254914026328</v>
      </c>
      <c r="C1098" s="4">
        <v>24.811333106970689</v>
      </c>
      <c r="D1098" s="4">
        <v>26.778217023494228</v>
      </c>
      <c r="E1098" s="4">
        <v>28.938958733779373</v>
      </c>
      <c r="F1098" s="4">
        <v>31.31780423756765</v>
      </c>
      <c r="G1098" s="4">
        <v>33.942155382764511</v>
      </c>
      <c r="H1098" s="4">
        <v>36.838141758545909</v>
      </c>
      <c r="I1098" s="4">
        <v>40.006916237341464</v>
      </c>
      <c r="J1098" s="4">
        <v>43.447598261191587</v>
      </c>
      <c r="K1098" s="4">
        <v>47.164221234975088</v>
      </c>
      <c r="L1098" s="4">
        <v>51.159695084976818</v>
      </c>
      <c r="M1098" s="4">
        <v>55.466234867096283</v>
      </c>
      <c r="N1098" s="4">
        <v>60.081490582127557</v>
      </c>
      <c r="O1098"/>
      <c r="P1098"/>
      <c r="Q1098" s="11"/>
    </row>
    <row r="1099" spans="1:17" x14ac:dyDescent="0.35">
      <c r="A1099" s="34" t="s">
        <v>66</v>
      </c>
      <c r="B1099" s="4">
        <v>14.517097326914543</v>
      </c>
      <c r="C1099" s="4">
        <v>15.619880138648393</v>
      </c>
      <c r="D1099" s="4">
        <v>16.834047249845408</v>
      </c>
      <c r="E1099" s="4">
        <v>18.149616379194665</v>
      </c>
      <c r="F1099" s="4">
        <v>19.537712735363304</v>
      </c>
      <c r="G1099" s="4">
        <v>21.021567136515291</v>
      </c>
      <c r="H1099" s="4">
        <v>22.620176701169289</v>
      </c>
      <c r="I1099" s="4">
        <v>24.372939590756292</v>
      </c>
      <c r="J1099" s="4">
        <v>26.298590637073719</v>
      </c>
      <c r="K1099" s="4">
        <v>28.407561170256525</v>
      </c>
      <c r="L1099" s="4">
        <v>30.674460385804156</v>
      </c>
      <c r="M1099" s="4">
        <v>33.073742467719022</v>
      </c>
      <c r="N1099" s="4">
        <v>35.634247727064491</v>
      </c>
      <c r="O1099"/>
      <c r="P1099"/>
      <c r="Q1099" s="11"/>
    </row>
    <row r="1100" spans="1:17" x14ac:dyDescent="0.35">
      <c r="A1100" s="34" t="s">
        <v>67</v>
      </c>
      <c r="B1100" s="4">
        <v>9.4553637676688105</v>
      </c>
      <c r="C1100" s="4">
        <v>10.082111393278536</v>
      </c>
      <c r="D1100" s="4">
        <v>10.712321039647742</v>
      </c>
      <c r="E1100" s="4">
        <v>11.36316014113128</v>
      </c>
      <c r="F1100" s="4">
        <v>12.067410807136159</v>
      </c>
      <c r="G1100" s="4">
        <v>12.85649479965987</v>
      </c>
      <c r="H1100" s="4">
        <v>13.753025085354979</v>
      </c>
      <c r="I1100" s="4">
        <v>14.742125670917819</v>
      </c>
      <c r="J1100" s="4">
        <v>15.791895960964013</v>
      </c>
      <c r="K1100" s="4">
        <v>16.900557996164764</v>
      </c>
      <c r="L1100" s="4">
        <v>18.085471577070614</v>
      </c>
      <c r="M1100" s="4">
        <v>19.366530729800559</v>
      </c>
      <c r="N1100" s="4">
        <v>20.731497682984358</v>
      </c>
      <c r="O1100"/>
      <c r="P1100"/>
      <c r="Q1100" s="11"/>
    </row>
    <row r="1101" spans="1:17" x14ac:dyDescent="0.35">
      <c r="A1101" s="34" t="s">
        <v>68</v>
      </c>
      <c r="B1101" s="4">
        <v>15.649753055455404</v>
      </c>
      <c r="C1101" s="4">
        <v>17.090392478836332</v>
      </c>
      <c r="D1101" s="4">
        <v>18.681554314445364</v>
      </c>
      <c r="E1101" s="4">
        <v>20.447323162495518</v>
      </c>
      <c r="F1101" s="4">
        <v>22.410905784681436</v>
      </c>
      <c r="G1101" s="4">
        <v>24.598804490724849</v>
      </c>
      <c r="H1101" s="4">
        <v>27.037784022617668</v>
      </c>
      <c r="I1101" s="4">
        <v>29.737451248046998</v>
      </c>
      <c r="J1101" s="4">
        <v>32.706179079265418</v>
      </c>
      <c r="K1101" s="4">
        <v>35.95624954275781</v>
      </c>
      <c r="L1101" s="4">
        <v>39.49949289590473</v>
      </c>
      <c r="M1101" s="4">
        <v>43.370738291929186</v>
      </c>
      <c r="N1101" s="4">
        <v>47.579325572131701</v>
      </c>
      <c r="O1101"/>
      <c r="P1101"/>
      <c r="Q1101" s="11"/>
    </row>
    <row r="1102" spans="1:17" x14ac:dyDescent="0.35">
      <c r="A1102" s="34" t="s">
        <v>69</v>
      </c>
      <c r="B1102" s="4">
        <v>17.500723683806282</v>
      </c>
      <c r="C1102" s="4">
        <v>18.569476738589412</v>
      </c>
      <c r="D1102" s="4">
        <v>19.740636510214571</v>
      </c>
      <c r="E1102" s="4">
        <v>20.97908003632752</v>
      </c>
      <c r="F1102" s="4">
        <v>22.267246132215529</v>
      </c>
      <c r="G1102" s="4">
        <v>23.575129409207548</v>
      </c>
      <c r="H1102" s="4">
        <v>24.967690560512846</v>
      </c>
      <c r="I1102" s="4">
        <v>26.492444395813923</v>
      </c>
      <c r="J1102" s="4">
        <v>28.198621689571223</v>
      </c>
      <c r="K1102" s="4">
        <v>30.089877239234564</v>
      </c>
      <c r="L1102" s="4">
        <v>32.118007513424295</v>
      </c>
      <c r="M1102" s="4">
        <v>34.240014648004518</v>
      </c>
      <c r="N1102" s="4">
        <v>36.457525477043873</v>
      </c>
      <c r="O1102"/>
      <c r="P1102"/>
      <c r="Q1102" s="11"/>
    </row>
    <row r="1103" spans="1:17" x14ac:dyDescent="0.35">
      <c r="A1103" s="3" t="s">
        <v>70</v>
      </c>
      <c r="O1103"/>
      <c r="P1103"/>
      <c r="Q1103" s="11"/>
    </row>
    <row r="1104" spans="1:17" x14ac:dyDescent="0.35">
      <c r="A1104" s="34" t="s">
        <v>71</v>
      </c>
      <c r="B1104" s="4">
        <v>2.6896961484336841</v>
      </c>
      <c r="C1104" s="4">
        <v>2.992583621963413</v>
      </c>
      <c r="D1104" s="4">
        <v>3.3345669822480675</v>
      </c>
      <c r="E1104" s="4">
        <v>3.7211887731160922</v>
      </c>
      <c r="F1104" s="4">
        <v>4.1600792742955184</v>
      </c>
      <c r="G1104" s="4">
        <v>4.6618276578334381</v>
      </c>
      <c r="H1104" s="4">
        <v>5.234969659195901</v>
      </c>
      <c r="I1104" s="4">
        <v>5.8890457563913792</v>
      </c>
      <c r="J1104" s="4">
        <v>6.6268075088491267</v>
      </c>
      <c r="K1104" s="4">
        <v>7.4525759395367777</v>
      </c>
      <c r="L1104" s="4">
        <v>8.366338465110827</v>
      </c>
      <c r="M1104" s="4">
        <v>9.372616225997783</v>
      </c>
      <c r="N1104" s="4">
        <v>10.485229122953109</v>
      </c>
      <c r="O1104"/>
      <c r="P1104"/>
      <c r="Q1104" s="11"/>
    </row>
    <row r="1105" spans="1:17" x14ac:dyDescent="0.35">
      <c r="A1105" s="34" t="s">
        <v>72</v>
      </c>
      <c r="B1105" s="4">
        <v>2.0051894043646858</v>
      </c>
      <c r="C1105" s="4">
        <v>2.2680152896471624</v>
      </c>
      <c r="D1105" s="4">
        <v>2.5681255312584996</v>
      </c>
      <c r="E1105" s="4">
        <v>2.906021120496562</v>
      </c>
      <c r="F1105" s="4">
        <v>3.2825625523738089</v>
      </c>
      <c r="G1105" s="4">
        <v>3.7062522485566785</v>
      </c>
      <c r="H1105" s="4">
        <v>4.1864819064647856</v>
      </c>
      <c r="I1105" s="4">
        <v>4.7414957343873887</v>
      </c>
      <c r="J1105" s="4">
        <v>5.3854991870925994</v>
      </c>
      <c r="K1105" s="4">
        <v>6.1210121470228867</v>
      </c>
      <c r="L1105" s="4">
        <v>6.9615669654753534</v>
      </c>
      <c r="M1105" s="4">
        <v>7.9105875982275977</v>
      </c>
      <c r="N1105" s="4">
        <v>8.9771155447059616</v>
      </c>
      <c r="O1105"/>
      <c r="P1105"/>
      <c r="Q1105" s="11"/>
    </row>
    <row r="1106" spans="1:17" x14ac:dyDescent="0.35">
      <c r="A1106" s="34" t="s">
        <v>73</v>
      </c>
      <c r="B1106" s="4">
        <v>1.9264190300795516</v>
      </c>
      <c r="C1106" s="4">
        <v>2.1061718004774903</v>
      </c>
      <c r="D1106" s="4">
        <v>2.3069095158477477</v>
      </c>
      <c r="E1106" s="4">
        <v>2.5260104282628961</v>
      </c>
      <c r="F1106" s="4">
        <v>2.762552643086869</v>
      </c>
      <c r="G1106" s="4">
        <v>3.0138784817427826</v>
      </c>
      <c r="H1106" s="4">
        <v>3.2890735523557182</v>
      </c>
      <c r="I1106" s="4">
        <v>3.5959746335052931</v>
      </c>
      <c r="J1106" s="4">
        <v>3.9434990153170744</v>
      </c>
      <c r="K1106" s="4">
        <v>4.3351250585475931</v>
      </c>
      <c r="L1106" s="4">
        <v>4.767088243383852</v>
      </c>
      <c r="M1106" s="4">
        <v>5.235737250652547</v>
      </c>
      <c r="N1106" s="4">
        <v>5.7436243102607589</v>
      </c>
      <c r="O1106"/>
      <c r="P1106"/>
      <c r="Q1106" s="11"/>
    </row>
    <row r="1107" spans="1:17" x14ac:dyDescent="0.35">
      <c r="A1107" s="34" t="s">
        <v>74</v>
      </c>
      <c r="B1107" s="4">
        <v>2.2117129052707107</v>
      </c>
      <c r="C1107" s="4">
        <v>2.4387098445445594</v>
      </c>
      <c r="D1107" s="4">
        <v>2.6933154174393512</v>
      </c>
      <c r="E1107" s="4">
        <v>2.9756257509604538</v>
      </c>
      <c r="F1107" s="4">
        <v>3.2825625523738089</v>
      </c>
      <c r="G1107" s="4">
        <v>3.6194118929743202</v>
      </c>
      <c r="H1107" s="4">
        <v>3.9911824939716243</v>
      </c>
      <c r="I1107" s="4">
        <v>4.4068892359031944</v>
      </c>
      <c r="J1107" s="4">
        <v>4.8725975252130835</v>
      </c>
      <c r="K1107" s="4">
        <v>5.3932973019394161</v>
      </c>
      <c r="L1107" s="4">
        <v>5.9675148298898355</v>
      </c>
      <c r="M1107" s="4">
        <v>6.5934305363140915</v>
      </c>
      <c r="N1107" s="4">
        <v>7.2797252375278321</v>
      </c>
      <c r="O1107"/>
      <c r="P1107"/>
      <c r="Q1107" s="11"/>
    </row>
    <row r="1108" spans="1:17" x14ac:dyDescent="0.35">
      <c r="A1108" s="34" t="s">
        <v>75</v>
      </c>
      <c r="B1108" s="4">
        <v>1.8017273254773871</v>
      </c>
      <c r="C1108" s="4">
        <v>2.0028956282430284</v>
      </c>
      <c r="D1108" s="4">
        <v>2.2300655995275558</v>
      </c>
      <c r="E1108" s="4">
        <v>2.4839316174821526</v>
      </c>
      <c r="F1108" s="4">
        <v>2.762552643086869</v>
      </c>
      <c r="G1108" s="4">
        <v>3.0709552419300934</v>
      </c>
      <c r="H1108" s="4">
        <v>3.4140877282260691</v>
      </c>
      <c r="I1108" s="4">
        <v>3.8004781641059227</v>
      </c>
      <c r="J1108" s="4">
        <v>4.2363791560365156</v>
      </c>
      <c r="K1108" s="4">
        <v>4.7272988166434837</v>
      </c>
      <c r="L1108" s="4">
        <v>5.2732439539231928</v>
      </c>
      <c r="M1108" s="4">
        <v>5.8738990736552914</v>
      </c>
      <c r="N1108" s="4">
        <v>6.5382762743551961</v>
      </c>
      <c r="O1108"/>
      <c r="P1108"/>
      <c r="Q1108" s="11"/>
    </row>
    <row r="1109" spans="1:17" x14ac:dyDescent="0.35">
      <c r="A1109" s="3" t="s">
        <v>76</v>
      </c>
      <c r="O1109"/>
      <c r="P1109"/>
      <c r="Q1109" s="11"/>
    </row>
    <row r="1110" spans="1:17" x14ac:dyDescent="0.35">
      <c r="A1110" s="34" t="s">
        <v>77</v>
      </c>
      <c r="B1110" s="4">
        <v>2.6184802880669671</v>
      </c>
      <c r="C1110" s="4">
        <v>2.8708497144888376</v>
      </c>
      <c r="D1110" s="4">
        <v>3.1526174802370237</v>
      </c>
      <c r="E1110" s="4">
        <v>3.4633552376444317</v>
      </c>
      <c r="F1110" s="4">
        <v>3.7989420733312849</v>
      </c>
      <c r="G1110" s="4">
        <v>4.1650229945758559</v>
      </c>
      <c r="H1110" s="4">
        <v>4.5667888713187823</v>
      </c>
      <c r="I1110" s="4">
        <v>5.0138884606035594</v>
      </c>
      <c r="J1110" s="4">
        <v>5.5123865232137819</v>
      </c>
      <c r="K1110" s="4">
        <v>6.0669821571483613</v>
      </c>
      <c r="L1110" s="4">
        <v>6.6749838461339559</v>
      </c>
      <c r="M1110" s="4">
        <v>7.333359386698814</v>
      </c>
      <c r="N1110" s="4">
        <v>8.0508095545780805</v>
      </c>
      <c r="O1110"/>
      <c r="P1110"/>
      <c r="Q1110" s="11"/>
    </row>
    <row r="1111" spans="1:17" x14ac:dyDescent="0.35">
      <c r="A1111" s="34" t="s">
        <v>78</v>
      </c>
      <c r="B1111" s="4">
        <v>2.5218991287570658</v>
      </c>
      <c r="C1111" s="4">
        <v>2.7269301205092757</v>
      </c>
      <c r="D1111" s="4">
        <v>2.9534507116166262</v>
      </c>
      <c r="E1111" s="4">
        <v>3.2000199185979423</v>
      </c>
      <c r="F1111" s="4">
        <v>3.4618345855954038</v>
      </c>
      <c r="G1111" s="4">
        <v>3.7432264666346504</v>
      </c>
      <c r="H1111" s="4">
        <v>4.0478576654977561</v>
      </c>
      <c r="I1111" s="4">
        <v>4.3831114440412549</v>
      </c>
      <c r="J1111" s="4">
        <v>4.7527986961992035</v>
      </c>
      <c r="K1111" s="4">
        <v>5.159301341673463</v>
      </c>
      <c r="L1111" s="4">
        <v>5.5985383009052327</v>
      </c>
      <c r="M1111" s="4">
        <v>6.0663152127516735</v>
      </c>
      <c r="N1111" s="4">
        <v>6.5683263827971894</v>
      </c>
      <c r="O1111"/>
      <c r="P1111"/>
      <c r="Q1111" s="11"/>
    </row>
    <row r="1112" spans="1:17" x14ac:dyDescent="0.35">
      <c r="A1112" s="34" t="s">
        <v>79</v>
      </c>
      <c r="B1112" s="4">
        <v>1.4507432224882328</v>
      </c>
      <c r="C1112" s="4">
        <v>1.6150050598476742</v>
      </c>
      <c r="D1112" s="4">
        <v>1.7995575163965889</v>
      </c>
      <c r="E1112" s="4">
        <v>2.0077488213313215</v>
      </c>
      <c r="F1112" s="4">
        <v>2.2430613607041381</v>
      </c>
      <c r="G1112" s="4">
        <v>2.509531259678043</v>
      </c>
      <c r="H1112" s="4">
        <v>2.8114811423662762</v>
      </c>
      <c r="I1112" s="4">
        <v>3.151723348509218</v>
      </c>
      <c r="J1112" s="4">
        <v>3.5330887454095539</v>
      </c>
      <c r="K1112" s="4">
        <v>3.9589766484295534</v>
      </c>
      <c r="L1112" s="4">
        <v>4.4329219157132966</v>
      </c>
      <c r="M1112" s="4">
        <v>4.9612303274458851</v>
      </c>
      <c r="N1112" s="4">
        <v>5.5476893422012452</v>
      </c>
      <c r="O1112"/>
      <c r="P1112"/>
      <c r="Q1112" s="11"/>
    </row>
    <row r="1113" spans="1:17" x14ac:dyDescent="0.35">
      <c r="A1113" s="34" t="s">
        <v>80</v>
      </c>
      <c r="B1113" s="4">
        <v>1.1865437737898072</v>
      </c>
      <c r="C1113" s="4">
        <v>1.2674968972365508</v>
      </c>
      <c r="D1113" s="4">
        <v>1.3553009815528474</v>
      </c>
      <c r="E1113" s="4">
        <v>1.4511075813880401</v>
      </c>
      <c r="F1113" s="4">
        <v>1.5558807126271477</v>
      </c>
      <c r="G1113" s="4">
        <v>1.6707006925639469</v>
      </c>
      <c r="H1113" s="4">
        <v>1.7965399202280701</v>
      </c>
      <c r="I1113" s="4">
        <v>1.933110813509529</v>
      </c>
      <c r="J1113" s="4">
        <v>2.0800314501151198</v>
      </c>
      <c r="K1113" s="4">
        <v>2.237162551459233</v>
      </c>
      <c r="L1113" s="4">
        <v>2.4043101046463566</v>
      </c>
      <c r="M1113" s="4">
        <v>2.582657911071347</v>
      </c>
      <c r="N1113" s="4">
        <v>2.7717301206129301</v>
      </c>
      <c r="O1113"/>
      <c r="P1113"/>
      <c r="Q1113" s="11"/>
    </row>
    <row r="1114" spans="1:17" x14ac:dyDescent="0.35">
      <c r="A1114" s="34" t="s">
        <v>81</v>
      </c>
      <c r="B1114" s="4">
        <v>1.363086619696174</v>
      </c>
      <c r="C1114" s="4">
        <v>1.4821628081461946</v>
      </c>
      <c r="D1114" s="4">
        <v>1.6134939287328849</v>
      </c>
      <c r="E1114" s="4">
        <v>1.7552518847727139</v>
      </c>
      <c r="F1114" s="4">
        <v>1.9059538729682559</v>
      </c>
      <c r="G1114" s="4">
        <v>2.0686418187717592</v>
      </c>
      <c r="H1114" s="4">
        <v>2.2462507634809765</v>
      </c>
      <c r="I1114" s="4">
        <v>2.4458475659344998</v>
      </c>
      <c r="J1114" s="4">
        <v>2.6711290969656387</v>
      </c>
      <c r="K1114" s="4">
        <v>2.9191641511308135</v>
      </c>
      <c r="L1114" s="4">
        <v>3.1924205569702413</v>
      </c>
      <c r="M1114" s="4">
        <v>3.4880634612399568</v>
      </c>
      <c r="N1114" s="4">
        <v>3.8058530962855235</v>
      </c>
      <c r="O1114"/>
      <c r="P1114"/>
      <c r="Q1114" s="11"/>
    </row>
    <row r="1115" spans="1:17" x14ac:dyDescent="0.35">
      <c r="A1115" s="2" t="s">
        <v>84</v>
      </c>
      <c r="O1115"/>
      <c r="P1115"/>
      <c r="Q1115" s="11"/>
    </row>
    <row r="1116" spans="1:17" x14ac:dyDescent="0.35">
      <c r="A1116" s="3" t="s">
        <v>85</v>
      </c>
      <c r="B1116" s="4">
        <v>7.3993100006938013</v>
      </c>
      <c r="C1116" s="4">
        <v>7.8228710640486883</v>
      </c>
      <c r="D1116" s="4">
        <v>8.2837162869439069</v>
      </c>
      <c r="E1116" s="4">
        <v>8.785516089163707</v>
      </c>
      <c r="F1116" s="4">
        <v>9.335284275762886</v>
      </c>
      <c r="G1116" s="4">
        <v>9.9443492064858177</v>
      </c>
      <c r="H1116" s="4">
        <v>10.61635503630724</v>
      </c>
      <c r="I1116" s="4">
        <v>11.355005480584065</v>
      </c>
      <c r="J1116" s="4">
        <v>12.148833751905485</v>
      </c>
      <c r="K1116" s="4">
        <v>12.990059323860448</v>
      </c>
      <c r="L1116" s="4">
        <v>13.863554027866339</v>
      </c>
      <c r="M1116" s="4">
        <v>14.763437122238276</v>
      </c>
      <c r="N1116" s="4">
        <v>15.698581550272481</v>
      </c>
      <c r="O1116"/>
      <c r="P1116"/>
      <c r="Q1116" s="11"/>
    </row>
    <row r="1117" spans="1:17" x14ac:dyDescent="0.35">
      <c r="A1117" s="3" t="s">
        <v>86</v>
      </c>
      <c r="B1117" s="4">
        <v>23.673791556185869</v>
      </c>
      <c r="C1117" s="4">
        <v>25.230476400874569</v>
      </c>
      <c r="D1117" s="4">
        <v>26.894147485091835</v>
      </c>
      <c r="E1117" s="4">
        <v>28.741070335928828</v>
      </c>
      <c r="F1117" s="4">
        <v>30.771862983070253</v>
      </c>
      <c r="G1117" s="4">
        <v>32.98466126538051</v>
      </c>
      <c r="H1117" s="4">
        <v>35.363226095588438</v>
      </c>
      <c r="I1117" s="4">
        <v>37.883841252780428</v>
      </c>
      <c r="J1117" s="4">
        <v>40.547197553145764</v>
      </c>
      <c r="K1117" s="4">
        <v>43.451198474068882</v>
      </c>
      <c r="L1117" s="4">
        <v>46.624495429753956</v>
      </c>
      <c r="M1117" s="4">
        <v>50.034840245462313</v>
      </c>
      <c r="N1117" s="4">
        <v>53.653595129350528</v>
      </c>
      <c r="O1117"/>
      <c r="P1117"/>
      <c r="Q1117" s="11"/>
    </row>
    <row r="1118" spans="1:17" x14ac:dyDescent="0.35">
      <c r="A1118" s="3" t="s">
        <v>87</v>
      </c>
      <c r="B1118" s="4">
        <v>42.150607424529198</v>
      </c>
      <c r="C1118" s="4">
        <v>46.385158877928518</v>
      </c>
      <c r="D1118" s="4">
        <v>51.239088246525839</v>
      </c>
      <c r="E1118" s="4">
        <v>56.420805096104644</v>
      </c>
      <c r="F1118" s="4">
        <v>61.716601600876871</v>
      </c>
      <c r="G1118" s="4">
        <v>67.272256433023514</v>
      </c>
      <c r="H1118" s="4">
        <v>73.264000359703459</v>
      </c>
      <c r="I1118" s="4">
        <v>80.211611540225618</v>
      </c>
      <c r="J1118" s="4">
        <v>88.408058333740826</v>
      </c>
      <c r="K1118" s="4">
        <v>97.552300970862603</v>
      </c>
      <c r="L1118" s="4">
        <v>107.64131817073931</v>
      </c>
      <c r="M1118" s="4">
        <v>118.48509470919657</v>
      </c>
      <c r="N1118" s="4">
        <v>130.19526584383391</v>
      </c>
      <c r="O1118"/>
      <c r="P1118"/>
      <c r="Q1118" s="11"/>
    </row>
    <row r="1119" spans="1:17" x14ac:dyDescent="0.35">
      <c r="A1119" s="3" t="s">
        <v>88</v>
      </c>
      <c r="B1119" s="4">
        <v>28.375358776044813</v>
      </c>
      <c r="C1119" s="4">
        <v>30.867938541926925</v>
      </c>
      <c r="D1119" s="4">
        <v>33.462880754313439</v>
      </c>
      <c r="E1119" s="4">
        <v>36.217356254449541</v>
      </c>
      <c r="F1119" s="4">
        <v>39.242769085151394</v>
      </c>
      <c r="G1119" s="4">
        <v>42.654845506485707</v>
      </c>
      <c r="H1119" s="4">
        <v>46.548886595581557</v>
      </c>
      <c r="I1119" s="4">
        <v>50.900136796128045</v>
      </c>
      <c r="J1119" s="4">
        <v>55.621995648810817</v>
      </c>
      <c r="K1119" s="4">
        <v>60.726021544509315</v>
      </c>
      <c r="L1119" s="4">
        <v>66.292724185323806</v>
      </c>
      <c r="M1119" s="4">
        <v>72.41763082860632</v>
      </c>
      <c r="N1119" s="4">
        <v>79.082873462010099</v>
      </c>
      <c r="O1119"/>
      <c r="P1119"/>
      <c r="Q1119" s="11"/>
    </row>
    <row r="1120" spans="1:17" x14ac:dyDescent="0.35">
      <c r="A1120" s="3" t="s">
        <v>89</v>
      </c>
      <c r="B1120" s="4">
        <v>7.3939560449221045</v>
      </c>
      <c r="C1120" s="4">
        <v>8.0049070780896621</v>
      </c>
      <c r="D1120" s="4">
        <v>8.6804907172884178</v>
      </c>
      <c r="E1120" s="4">
        <v>9.4167120326012981</v>
      </c>
      <c r="F1120" s="4">
        <v>10.199662449444634</v>
      </c>
      <c r="G1120" s="4">
        <v>11.042279376346976</v>
      </c>
      <c r="H1120" s="4">
        <v>11.955588367799637</v>
      </c>
      <c r="I1120" s="4">
        <v>12.961659782272205</v>
      </c>
      <c r="J1120" s="4">
        <v>14.072108103990999</v>
      </c>
      <c r="K1120" s="4">
        <v>15.294373600915145</v>
      </c>
      <c r="L1120" s="4">
        <v>16.616773643635092</v>
      </c>
      <c r="M1120" s="4">
        <v>18.027232020591999</v>
      </c>
      <c r="N1120" s="4">
        <v>19.542999372004907</v>
      </c>
      <c r="O1120"/>
      <c r="P1120"/>
      <c r="Q1120" s="11"/>
    </row>
    <row r="1121" spans="1:17" x14ac:dyDescent="0.35">
      <c r="A1121" s="3" t="s">
        <v>90</v>
      </c>
      <c r="B1121" s="4">
        <v>16.198572015482096</v>
      </c>
      <c r="C1121" s="4">
        <v>17.376403993199109</v>
      </c>
      <c r="D1121" s="4">
        <v>18.643064180044906</v>
      </c>
      <c r="E1121" s="4">
        <v>20.053043784034035</v>
      </c>
      <c r="F1121" s="4">
        <v>21.609454342043719</v>
      </c>
      <c r="G1121" s="4">
        <v>23.313711173272438</v>
      </c>
      <c r="H1121" s="4">
        <v>25.157072858168231</v>
      </c>
      <c r="I1121" s="4">
        <v>27.125219575012679</v>
      </c>
      <c r="J1121" s="4">
        <v>29.220905742069188</v>
      </c>
      <c r="K1121" s="4">
        <v>31.516988936232252</v>
      </c>
      <c r="L1121" s="4">
        <v>34.037962096817374</v>
      </c>
      <c r="M1121" s="4">
        <v>36.764449941026463</v>
      </c>
      <c r="N1121" s="4">
        <v>39.67917848574244</v>
      </c>
      <c r="O1121"/>
      <c r="P1121"/>
      <c r="Q1121" s="11"/>
    </row>
    <row r="1122" spans="1:17" x14ac:dyDescent="0.35">
      <c r="A1122" s="2" t="s">
        <v>91</v>
      </c>
      <c r="O1122"/>
      <c r="P1122"/>
      <c r="Q1122" s="11"/>
    </row>
    <row r="1123" spans="1:17" x14ac:dyDescent="0.35">
      <c r="A1123" s="3" t="s">
        <v>92</v>
      </c>
      <c r="B1123" s="4">
        <v>53.523812528610755</v>
      </c>
      <c r="C1123" s="4">
        <v>58.387999908851867</v>
      </c>
      <c r="D1123" s="4">
        <v>63.473697968253596</v>
      </c>
      <c r="E1123" s="4">
        <v>68.891189966549817</v>
      </c>
      <c r="F1123" s="4">
        <v>74.855149840839445</v>
      </c>
      <c r="G1123" s="4">
        <v>81.590895582556698</v>
      </c>
      <c r="H1123" s="4">
        <v>89.287178058291147</v>
      </c>
      <c r="I1123" s="4">
        <v>97.904536201222498</v>
      </c>
      <c r="J1123" s="4">
        <v>107.28407916309888</v>
      </c>
      <c r="K1123" s="4">
        <v>117.45445490415008</v>
      </c>
      <c r="L1123" s="4">
        <v>128.57797649881417</v>
      </c>
      <c r="M1123" s="4">
        <v>140.84787303376029</v>
      </c>
      <c r="N1123" s="4">
        <v>154.23895350916331</v>
      </c>
      <c r="O1123"/>
      <c r="P1123"/>
      <c r="Q1123" s="11"/>
    </row>
    <row r="1124" spans="1:17" x14ac:dyDescent="0.35">
      <c r="A1124" s="3" t="s">
        <v>93</v>
      </c>
      <c r="B1124" s="4">
        <v>71.667783289247126</v>
      </c>
      <c r="C1124" s="4">
        <v>77.299756047215595</v>
      </c>
      <c r="D1124" s="4">
        <v>83.729689701954754</v>
      </c>
      <c r="E1124" s="4">
        <v>90.743313625732227</v>
      </c>
      <c r="F1124" s="4">
        <v>98.020484895510307</v>
      </c>
      <c r="G1124" s="4">
        <v>105.62120737843827</v>
      </c>
      <c r="H1124" s="4">
        <v>113.61795125485742</v>
      </c>
      <c r="I1124" s="4">
        <v>122.53293822578055</v>
      </c>
      <c r="J1124" s="4">
        <v>132.7350199705642</v>
      </c>
      <c r="K1124" s="4">
        <v>144.07648794629856</v>
      </c>
      <c r="L1124" s="4">
        <v>156.49885105532172</v>
      </c>
      <c r="M1124" s="4">
        <v>169.64481183336167</v>
      </c>
      <c r="N1124" s="4">
        <v>183.61354033405104</v>
      </c>
      <c r="O1124"/>
      <c r="P1124"/>
      <c r="Q1124" s="11"/>
    </row>
    <row r="1125" spans="1:17" x14ac:dyDescent="0.35">
      <c r="A1125" s="2" t="s">
        <v>94</v>
      </c>
      <c r="O1125"/>
      <c r="P1125"/>
      <c r="Q1125" s="11"/>
    </row>
    <row r="1126" spans="1:17" x14ac:dyDescent="0.35">
      <c r="A1126" s="3" t="s">
        <v>48</v>
      </c>
      <c r="B1126" s="4">
        <v>14.355745672901982</v>
      </c>
      <c r="C1126" s="4">
        <v>15.639558891106994</v>
      </c>
      <c r="D1126" s="4">
        <v>17.057731085538865</v>
      </c>
      <c r="E1126" s="4">
        <v>18.591707750114317</v>
      </c>
      <c r="F1126" s="4">
        <v>20.226449264152922</v>
      </c>
      <c r="G1126" s="4">
        <v>21.994817970181739</v>
      </c>
      <c r="H1126" s="4">
        <v>23.928789959890825</v>
      </c>
      <c r="I1126" s="4">
        <v>26.104599631659116</v>
      </c>
      <c r="J1126" s="4">
        <v>28.563092425065022</v>
      </c>
      <c r="K1126" s="4">
        <v>31.27454477262625</v>
      </c>
      <c r="L1126" s="4">
        <v>34.266847211570607</v>
      </c>
      <c r="M1126" s="4">
        <v>37.511181898980389</v>
      </c>
      <c r="N1126" s="4">
        <v>41.006418649324644</v>
      </c>
      <c r="O1126"/>
      <c r="P1126"/>
      <c r="Q1126" s="11"/>
    </row>
    <row r="1127" spans="1:17" x14ac:dyDescent="0.35">
      <c r="A1127" s="3" t="s">
        <v>95</v>
      </c>
      <c r="B1127" s="4">
        <v>15.296777158547229</v>
      </c>
      <c r="C1127" s="4">
        <v>16.888371041353302</v>
      </c>
      <c r="D1127" s="4">
        <v>18.675420967819566</v>
      </c>
      <c r="E1127" s="4">
        <v>20.659358609511465</v>
      </c>
      <c r="F1127" s="4">
        <v>22.819583785198169</v>
      </c>
      <c r="G1127" s="4">
        <v>25.193538407278364</v>
      </c>
      <c r="H1127" s="4">
        <v>27.816926712258976</v>
      </c>
      <c r="I1127" s="4">
        <v>30.753558203155411</v>
      </c>
      <c r="J1127" s="4">
        <v>34.046987276235569</v>
      </c>
      <c r="K1127" s="4">
        <v>37.733477138852194</v>
      </c>
      <c r="L1127" s="4">
        <v>41.804255017749512</v>
      </c>
      <c r="M1127" s="4">
        <v>46.248081866968924</v>
      </c>
      <c r="N1127" s="4">
        <v>51.127315273602036</v>
      </c>
      <c r="O1127"/>
      <c r="P1127"/>
      <c r="Q1127" s="11"/>
    </row>
    <row r="1128" spans="1:17" x14ac:dyDescent="0.35">
      <c r="A1128" s="3" t="s">
        <v>96</v>
      </c>
      <c r="B1128" s="4">
        <v>12.663500725874712</v>
      </c>
      <c r="C1128" s="4">
        <v>14.038091157461906</v>
      </c>
      <c r="D1128" s="4">
        <v>15.524910762053764</v>
      </c>
      <c r="E1128" s="4">
        <v>17.094962547530145</v>
      </c>
      <c r="F1128" s="4">
        <v>18.670568551525776</v>
      </c>
      <c r="G1128" s="4">
        <v>20.434141308636526</v>
      </c>
      <c r="H1128" s="4">
        <v>22.345965320715095</v>
      </c>
      <c r="I1128" s="4">
        <v>24.543220292549279</v>
      </c>
      <c r="J1128" s="4">
        <v>27.02563639169199</v>
      </c>
      <c r="K1128" s="4">
        <v>29.678141393037833</v>
      </c>
      <c r="L1128" s="4">
        <v>32.685057880095172</v>
      </c>
      <c r="M1128" s="4">
        <v>36.040435722506004</v>
      </c>
      <c r="N1128" s="4">
        <v>39.720256203810322</v>
      </c>
      <c r="O1128"/>
      <c r="P1128"/>
      <c r="Q1128" s="11"/>
    </row>
    <row r="1129" spans="1:17" x14ac:dyDescent="0.35">
      <c r="A1129" s="3" t="s">
        <v>97</v>
      </c>
      <c r="B1129" s="4">
        <v>18.942075097621281</v>
      </c>
      <c r="C1129" s="4">
        <v>20.267470801537677</v>
      </c>
      <c r="D1129" s="4">
        <v>21.719384869970369</v>
      </c>
      <c r="E1129" s="4">
        <v>23.311509631409859</v>
      </c>
      <c r="F1129" s="4">
        <v>25.066967036770713</v>
      </c>
      <c r="G1129" s="4">
        <v>27.021463215599603</v>
      </c>
      <c r="H1129" s="4">
        <v>29.191403472809672</v>
      </c>
      <c r="I1129" s="4">
        <v>31.593982116031949</v>
      </c>
      <c r="J1129" s="4">
        <v>34.204834690617325</v>
      </c>
      <c r="K1129" s="4">
        <v>37.008638774770752</v>
      </c>
      <c r="L1129" s="4">
        <v>39.968256171506731</v>
      </c>
      <c r="M1129" s="4">
        <v>43.071297830312389</v>
      </c>
      <c r="N1129" s="4">
        <v>46.34771366488917</v>
      </c>
      <c r="O1129"/>
      <c r="P1129"/>
      <c r="Q1129" s="11"/>
    </row>
    <row r="1130" spans="1:17" x14ac:dyDescent="0.35">
      <c r="A1130" s="3" t="s">
        <v>98</v>
      </c>
      <c r="B1130" s="4">
        <v>39.489415078042754</v>
      </c>
      <c r="C1130" s="4">
        <v>42.787335368647078</v>
      </c>
      <c r="D1130" s="4">
        <v>46.446252952017538</v>
      </c>
      <c r="E1130" s="4">
        <v>50.402577247873545</v>
      </c>
      <c r="F1130" s="4">
        <v>54.628700576686519</v>
      </c>
      <c r="G1130" s="4">
        <v>59.063496679047695</v>
      </c>
      <c r="H1130" s="4">
        <v>63.878000461478919</v>
      </c>
      <c r="I1130" s="4">
        <v>69.21270986218309</v>
      </c>
      <c r="J1130" s="4">
        <v>75.223651389539384</v>
      </c>
      <c r="K1130" s="4">
        <v>81.957223757877756</v>
      </c>
      <c r="L1130" s="4">
        <v>89.320864416003786</v>
      </c>
      <c r="M1130" s="4">
        <v>97.2270143036409</v>
      </c>
      <c r="N1130" s="4">
        <v>105.7060536705315</v>
      </c>
      <c r="O1130"/>
      <c r="P1130"/>
      <c r="Q1130" s="11"/>
    </row>
    <row r="1131" spans="1:17" x14ac:dyDescent="0.35">
      <c r="A1131" s="3" t="s">
        <v>99</v>
      </c>
      <c r="B1131" s="4">
        <v>9.5000562401064386</v>
      </c>
      <c r="C1131" s="4">
        <v>10.088702252273055</v>
      </c>
      <c r="D1131" s="4">
        <v>10.675715403805871</v>
      </c>
      <c r="E1131" s="4">
        <v>11.278184646675298</v>
      </c>
      <c r="F1131" s="4">
        <v>11.928418796808135</v>
      </c>
      <c r="G1131" s="4">
        <v>12.656853488052827</v>
      </c>
      <c r="H1131" s="4">
        <v>13.484752733756929</v>
      </c>
      <c r="I1131" s="4">
        <v>14.396271580670245</v>
      </c>
      <c r="J1131" s="4">
        <v>15.359186019706788</v>
      </c>
      <c r="K1131" s="4">
        <v>16.371079702134683</v>
      </c>
      <c r="L1131" s="4">
        <v>17.448106988042202</v>
      </c>
      <c r="M1131" s="4">
        <v>18.608599764946995</v>
      </c>
      <c r="N1131" s="4">
        <v>19.839711420033087</v>
      </c>
      <c r="O1131"/>
      <c r="P1131"/>
      <c r="Q1131" s="11"/>
    </row>
    <row r="1132" spans="1:17" x14ac:dyDescent="0.35">
      <c r="A1132" s="3" t="s">
        <v>100</v>
      </c>
      <c r="B1132" s="4">
        <v>14.944025844763505</v>
      </c>
      <c r="C1132" s="4">
        <v>15.978226443687456</v>
      </c>
      <c r="D1132" s="4">
        <v>17.103971629002363</v>
      </c>
      <c r="E1132" s="4">
        <v>18.296203159167415</v>
      </c>
      <c r="F1132" s="4">
        <v>19.534946725207519</v>
      </c>
      <c r="G1132" s="4">
        <v>20.847791892198224</v>
      </c>
      <c r="H1132" s="4">
        <v>22.25929065223816</v>
      </c>
      <c r="I1132" s="4">
        <v>23.833132740753964</v>
      </c>
      <c r="J1132" s="4">
        <v>25.595710940807006</v>
      </c>
      <c r="K1132" s="4">
        <v>27.507837311149146</v>
      </c>
      <c r="L1132" s="4">
        <v>29.583439869167872</v>
      </c>
      <c r="M1132" s="4">
        <v>31.786073479766383</v>
      </c>
      <c r="N1132" s="4">
        <v>34.105024961023538</v>
      </c>
      <c r="O1132"/>
      <c r="P1132"/>
      <c r="Q1132" s="11"/>
    </row>
    <row r="1133" spans="1:17" x14ac:dyDescent="0.35">
      <c r="A1133" s="1" t="s">
        <v>23</v>
      </c>
      <c r="O1133"/>
      <c r="P1133"/>
      <c r="Q1133" s="11"/>
    </row>
    <row r="1134" spans="1:17" x14ac:dyDescent="0.35">
      <c r="A1134" s="2" t="s">
        <v>54</v>
      </c>
      <c r="O1134"/>
      <c r="P1134"/>
      <c r="Q1134" s="11"/>
    </row>
    <row r="1135" spans="1:17" x14ac:dyDescent="0.35">
      <c r="A1135" s="3" t="s">
        <v>55</v>
      </c>
      <c r="B1135" s="4">
        <v>11.719323406492601</v>
      </c>
      <c r="C1135" s="4">
        <v>12.90116441874069</v>
      </c>
      <c r="D1135" s="4">
        <v>14.224994814459608</v>
      </c>
      <c r="E1135" s="4">
        <v>15.690601583215498</v>
      </c>
      <c r="F1135" s="4">
        <v>17.281029795792826</v>
      </c>
      <c r="G1135" s="4">
        <v>19.023463896828744</v>
      </c>
      <c r="H1135" s="4">
        <v>20.943449760764473</v>
      </c>
      <c r="I1135" s="4">
        <v>23.087384325831405</v>
      </c>
      <c r="J1135" s="4">
        <v>25.485905677371715</v>
      </c>
      <c r="K1135" s="4">
        <v>28.16382126879525</v>
      </c>
      <c r="L1135" s="4">
        <v>31.112016627948069</v>
      </c>
      <c r="M1135" s="4">
        <v>34.31962397499742</v>
      </c>
      <c r="N1135" s="4">
        <v>37.830492393925638</v>
      </c>
      <c r="O1135"/>
      <c r="P1135"/>
      <c r="Q1135" s="11"/>
    </row>
    <row r="1136" spans="1:17" x14ac:dyDescent="0.35">
      <c r="A1136" s="3" t="s">
        <v>56</v>
      </c>
      <c r="B1136" s="4">
        <v>42.647033104128987</v>
      </c>
      <c r="C1136" s="4">
        <v>45.650171724800863</v>
      </c>
      <c r="D1136" s="4">
        <v>48.912610747641196</v>
      </c>
      <c r="E1136" s="4">
        <v>52.477496378083501</v>
      </c>
      <c r="F1136" s="4">
        <v>56.381541656980637</v>
      </c>
      <c r="G1136" s="4">
        <v>60.665969023644557</v>
      </c>
      <c r="H1136" s="4">
        <v>65.368412952558501</v>
      </c>
      <c r="I1136" s="4">
        <v>70.480962975386191</v>
      </c>
      <c r="J1136" s="4">
        <v>75.992197613823961</v>
      </c>
      <c r="K1136" s="4">
        <v>81.899461123559206</v>
      </c>
      <c r="L1136" s="4">
        <v>88.198066988266703</v>
      </c>
      <c r="M1136" s="4">
        <v>94.93382800173832</v>
      </c>
      <c r="N1136" s="4">
        <v>102.09192013148133</v>
      </c>
      <c r="O1136"/>
      <c r="P1136"/>
      <c r="Q1136" s="11"/>
    </row>
    <row r="1137" spans="1:17" x14ac:dyDescent="0.35">
      <c r="A1137" s="3" t="s">
        <v>57</v>
      </c>
      <c r="B1137" s="4">
        <v>78.426925427606491</v>
      </c>
      <c r="C1137" s="4">
        <v>83.446209955781512</v>
      </c>
      <c r="D1137" s="4">
        <v>88.95361863694211</v>
      </c>
      <c r="E1137" s="4">
        <v>94.794862367256542</v>
      </c>
      <c r="F1137" s="4">
        <v>100.89328507038637</v>
      </c>
      <c r="G1137" s="4">
        <v>107.11498786467449</v>
      </c>
      <c r="H1137" s="4">
        <v>113.75606425717827</v>
      </c>
      <c r="I1137" s="4">
        <v>121.03639623754114</v>
      </c>
      <c r="J1137" s="4">
        <v>129.18612052634592</v>
      </c>
      <c r="K1137" s="4">
        <v>138.22908521724537</v>
      </c>
      <c r="L1137" s="4">
        <v>147.95112933606222</v>
      </c>
      <c r="M1137" s="4">
        <v>158.15968425484965</v>
      </c>
      <c r="N1137" s="4">
        <v>168.86616995796635</v>
      </c>
      <c r="O1137"/>
      <c r="P1137"/>
      <c r="Q1137" s="11"/>
    </row>
    <row r="1138" spans="1:17" x14ac:dyDescent="0.35">
      <c r="A1138" s="2" t="s">
        <v>47</v>
      </c>
      <c r="O1138"/>
      <c r="P1138"/>
      <c r="Q1138" s="11"/>
    </row>
    <row r="1139" spans="1:17" x14ac:dyDescent="0.35">
      <c r="A1139" s="3" t="s">
        <v>82</v>
      </c>
      <c r="B1139" s="4">
        <v>54.366356510621586</v>
      </c>
      <c r="C1139" s="4">
        <v>58.551336143541555</v>
      </c>
      <c r="D1139" s="4">
        <v>63.137605562100802</v>
      </c>
      <c r="E1139" s="4">
        <v>68.168097961298997</v>
      </c>
      <c r="F1139" s="4">
        <v>73.662571452773463</v>
      </c>
      <c r="G1139" s="4">
        <v>79.689432920473308</v>
      </c>
      <c r="H1139" s="4">
        <v>86.311862713322967</v>
      </c>
      <c r="I1139" s="4">
        <v>93.568347301217599</v>
      </c>
      <c r="J1139" s="4">
        <v>101.47810329119568</v>
      </c>
      <c r="K1139" s="4">
        <v>110.06328239235445</v>
      </c>
      <c r="L1139" s="4">
        <v>119.31008361621477</v>
      </c>
      <c r="M1139" s="4">
        <v>129.25345197673573</v>
      </c>
      <c r="N1139" s="4">
        <v>139.92241252540697</v>
      </c>
      <c r="O1139"/>
      <c r="P1139"/>
      <c r="Q1139" s="11"/>
    </row>
    <row r="1140" spans="1:17" x14ac:dyDescent="0.35">
      <c r="A1140" s="3" t="s">
        <v>83</v>
      </c>
      <c r="B1140" s="4">
        <v>78.426925427606491</v>
      </c>
      <c r="C1140" s="4">
        <v>83.446209955781512</v>
      </c>
      <c r="D1140" s="4">
        <v>88.95361863694211</v>
      </c>
      <c r="E1140" s="4">
        <v>94.794862367256542</v>
      </c>
      <c r="F1140" s="4">
        <v>100.89328507038637</v>
      </c>
      <c r="G1140" s="4">
        <v>107.11498786467449</v>
      </c>
      <c r="H1140" s="4">
        <v>113.75606425717827</v>
      </c>
      <c r="I1140" s="4">
        <v>121.03639623754114</v>
      </c>
      <c r="J1140" s="4">
        <v>129.18612052634592</v>
      </c>
      <c r="K1140" s="4">
        <v>138.22908521724537</v>
      </c>
      <c r="L1140" s="4">
        <v>147.95112933606222</v>
      </c>
      <c r="M1140" s="4">
        <v>158.15968425484965</v>
      </c>
      <c r="N1140" s="4">
        <v>168.86616995796635</v>
      </c>
      <c r="O1140"/>
      <c r="P1140"/>
      <c r="Q1140" s="11"/>
    </row>
    <row r="1141" spans="1:17" x14ac:dyDescent="0.35">
      <c r="A1141" s="2" t="s">
        <v>59</v>
      </c>
      <c r="O1141"/>
      <c r="P1141"/>
      <c r="Q1141" s="11"/>
    </row>
    <row r="1142" spans="1:17" x14ac:dyDescent="0.35">
      <c r="A1142" s="3" t="s">
        <v>60</v>
      </c>
      <c r="O1142"/>
      <c r="P1142"/>
      <c r="Q1142" s="11"/>
    </row>
    <row r="1143" spans="1:17" x14ac:dyDescent="0.35">
      <c r="A1143" s="34" t="s">
        <v>61</v>
      </c>
      <c r="B1143" s="4">
        <v>26.363144135628289</v>
      </c>
      <c r="C1143" s="4">
        <v>28.622153537776086</v>
      </c>
      <c r="D1143" s="4">
        <v>31.258100078862441</v>
      </c>
      <c r="E1143" s="4">
        <v>34.041702274543155</v>
      </c>
      <c r="F1143" s="4">
        <v>36.844202859769439</v>
      </c>
      <c r="G1143" s="4">
        <v>39.444765365047402</v>
      </c>
      <c r="H1143" s="4">
        <v>42.099794229407436</v>
      </c>
      <c r="I1143" s="4">
        <v>45.018320265689198</v>
      </c>
      <c r="J1143" s="4">
        <v>48.509754344763564</v>
      </c>
      <c r="K1143" s="4">
        <v>52.546564626256554</v>
      </c>
      <c r="L1143" s="4">
        <v>56.925783511207015</v>
      </c>
      <c r="M1143" s="4">
        <v>61.542697465483513</v>
      </c>
      <c r="N1143" s="4">
        <v>66.407690567173603</v>
      </c>
      <c r="O1143"/>
      <c r="P1143"/>
      <c r="Q1143" s="11"/>
    </row>
    <row r="1144" spans="1:17" x14ac:dyDescent="0.35">
      <c r="A1144" s="43" t="s">
        <v>62</v>
      </c>
      <c r="B1144" s="4">
        <v>4.6027343633436084</v>
      </c>
      <c r="C1144" s="4">
        <v>5.0723268239550716</v>
      </c>
      <c r="D1144" s="4">
        <v>5.5987959082996541</v>
      </c>
      <c r="E1144" s="4">
        <v>6.1822439837285135</v>
      </c>
      <c r="F1144" s="4">
        <v>6.8161775290573461</v>
      </c>
      <c r="G1144" s="4">
        <v>7.5114853741557583</v>
      </c>
      <c r="H1144" s="4">
        <v>8.2784562621215851</v>
      </c>
      <c r="I1144" s="4">
        <v>9.135665223774696</v>
      </c>
      <c r="J1144" s="4">
        <v>10.095531324781112</v>
      </c>
      <c r="K1144" s="4">
        <v>11.168217336639851</v>
      </c>
      <c r="L1144" s="4">
        <v>12.350478181501979</v>
      </c>
      <c r="M1144" s="4">
        <v>13.638359328055612</v>
      </c>
      <c r="N1144" s="4">
        <v>15.049633898987935</v>
      </c>
      <c r="O1144"/>
      <c r="P1144"/>
      <c r="Q1144" s="11"/>
    </row>
    <row r="1145" spans="1:17" x14ac:dyDescent="0.35">
      <c r="A1145" s="43" t="s">
        <v>63</v>
      </c>
      <c r="B1145" s="4">
        <v>11.444440391361184</v>
      </c>
      <c r="C1145" s="4">
        <v>12.275279732183462</v>
      </c>
      <c r="D1145" s="4">
        <v>13.179295863582098</v>
      </c>
      <c r="E1145" s="4">
        <v>14.16855916450689</v>
      </c>
      <c r="F1145" s="4">
        <v>15.253499983944545</v>
      </c>
      <c r="G1145" s="4">
        <v>16.445851839873583</v>
      </c>
      <c r="H1145" s="4">
        <v>17.756469073084574</v>
      </c>
      <c r="I1145" s="4">
        <v>19.18392041413432</v>
      </c>
      <c r="J1145" s="4">
        <v>20.725805543298645</v>
      </c>
      <c r="K1145" s="4">
        <v>22.382093882269643</v>
      </c>
      <c r="L1145" s="4">
        <v>24.152198188700279</v>
      </c>
      <c r="M1145" s="4">
        <v>26.04935381453928</v>
      </c>
      <c r="N1145" s="4">
        <v>28.070263496062804</v>
      </c>
      <c r="O1145"/>
      <c r="P1145"/>
      <c r="Q1145" s="11"/>
    </row>
    <row r="1146" spans="1:17" x14ac:dyDescent="0.35">
      <c r="A1146" s="43" t="s">
        <v>64</v>
      </c>
      <c r="B1146" s="4">
        <v>10.315969380923498</v>
      </c>
      <c r="C1146" s="4">
        <v>11.274546981637553</v>
      </c>
      <c r="D1146" s="4">
        <v>12.48000830698069</v>
      </c>
      <c r="E1146" s="4">
        <v>13.690899126307752</v>
      </c>
      <c r="F1146" s="4">
        <v>14.774525346767547</v>
      </c>
      <c r="G1146" s="4">
        <v>15.487428151018062</v>
      </c>
      <c r="H1146" s="4">
        <v>16.064868894201275</v>
      </c>
      <c r="I1146" s="4">
        <v>16.698734627780183</v>
      </c>
      <c r="J1146" s="4">
        <v>17.68841747668381</v>
      </c>
      <c r="K1146" s="4">
        <v>18.996253407347062</v>
      </c>
      <c r="L1146" s="4">
        <v>20.423107141004756</v>
      </c>
      <c r="M1146" s="4">
        <v>21.854984322888619</v>
      </c>
      <c r="N1146" s="4">
        <v>23.287793172122861</v>
      </c>
      <c r="O1146"/>
      <c r="P1146"/>
      <c r="Q1146" s="11"/>
    </row>
    <row r="1147" spans="1:17" x14ac:dyDescent="0.35">
      <c r="A1147" s="34" t="s">
        <v>65</v>
      </c>
      <c r="B1147" s="4">
        <v>23.935682993602505</v>
      </c>
      <c r="C1147" s="4">
        <v>25.495137122096846</v>
      </c>
      <c r="D1147" s="4">
        <v>27.160866560630375</v>
      </c>
      <c r="E1147" s="4">
        <v>29.009707213359864</v>
      </c>
      <c r="F1147" s="4">
        <v>31.041966188939607</v>
      </c>
      <c r="G1147" s="4">
        <v>33.255445454939604</v>
      </c>
      <c r="H1147" s="4">
        <v>35.633458363689172</v>
      </c>
      <c r="I1147" s="4">
        <v>38.151820830877469</v>
      </c>
      <c r="J1147" s="4">
        <v>40.810982190567202</v>
      </c>
      <c r="K1147" s="4">
        <v>43.709235155490838</v>
      </c>
      <c r="L1147" s="4">
        <v>46.874986714852035</v>
      </c>
      <c r="M1147" s="4">
        <v>50.275352174368862</v>
      </c>
      <c r="N1147" s="4">
        <v>53.881147466603977</v>
      </c>
      <c r="O1147"/>
      <c r="P1147"/>
      <c r="Q1147" s="11"/>
    </row>
    <row r="1148" spans="1:17" x14ac:dyDescent="0.35">
      <c r="A1148" s="34" t="s">
        <v>66</v>
      </c>
      <c r="B1148" s="4">
        <v>15.913995517308253</v>
      </c>
      <c r="C1148" s="4">
        <v>16.78172390968971</v>
      </c>
      <c r="D1148" s="4">
        <v>17.724735702360412</v>
      </c>
      <c r="E1148" s="4">
        <v>18.750279179506332</v>
      </c>
      <c r="F1148" s="4">
        <v>19.87266059759218</v>
      </c>
      <c r="G1148" s="4">
        <v>21.115220912789013</v>
      </c>
      <c r="H1148" s="4">
        <v>22.484742549278419</v>
      </c>
      <c r="I1148" s="4">
        <v>23.988060092363902</v>
      </c>
      <c r="J1148" s="4">
        <v>25.599884641113903</v>
      </c>
      <c r="K1148" s="4">
        <v>27.302945579416612</v>
      </c>
      <c r="L1148" s="4">
        <v>29.064698658963117</v>
      </c>
      <c r="M1148" s="4">
        <v>30.872313194844356</v>
      </c>
      <c r="N1148" s="4">
        <v>32.743938442384305</v>
      </c>
      <c r="O1148"/>
      <c r="P1148"/>
      <c r="Q1148" s="11"/>
    </row>
    <row r="1149" spans="1:17" x14ac:dyDescent="0.35">
      <c r="A1149" s="34" t="s">
        <v>67</v>
      </c>
      <c r="B1149" s="4">
        <v>9.6897146400196288</v>
      </c>
      <c r="C1149" s="4">
        <v>10.219436774757003</v>
      </c>
      <c r="D1149" s="4">
        <v>10.796183434835175</v>
      </c>
      <c r="E1149" s="4">
        <v>11.409983047731238</v>
      </c>
      <c r="F1149" s="4">
        <v>12.039641091971903</v>
      </c>
      <c r="G1149" s="4">
        <v>12.697635122793567</v>
      </c>
      <c r="H1149" s="4">
        <v>13.392833776698804</v>
      </c>
      <c r="I1149" s="4">
        <v>14.145387598901836</v>
      </c>
      <c r="J1149" s="4">
        <v>14.961743782914471</v>
      </c>
      <c r="K1149" s="4">
        <v>15.842951180481132</v>
      </c>
      <c r="L1149" s="4">
        <v>16.769815010184374</v>
      </c>
      <c r="M1149" s="4">
        <v>17.724380756011911</v>
      </c>
      <c r="N1149" s="4">
        <v>18.719111111122857</v>
      </c>
      <c r="O1149"/>
      <c r="P1149"/>
      <c r="Q1149" s="11"/>
    </row>
    <row r="1150" spans="1:17" x14ac:dyDescent="0.35">
      <c r="A1150" s="34" t="s">
        <v>68</v>
      </c>
      <c r="B1150" s="4">
        <v>16.887443621050735</v>
      </c>
      <c r="C1150" s="4">
        <v>18.154741992019343</v>
      </c>
      <c r="D1150" s="4">
        <v>19.547401184020032</v>
      </c>
      <c r="E1150" s="4">
        <v>21.079470949928108</v>
      </c>
      <c r="F1150" s="4">
        <v>22.773778933007094</v>
      </c>
      <c r="G1150" s="4">
        <v>24.66500065498181</v>
      </c>
      <c r="H1150" s="4">
        <v>26.770828331670664</v>
      </c>
      <c r="I1150" s="4">
        <v>29.109987248892711</v>
      </c>
      <c r="J1150" s="4">
        <v>31.663238555268247</v>
      </c>
      <c r="K1150" s="4">
        <v>34.41932796445554</v>
      </c>
      <c r="L1150" s="4">
        <v>37.346479283102255</v>
      </c>
      <c r="M1150" s="4">
        <v>40.435424962489911</v>
      </c>
      <c r="N1150" s="4">
        <v>43.716453385442655</v>
      </c>
      <c r="O1150"/>
      <c r="P1150"/>
      <c r="Q1150" s="11"/>
    </row>
    <row r="1151" spans="1:17" x14ac:dyDescent="0.35">
      <c r="A1151" s="34" t="s">
        <v>69</v>
      </c>
      <c r="B1151" s="4">
        <v>19.008499512286765</v>
      </c>
      <c r="C1151" s="4">
        <v>19.888113006097281</v>
      </c>
      <c r="D1151" s="4">
        <v>20.733309568164564</v>
      </c>
      <c r="E1151" s="4">
        <v>21.578108851962433</v>
      </c>
      <c r="F1151" s="4">
        <v>22.483667099465602</v>
      </c>
      <c r="G1151" s="4">
        <v>23.503965519383094</v>
      </c>
      <c r="H1151" s="4">
        <v>24.672665359134509</v>
      </c>
      <c r="I1151" s="4">
        <v>25.953389732362673</v>
      </c>
      <c r="J1151" s="4">
        <v>27.28217088175618</v>
      </c>
      <c r="K1151" s="4">
        <v>28.65158202493679</v>
      </c>
      <c r="L1151" s="4">
        <v>30.087048746810954</v>
      </c>
      <c r="M1151" s="4">
        <v>31.616177098259879</v>
      </c>
      <c r="N1151" s="4">
        <v>33.211864060788777</v>
      </c>
      <c r="O1151"/>
      <c r="P1151"/>
      <c r="Q1151" s="11"/>
    </row>
    <row r="1152" spans="1:17" x14ac:dyDescent="0.35">
      <c r="A1152" s="3" t="s">
        <v>70</v>
      </c>
      <c r="O1152"/>
      <c r="P1152"/>
      <c r="Q1152" s="11"/>
    </row>
    <row r="1153" spans="1:17" x14ac:dyDescent="0.35">
      <c r="A1153" s="34" t="s">
        <v>71</v>
      </c>
      <c r="B1153" s="4">
        <v>2.8117394552965354</v>
      </c>
      <c r="C1153" s="4">
        <v>3.1083684665035061</v>
      </c>
      <c r="D1153" s="4">
        <v>3.4401762966180693</v>
      </c>
      <c r="E1153" s="4">
        <v>3.8048233591420519</v>
      </c>
      <c r="F1153" s="4">
        <v>4.2005121313733165</v>
      </c>
      <c r="G1153" s="4">
        <v>4.6352509427539639</v>
      </c>
      <c r="H1153" s="4">
        <v>5.1173013775304428</v>
      </c>
      <c r="I1153" s="4">
        <v>5.6648353327291217</v>
      </c>
      <c r="J1153" s="4">
        <v>6.2893642857587757</v>
      </c>
      <c r="K1153" s="4">
        <v>6.9874624686889408</v>
      </c>
      <c r="L1153" s="4">
        <v>7.7682877877881022</v>
      </c>
      <c r="M1153" s="4">
        <v>8.6285994099725354</v>
      </c>
      <c r="N1153" s="4">
        <v>9.5712447380654631</v>
      </c>
      <c r="O1153"/>
      <c r="P1153"/>
      <c r="Q1153" s="11"/>
    </row>
    <row r="1154" spans="1:17" x14ac:dyDescent="0.35">
      <c r="A1154" s="34" t="s">
        <v>72</v>
      </c>
      <c r="B1154" s="4">
        <v>2.1147484944195258</v>
      </c>
      <c r="C1154" s="4">
        <v>2.3640641687736208</v>
      </c>
      <c r="D1154" s="4">
        <v>2.6475007364407022</v>
      </c>
      <c r="E1154" s="4">
        <v>2.9640370827496705</v>
      </c>
      <c r="F1154" s="4">
        <v>3.3144666036617587</v>
      </c>
      <c r="G1154" s="4">
        <v>3.6974878144331913</v>
      </c>
      <c r="H1154" s="4">
        <v>4.1260036198281913</v>
      </c>
      <c r="I1154" s="4">
        <v>4.6124337450082837</v>
      </c>
      <c r="J1154" s="4">
        <v>5.1715857310388733</v>
      </c>
      <c r="K1154" s="4">
        <v>5.8123129884032316</v>
      </c>
      <c r="L1154" s="4">
        <v>6.5343597994157685</v>
      </c>
      <c r="M1154" s="4">
        <v>7.3373919150947629</v>
      </c>
      <c r="N1154" s="4">
        <v>8.2295337774440949</v>
      </c>
      <c r="O1154"/>
      <c r="P1154"/>
      <c r="Q1154" s="11"/>
    </row>
    <row r="1155" spans="1:17" x14ac:dyDescent="0.35">
      <c r="A1155" s="34" t="s">
        <v>73</v>
      </c>
      <c r="B1155" s="4">
        <v>2.0556664995399703</v>
      </c>
      <c r="C1155" s="4">
        <v>2.21854035225061</v>
      </c>
      <c r="D1155" s="4">
        <v>2.3970921448187212</v>
      </c>
      <c r="E1155" s="4">
        <v>2.5882162615108824</v>
      </c>
      <c r="F1155" s="4">
        <v>2.7894025872400943</v>
      </c>
      <c r="G1155" s="4">
        <v>3.0048327571335505</v>
      </c>
      <c r="H1155" s="4">
        <v>3.2384033713161453</v>
      </c>
      <c r="I1155" s="4">
        <v>3.4998450253107376</v>
      </c>
      <c r="J1155" s="4">
        <v>3.793767792265045</v>
      </c>
      <c r="K1155" s="4">
        <v>4.1152200045915022</v>
      </c>
      <c r="L1155" s="4">
        <v>4.4669958089094761</v>
      </c>
      <c r="M1155" s="4">
        <v>4.8443749943037346</v>
      </c>
      <c r="N1155" s="4">
        <v>5.2463692342174122</v>
      </c>
      <c r="O1155"/>
      <c r="P1155"/>
      <c r="Q1155" s="11"/>
    </row>
    <row r="1156" spans="1:17" x14ac:dyDescent="0.35">
      <c r="A1156" s="34" t="s">
        <v>74</v>
      </c>
      <c r="B1156" s="4">
        <v>2.3788951445839999</v>
      </c>
      <c r="C1156" s="4">
        <v>2.5800987975682639</v>
      </c>
      <c r="D1156" s="4">
        <v>2.8010229371975912</v>
      </c>
      <c r="E1156" s="4">
        <v>3.0448320944092919</v>
      </c>
      <c r="F1156" s="4">
        <v>3.3144666036617587</v>
      </c>
      <c r="G1156" s="4">
        <v>3.6132659074171096</v>
      </c>
      <c r="H1156" s="4">
        <v>3.9445079099778764</v>
      </c>
      <c r="I1156" s="4">
        <v>4.3088679065740836</v>
      </c>
      <c r="J1156" s="4">
        <v>4.7068125574331985</v>
      </c>
      <c r="K1156" s="4">
        <v>5.1393464160775819</v>
      </c>
      <c r="L1156" s="4">
        <v>5.6073697792405799</v>
      </c>
      <c r="M1156" s="4">
        <v>6.115010541602059</v>
      </c>
      <c r="N1156" s="4">
        <v>6.6626770415425245</v>
      </c>
      <c r="O1156"/>
      <c r="P1156"/>
      <c r="Q1156" s="11"/>
    </row>
    <row r="1157" spans="1:17" x14ac:dyDescent="0.35">
      <c r="A1157" s="34" t="s">
        <v>75</v>
      </c>
      <c r="B1157" s="4">
        <v>1.9369187459691932</v>
      </c>
      <c r="C1157" s="4">
        <v>2.1182097656199002</v>
      </c>
      <c r="D1157" s="4">
        <v>2.3186882734006553</v>
      </c>
      <c r="E1157" s="4">
        <v>2.5414259294732733</v>
      </c>
      <c r="F1157" s="4">
        <v>2.7894025872400943</v>
      </c>
      <c r="G1157" s="4">
        <v>3.0660250381519245</v>
      </c>
      <c r="H1157" s="4">
        <v>3.3747519174710505</v>
      </c>
      <c r="I1157" s="4">
        <v>3.7169196854201361</v>
      </c>
      <c r="J1157" s="4">
        <v>4.0937180641273931</v>
      </c>
      <c r="K1157" s="4">
        <v>4.5068327761337317</v>
      </c>
      <c r="L1157" s="4">
        <v>4.9579024391845206</v>
      </c>
      <c r="M1157" s="4">
        <v>5.4514617210463614</v>
      </c>
      <c r="N1157" s="4">
        <v>5.9888669875616882</v>
      </c>
      <c r="O1157"/>
      <c r="P1157"/>
      <c r="Q1157" s="11"/>
    </row>
    <row r="1158" spans="1:17" x14ac:dyDescent="0.35">
      <c r="A1158" s="3" t="s">
        <v>76</v>
      </c>
      <c r="O1158"/>
      <c r="P1158"/>
      <c r="Q1158" s="11"/>
    </row>
    <row r="1159" spans="1:17" x14ac:dyDescent="0.35">
      <c r="A1159" s="34" t="s">
        <v>77</v>
      </c>
      <c r="B1159" s="4">
        <v>2.7794361611669038</v>
      </c>
      <c r="C1159" s="4">
        <v>3.009439398990871</v>
      </c>
      <c r="D1159" s="4">
        <v>3.2637957472662307</v>
      </c>
      <c r="E1159" s="4">
        <v>3.5410116344054106</v>
      </c>
      <c r="F1159" s="4">
        <v>3.8358649470964359</v>
      </c>
      <c r="G1159" s="4">
        <v>4.1532273838922702</v>
      </c>
      <c r="H1159" s="4">
        <v>4.4972537900907747</v>
      </c>
      <c r="I1159" s="4">
        <v>4.8762555711992448</v>
      </c>
      <c r="J1159" s="4">
        <v>5.2946143713515195</v>
      </c>
      <c r="K1159" s="4">
        <v>5.7551433019105112</v>
      </c>
      <c r="L1159" s="4">
        <v>6.253460990034311</v>
      </c>
      <c r="M1159" s="4">
        <v>6.7850359828988296</v>
      </c>
      <c r="N1159" s="4">
        <v>7.3563727496074947</v>
      </c>
      <c r="O1159"/>
      <c r="P1159"/>
      <c r="Q1159" s="11"/>
    </row>
    <row r="1160" spans="1:17" x14ac:dyDescent="0.35">
      <c r="A1160" s="34" t="s">
        <v>78</v>
      </c>
      <c r="B1160" s="4">
        <v>2.6787947669467735</v>
      </c>
      <c r="C1160" s="4">
        <v>2.8600738534202206</v>
      </c>
      <c r="D1160" s="4">
        <v>3.0586763334752352</v>
      </c>
      <c r="E1160" s="4">
        <v>3.2723455976660261</v>
      </c>
      <c r="F1160" s="4">
        <v>3.4954810268762757</v>
      </c>
      <c r="G1160" s="4">
        <v>3.7319701811962935</v>
      </c>
      <c r="H1160" s="4">
        <v>3.9848247186097079</v>
      </c>
      <c r="I1160" s="4">
        <v>4.2605513563587962</v>
      </c>
      <c r="J1160" s="4">
        <v>4.5618371607742736</v>
      </c>
      <c r="K1160" s="4">
        <v>4.8898367141995962</v>
      </c>
      <c r="L1160" s="4">
        <v>5.2394923956835822</v>
      </c>
      <c r="M1160" s="4">
        <v>5.6058641555665387</v>
      </c>
      <c r="N1160" s="4">
        <v>5.9933725214173315</v>
      </c>
      <c r="O1160"/>
      <c r="P1160"/>
      <c r="Q1160" s="11"/>
    </row>
    <row r="1161" spans="1:17" x14ac:dyDescent="0.35">
      <c r="A1161" s="34" t="s">
        <v>79</v>
      </c>
      <c r="B1161" s="4">
        <v>1.5547908959553229</v>
      </c>
      <c r="C1161" s="4">
        <v>1.7133993127895786</v>
      </c>
      <c r="D1161" s="4">
        <v>1.8817159985617946</v>
      </c>
      <c r="E1161" s="4">
        <v>2.0632713838100956</v>
      </c>
      <c r="F1161" s="4">
        <v>2.2648622383879986</v>
      </c>
      <c r="G1161" s="4">
        <v>2.4938794256772336</v>
      </c>
      <c r="H1161" s="4">
        <v>2.7568876179779798</v>
      </c>
      <c r="I1161" s="4">
        <v>3.0536571637596821</v>
      </c>
      <c r="J1161" s="4">
        <v>3.3802051984204411</v>
      </c>
      <c r="K1161" s="4">
        <v>3.7382781592729772</v>
      </c>
      <c r="L1161" s="4">
        <v>4.1339327995491102</v>
      </c>
      <c r="M1161" s="4">
        <v>4.5744505809488629</v>
      </c>
      <c r="N1161" s="4">
        <v>5.0602962923056927</v>
      </c>
      <c r="O1161"/>
      <c r="P1161"/>
      <c r="Q1161" s="11"/>
    </row>
    <row r="1162" spans="1:17" x14ac:dyDescent="0.35">
      <c r="A1162" s="34" t="s">
        <v>80</v>
      </c>
      <c r="B1162" s="4">
        <v>1.2437168597127166</v>
      </c>
      <c r="C1162" s="4">
        <v>1.3171268385772825</v>
      </c>
      <c r="D1162" s="4">
        <v>1.3971981686850101</v>
      </c>
      <c r="E1162" s="4">
        <v>1.482720058139088</v>
      </c>
      <c r="F1162" s="4">
        <v>1.5710027087084384</v>
      </c>
      <c r="G1162" s="4">
        <v>1.6637051758626633</v>
      </c>
      <c r="H1162" s="4">
        <v>1.7620408344108318</v>
      </c>
      <c r="I1162" s="4">
        <v>1.8687270465453181</v>
      </c>
      <c r="J1162" s="4">
        <v>1.9847152024494441</v>
      </c>
      <c r="K1162" s="4">
        <v>2.1102554787402692</v>
      </c>
      <c r="L1162" s="4">
        <v>2.2429048830410503</v>
      </c>
      <c r="M1162" s="4">
        <v>2.3803452421206823</v>
      </c>
      <c r="N1162" s="4">
        <v>2.5243045338751098</v>
      </c>
      <c r="O1162"/>
      <c r="P1162"/>
      <c r="Q1162" s="11"/>
    </row>
    <row r="1163" spans="1:17" x14ac:dyDescent="0.35">
      <c r="A1163" s="34" t="s">
        <v>81</v>
      </c>
      <c r="B1163" s="4">
        <v>1.4400944947409522</v>
      </c>
      <c r="C1163" s="4">
        <v>1.546918802392963</v>
      </c>
      <c r="D1163" s="4">
        <v>1.6647610337059209</v>
      </c>
      <c r="E1163" s="4">
        <v>1.7910254102186263</v>
      </c>
      <c r="F1163" s="4">
        <v>1.9244783181678369</v>
      </c>
      <c r="G1163" s="4">
        <v>2.0627431286950828</v>
      </c>
      <c r="H1163" s="4">
        <v>2.2116292034092049</v>
      </c>
      <c r="I1163" s="4">
        <v>2.3756849367655457</v>
      </c>
      <c r="J1163" s="4">
        <v>2.5598290575390759</v>
      </c>
      <c r="K1163" s="4">
        <v>2.7650727705439775</v>
      </c>
      <c r="L1163" s="4">
        <v>2.9876943443107566</v>
      </c>
      <c r="M1163" s="4">
        <v>3.2242560365725961</v>
      </c>
      <c r="N1163" s="4">
        <v>3.475339573820353</v>
      </c>
      <c r="O1163"/>
      <c r="P1163"/>
      <c r="Q1163" s="11"/>
    </row>
    <row r="1164" spans="1:17" x14ac:dyDescent="0.35">
      <c r="A1164" s="2" t="s">
        <v>84</v>
      </c>
      <c r="O1164"/>
      <c r="P1164"/>
      <c r="Q1164" s="11"/>
    </row>
    <row r="1165" spans="1:17" x14ac:dyDescent="0.35">
      <c r="A1165" s="3" t="s">
        <v>85</v>
      </c>
      <c r="B1165" s="4">
        <v>7.7276256989017069</v>
      </c>
      <c r="C1165" s="4">
        <v>8.1095878605279168</v>
      </c>
      <c r="D1165" s="4">
        <v>8.479798393199351</v>
      </c>
      <c r="E1165" s="4">
        <v>8.8520563366799951</v>
      </c>
      <c r="F1165" s="4">
        <v>9.2514603957274701</v>
      </c>
      <c r="G1165" s="4">
        <v>9.7004608843485229</v>
      </c>
      <c r="H1165" s="4">
        <v>10.213391287879805</v>
      </c>
      <c r="I1165" s="4">
        <v>10.775761323982252</v>
      </c>
      <c r="J1165" s="4">
        <v>11.3614470618931</v>
      </c>
      <c r="K1165" s="4">
        <v>11.967554750937863</v>
      </c>
      <c r="L1165" s="4">
        <v>12.604877032174235</v>
      </c>
      <c r="M1165" s="4">
        <v>13.285248810781491</v>
      </c>
      <c r="N1165" s="4">
        <v>13.997656707197581</v>
      </c>
      <c r="O1165"/>
      <c r="P1165"/>
      <c r="Q1165" s="11"/>
    </row>
    <row r="1166" spans="1:17" x14ac:dyDescent="0.35">
      <c r="A1166" s="3" t="s">
        <v>86</v>
      </c>
      <c r="B1166" s="4">
        <v>25.857648223730038</v>
      </c>
      <c r="C1166" s="4">
        <v>27.306071717924734</v>
      </c>
      <c r="D1166" s="4">
        <v>28.883899381249222</v>
      </c>
      <c r="E1166" s="4">
        <v>30.564947385679311</v>
      </c>
      <c r="F1166" s="4">
        <v>32.292833456784571</v>
      </c>
      <c r="G1166" s="4">
        <v>34.101202508581366</v>
      </c>
      <c r="H1166" s="4">
        <v>36.014178794883193</v>
      </c>
      <c r="I1166" s="4">
        <v>38.086347126926739</v>
      </c>
      <c r="J1166" s="4">
        <v>40.335674042302294</v>
      </c>
      <c r="K1166" s="4">
        <v>42.765662806133648</v>
      </c>
      <c r="L1166" s="4">
        <v>45.325188467132875</v>
      </c>
      <c r="M1166" s="4">
        <v>47.966216889591379</v>
      </c>
      <c r="N1166" s="4">
        <v>50.722784363010355</v>
      </c>
      <c r="O1166"/>
      <c r="P1166"/>
      <c r="Q1166" s="11"/>
    </row>
    <row r="1167" spans="1:17" x14ac:dyDescent="0.35">
      <c r="A1167" s="3" t="s">
        <v>87</v>
      </c>
      <c r="B1167" s="4">
        <v>46.606283377386063</v>
      </c>
      <c r="C1167" s="4">
        <v>50.28223646516129</v>
      </c>
      <c r="D1167" s="4">
        <v>54.355521434531923</v>
      </c>
      <c r="E1167" s="4">
        <v>58.825162374719994</v>
      </c>
      <c r="F1167" s="4">
        <v>63.712887630953347</v>
      </c>
      <c r="G1167" s="4">
        <v>68.984915869753095</v>
      </c>
      <c r="H1167" s="4">
        <v>74.754875710561166</v>
      </c>
      <c r="I1167" s="4">
        <v>81.081798212492942</v>
      </c>
      <c r="J1167" s="4">
        <v>88.052898870236163</v>
      </c>
      <c r="K1167" s="4">
        <v>95.684300398100902</v>
      </c>
      <c r="L1167" s="4">
        <v>103.9269485409082</v>
      </c>
      <c r="M1167" s="4">
        <v>112.7860578180684</v>
      </c>
      <c r="N1167" s="4">
        <v>122.2626230121011</v>
      </c>
      <c r="O1167"/>
      <c r="P1167"/>
      <c r="Q1167" s="11"/>
    </row>
    <row r="1168" spans="1:17" x14ac:dyDescent="0.35">
      <c r="A1168" s="3" t="s">
        <v>88</v>
      </c>
      <c r="B1168" s="4">
        <v>28.996904057101439</v>
      </c>
      <c r="C1168" s="4">
        <v>31.183152774733784</v>
      </c>
      <c r="D1168" s="4">
        <v>33.596602065944239</v>
      </c>
      <c r="E1168" s="4">
        <v>36.185643656277058</v>
      </c>
      <c r="F1168" s="4">
        <v>38.925956004664641</v>
      </c>
      <c r="G1168" s="4">
        <v>41.769987655136141</v>
      </c>
      <c r="H1168" s="4">
        <v>44.835734988799658</v>
      </c>
      <c r="I1168" s="4">
        <v>48.216167187021213</v>
      </c>
      <c r="J1168" s="4">
        <v>52.0121907916363</v>
      </c>
      <c r="K1168" s="4">
        <v>56.245771735823602</v>
      </c>
      <c r="L1168" s="4">
        <v>60.842697553464561</v>
      </c>
      <c r="M1168" s="4">
        <v>65.73420316185323</v>
      </c>
      <c r="N1168" s="4">
        <v>70.933159498299332</v>
      </c>
      <c r="O1168"/>
      <c r="P1168"/>
      <c r="Q1168" s="11"/>
    </row>
    <row r="1169" spans="1:17" x14ac:dyDescent="0.35">
      <c r="A1169" s="3" t="s">
        <v>89</v>
      </c>
      <c r="B1169" s="4">
        <v>7.4806113911554757</v>
      </c>
      <c r="C1169" s="4">
        <v>7.9905593688241714</v>
      </c>
      <c r="D1169" s="4">
        <v>8.5512512575118862</v>
      </c>
      <c r="E1169" s="4">
        <v>9.1484360816288284</v>
      </c>
      <c r="F1169" s="4">
        <v>9.7751279652969512</v>
      </c>
      <c r="G1169" s="4">
        <v>10.418682879979151</v>
      </c>
      <c r="H1169" s="4">
        <v>11.108079743322246</v>
      </c>
      <c r="I1169" s="4">
        <v>11.865309668083093</v>
      </c>
      <c r="J1169" s="4">
        <v>12.713710452458063</v>
      </c>
      <c r="K1169" s="4">
        <v>13.656677347602958</v>
      </c>
      <c r="L1169" s="4">
        <v>14.674135654943688</v>
      </c>
      <c r="M1169" s="4">
        <v>15.747831762517148</v>
      </c>
      <c r="N1169" s="4">
        <v>16.879532949177424</v>
      </c>
      <c r="O1169"/>
      <c r="P1169"/>
      <c r="Q1169" s="11"/>
    </row>
    <row r="1170" spans="1:17" x14ac:dyDescent="0.35">
      <c r="A1170" s="3" t="s">
        <v>90</v>
      </c>
      <c r="B1170" s="4">
        <v>16.124209189953341</v>
      </c>
      <c r="C1170" s="4">
        <v>17.125937912151183</v>
      </c>
      <c r="D1170" s="4">
        <v>18.224151666606286</v>
      </c>
      <c r="E1170" s="4">
        <v>19.386714493570356</v>
      </c>
      <c r="F1170" s="4">
        <v>20.597591069732861</v>
      </c>
      <c r="G1170" s="4">
        <v>21.82917098734951</v>
      </c>
      <c r="H1170" s="4">
        <v>23.141666445055147</v>
      </c>
      <c r="I1170" s="4">
        <v>24.579360020252484</v>
      </c>
      <c r="J1170" s="4">
        <v>26.188302599015671</v>
      </c>
      <c r="K1170" s="4">
        <v>27.972400571000836</v>
      </c>
      <c r="L1170" s="4">
        <v>29.887365703653444</v>
      </c>
      <c r="M1170" s="4">
        <v>31.893577788773733</v>
      </c>
      <c r="N1170" s="4">
        <v>33.99282595358752</v>
      </c>
      <c r="O1170"/>
      <c r="P1170"/>
      <c r="Q1170" s="11"/>
    </row>
    <row r="1171" spans="1:17" x14ac:dyDescent="0.35">
      <c r="A1171" s="2" t="s">
        <v>91</v>
      </c>
      <c r="O1171"/>
      <c r="P1171"/>
      <c r="Q1171" s="11"/>
    </row>
    <row r="1172" spans="1:17" x14ac:dyDescent="0.35">
      <c r="A1172" s="3" t="s">
        <v>92</v>
      </c>
      <c r="B1172" s="4">
        <v>58.592342701774911</v>
      </c>
      <c r="C1172" s="4">
        <v>63.148611909508546</v>
      </c>
      <c r="D1172" s="4">
        <v>68.138122378992449</v>
      </c>
      <c r="E1172" s="4">
        <v>73.47076143333544</v>
      </c>
      <c r="F1172" s="4">
        <v>79.073803004991404</v>
      </c>
      <c r="G1172" s="4">
        <v>85.064607926853711</v>
      </c>
      <c r="H1172" s="4">
        <v>91.551821686346912</v>
      </c>
      <c r="I1172" s="4">
        <v>98.808420074848812</v>
      </c>
      <c r="J1172" s="4">
        <v>106.96131974869807</v>
      </c>
      <c r="K1172" s="4">
        <v>115.86715406410534</v>
      </c>
      <c r="L1172" s="4">
        <v>125.60140806288352</v>
      </c>
      <c r="M1172" s="4">
        <v>136.02785670355016</v>
      </c>
      <c r="N1172" s="4">
        <v>147.11578595204764</v>
      </c>
      <c r="O1172"/>
      <c r="P1172"/>
      <c r="Q1172" s="11"/>
    </row>
    <row r="1173" spans="1:17" x14ac:dyDescent="0.35">
      <c r="A1173" s="3" t="s">
        <v>93</v>
      </c>
      <c r="B1173" s="4">
        <v>74.200939236453152</v>
      </c>
      <c r="C1173" s="4">
        <v>78.848934189814528</v>
      </c>
      <c r="D1173" s="4">
        <v>83.953101820050477</v>
      </c>
      <c r="E1173" s="4">
        <v>89.492198895220099</v>
      </c>
      <c r="F1173" s="4">
        <v>95.482053518168428</v>
      </c>
      <c r="G1173" s="4">
        <v>101.73981285829407</v>
      </c>
      <c r="H1173" s="4">
        <v>108.51610528415431</v>
      </c>
      <c r="I1173" s="4">
        <v>115.79632346390991</v>
      </c>
      <c r="J1173" s="4">
        <v>123.70290406884352</v>
      </c>
      <c r="K1173" s="4">
        <v>132.42521354549447</v>
      </c>
      <c r="L1173" s="4">
        <v>141.65980488939346</v>
      </c>
      <c r="M1173" s="4">
        <v>151.38527952803523</v>
      </c>
      <c r="N1173" s="4">
        <v>161.67279653132567</v>
      </c>
      <c r="O1173"/>
      <c r="P1173"/>
      <c r="Q1173" s="11"/>
    </row>
    <row r="1174" spans="1:17" x14ac:dyDescent="0.35">
      <c r="A1174" s="2" t="s">
        <v>94</v>
      </c>
      <c r="O1174"/>
      <c r="P1174"/>
      <c r="Q1174" s="11"/>
    </row>
    <row r="1175" spans="1:17" x14ac:dyDescent="0.35">
      <c r="A1175" s="3" t="s">
        <v>48</v>
      </c>
      <c r="B1175" s="4">
        <v>19.326073601156612</v>
      </c>
      <c r="C1175" s="4">
        <v>20.709186297443384</v>
      </c>
      <c r="D1175" s="4">
        <v>22.212979814793595</v>
      </c>
      <c r="E1175" s="4">
        <v>23.857439392703895</v>
      </c>
      <c r="F1175" s="4">
        <v>25.659710908904493</v>
      </c>
      <c r="G1175" s="4">
        <v>27.639065448395186</v>
      </c>
      <c r="H1175" s="4">
        <v>29.813221325170815</v>
      </c>
      <c r="I1175" s="4">
        <v>32.179199843766959</v>
      </c>
      <c r="J1175" s="4">
        <v>34.732406198724483</v>
      </c>
      <c r="K1175" s="4">
        <v>37.472232198087021</v>
      </c>
      <c r="L1175" s="4">
        <v>40.397137805848928</v>
      </c>
      <c r="M1175" s="4">
        <v>43.528706418418018</v>
      </c>
      <c r="N1175" s="4">
        <v>46.860810559428629</v>
      </c>
      <c r="O1175"/>
      <c r="P1175"/>
      <c r="Q1175" s="11"/>
    </row>
    <row r="1176" spans="1:17" x14ac:dyDescent="0.35">
      <c r="A1176" s="3" t="s">
        <v>95</v>
      </c>
      <c r="B1176" s="4">
        <v>21.231607861372748</v>
      </c>
      <c r="C1176" s="4">
        <v>22.962156682028454</v>
      </c>
      <c r="D1176" s="4">
        <v>24.872029575676613</v>
      </c>
      <c r="E1176" s="4">
        <v>26.982209156559993</v>
      </c>
      <c r="F1176" s="4">
        <v>29.325383895890855</v>
      </c>
      <c r="G1176" s="4">
        <v>31.950244400581838</v>
      </c>
      <c r="H1176" s="4">
        <v>34.884601851470549</v>
      </c>
      <c r="I1176" s="4">
        <v>38.158224211372961</v>
      </c>
      <c r="J1176" s="4">
        <v>41.75176751774611</v>
      </c>
      <c r="K1176" s="4">
        <v>45.655897550893734</v>
      </c>
      <c r="L1176" s="4">
        <v>49.833783718321165</v>
      </c>
      <c r="M1176" s="4">
        <v>54.277701640464819</v>
      </c>
      <c r="N1176" s="4">
        <v>59.032793977586806</v>
      </c>
      <c r="O1176"/>
      <c r="P1176"/>
      <c r="Q1176" s="11"/>
    </row>
    <row r="1177" spans="1:17" x14ac:dyDescent="0.35">
      <c r="A1177" s="3" t="s">
        <v>96</v>
      </c>
      <c r="B1177" s="4">
        <v>13.612063680021151</v>
      </c>
      <c r="C1177" s="4">
        <v>15.133942512599688</v>
      </c>
      <c r="D1177" s="4">
        <v>16.895618234282409</v>
      </c>
      <c r="E1177" s="4">
        <v>18.649741844920896</v>
      </c>
      <c r="F1177" s="4">
        <v>20.248479356686545</v>
      </c>
      <c r="G1177" s="4">
        <v>21.509769055109047</v>
      </c>
      <c r="H1177" s="4">
        <v>22.722178640430826</v>
      </c>
      <c r="I1177" s="4">
        <v>24.153153334995011</v>
      </c>
      <c r="J1177" s="4">
        <v>26.117610059402409</v>
      </c>
      <c r="K1177" s="4">
        <v>28.642128207458853</v>
      </c>
      <c r="L1177" s="4">
        <v>31.558613791430076</v>
      </c>
      <c r="M1177" s="4">
        <v>34.680065834382845</v>
      </c>
      <c r="N1177" s="4">
        <v>38.047152765302428</v>
      </c>
      <c r="O1177"/>
      <c r="P1177"/>
      <c r="Q1177" s="11"/>
    </row>
    <row r="1178" spans="1:17" x14ac:dyDescent="0.35">
      <c r="A1178" s="3" t="s">
        <v>97</v>
      </c>
      <c r="B1178" s="4">
        <v>22.357048124704335</v>
      </c>
      <c r="C1178" s="4">
        <v>23.667714938825128</v>
      </c>
      <c r="D1178" s="4">
        <v>25.080013456792887</v>
      </c>
      <c r="E1178" s="4">
        <v>26.612116589365634</v>
      </c>
      <c r="F1178" s="4">
        <v>28.278048756751893</v>
      </c>
      <c r="G1178" s="4">
        <v>30.093379354131962</v>
      </c>
      <c r="H1178" s="4">
        <v>32.071103041911648</v>
      </c>
      <c r="I1178" s="4">
        <v>34.201175275092474</v>
      </c>
      <c r="J1178" s="4">
        <v>36.472150880250318</v>
      </c>
      <c r="K1178" s="4">
        <v>38.877160610327259</v>
      </c>
      <c r="L1178" s="4">
        <v>41.408546558037635</v>
      </c>
      <c r="M1178" s="4">
        <v>44.082574016755423</v>
      </c>
      <c r="N1178" s="4">
        <v>46.886521797632845</v>
      </c>
      <c r="O1178"/>
      <c r="P1178"/>
      <c r="Q1178" s="11"/>
    </row>
    <row r="1179" spans="1:17" x14ac:dyDescent="0.35">
      <c r="A1179" s="3" t="s">
        <v>98</v>
      </c>
      <c r="B1179" s="4">
        <v>32.446860570864118</v>
      </c>
      <c r="C1179" s="4">
        <v>34.562506653733465</v>
      </c>
      <c r="D1179" s="4">
        <v>36.852308424329898</v>
      </c>
      <c r="E1179" s="4">
        <v>39.346019364641805</v>
      </c>
      <c r="F1179" s="4">
        <v>42.067961422081517</v>
      </c>
      <c r="G1179" s="4">
        <v>45.045314769117148</v>
      </c>
      <c r="H1179" s="4">
        <v>48.302030310223074</v>
      </c>
      <c r="I1179" s="4">
        <v>51.827898411598376</v>
      </c>
      <c r="J1179" s="4">
        <v>55.610277938616051</v>
      </c>
      <c r="K1179" s="4">
        <v>59.643139780735098</v>
      </c>
      <c r="L1179" s="4">
        <v>63.919046487437861</v>
      </c>
      <c r="M1179" s="4">
        <v>68.467257052981708</v>
      </c>
      <c r="N1179" s="4">
        <v>73.272686754703955</v>
      </c>
      <c r="O1179"/>
      <c r="P1179"/>
      <c r="Q1179" s="11"/>
    </row>
    <row r="1180" spans="1:17" x14ac:dyDescent="0.35">
      <c r="A1180" s="3" t="s">
        <v>99</v>
      </c>
      <c r="B1180" s="4">
        <v>8.962623932602181</v>
      </c>
      <c r="C1180" s="4">
        <v>9.3339886405380756</v>
      </c>
      <c r="D1180" s="4">
        <v>9.7362974259762449</v>
      </c>
      <c r="E1180" s="4">
        <v>10.172173480477888</v>
      </c>
      <c r="F1180" s="4">
        <v>10.64790724791275</v>
      </c>
      <c r="G1180" s="4">
        <v>11.174284624380229</v>
      </c>
      <c r="H1180" s="4">
        <v>11.752756702411148</v>
      </c>
      <c r="I1180" s="4">
        <v>12.384680724988558</v>
      </c>
      <c r="J1180" s="4">
        <v>13.054710362113784</v>
      </c>
      <c r="K1180" s="4">
        <v>13.752286458369214</v>
      </c>
      <c r="L1180" s="4">
        <v>14.459632834735604</v>
      </c>
      <c r="M1180" s="4">
        <v>15.169622301253421</v>
      </c>
      <c r="N1180" s="4">
        <v>15.890686315055243</v>
      </c>
      <c r="O1180"/>
      <c r="P1180"/>
      <c r="Q1180" s="11"/>
    </row>
    <row r="1181" spans="1:17" x14ac:dyDescent="0.35">
      <c r="A1181" s="3" t="s">
        <v>100</v>
      </c>
      <c r="B1181" s="4">
        <v>14.857004167506922</v>
      </c>
      <c r="C1181" s="4">
        <v>15.628050374154883</v>
      </c>
      <c r="D1181" s="4">
        <v>16.441977267191287</v>
      </c>
      <c r="E1181" s="4">
        <v>17.343260499885428</v>
      </c>
      <c r="F1181" s="4">
        <v>18.328364934931781</v>
      </c>
      <c r="G1181" s="4">
        <v>19.39236313343239</v>
      </c>
      <c r="H1181" s="4">
        <v>20.522035098883158</v>
      </c>
      <c r="I1181" s="4">
        <v>21.7004117369444</v>
      </c>
      <c r="J1181" s="4">
        <v>22.925300860688463</v>
      </c>
      <c r="K1181" s="4">
        <v>24.24952280372861</v>
      </c>
      <c r="L1181" s="4">
        <v>25.684451756465734</v>
      </c>
      <c r="M1181" s="4">
        <v>27.207208967329152</v>
      </c>
      <c r="N1181" s="4">
        <v>28.797930313663421</v>
      </c>
      <c r="O1181"/>
      <c r="P1181"/>
      <c r="Q1181" s="11"/>
    </row>
    <row r="1182" spans="1:17" x14ac:dyDescent="0.35">
      <c r="A1182" s="1" t="s">
        <v>25</v>
      </c>
      <c r="O1182"/>
      <c r="P1182"/>
      <c r="Q1182" s="11"/>
    </row>
    <row r="1183" spans="1:17" x14ac:dyDescent="0.35">
      <c r="A1183" s="2" t="s">
        <v>54</v>
      </c>
      <c r="O1183"/>
      <c r="P1183"/>
      <c r="Q1183" s="11"/>
    </row>
    <row r="1184" spans="1:17" x14ac:dyDescent="0.35">
      <c r="A1184" s="3" t="s">
        <v>55</v>
      </c>
      <c r="B1184" s="4">
        <v>7.9572302788962395</v>
      </c>
      <c r="C1184" s="4">
        <v>8.5907123792987186</v>
      </c>
      <c r="D1184" s="4">
        <v>9.2889444007886741</v>
      </c>
      <c r="E1184" s="4">
        <v>10.059408581599127</v>
      </c>
      <c r="F1184" s="4">
        <v>10.913897124519471</v>
      </c>
      <c r="G1184" s="4">
        <v>11.870073249706643</v>
      </c>
      <c r="H1184" s="4">
        <v>12.937717643702797</v>
      </c>
      <c r="I1184" s="4">
        <v>14.127265907525258</v>
      </c>
      <c r="J1184" s="4">
        <v>15.430895338655548</v>
      </c>
      <c r="K1184" s="4">
        <v>16.844533231162714</v>
      </c>
      <c r="L1184" s="4">
        <v>18.353986667748593</v>
      </c>
      <c r="M1184" s="4">
        <v>19.955877585367912</v>
      </c>
      <c r="N1184" s="4">
        <v>21.666285449372722</v>
      </c>
      <c r="O1184"/>
      <c r="P1184"/>
      <c r="Q1184" s="11"/>
    </row>
    <row r="1185" spans="1:17" x14ac:dyDescent="0.35">
      <c r="A1185" s="3" t="s">
        <v>56</v>
      </c>
      <c r="B1185" s="4">
        <v>24.249424822452177</v>
      </c>
      <c r="C1185" s="4">
        <v>25.718329688450588</v>
      </c>
      <c r="D1185" s="4">
        <v>27.327649881202625</v>
      </c>
      <c r="E1185" s="4">
        <v>29.028563800099285</v>
      </c>
      <c r="F1185" s="4">
        <v>30.796640400871773</v>
      </c>
      <c r="G1185" s="4">
        <v>32.590282931444605</v>
      </c>
      <c r="H1185" s="4">
        <v>34.499253321027886</v>
      </c>
      <c r="I1185" s="4">
        <v>36.589039839578611</v>
      </c>
      <c r="J1185" s="4">
        <v>38.92737829423416</v>
      </c>
      <c r="K1185" s="4">
        <v>41.51896201458954</v>
      </c>
      <c r="L1185" s="4">
        <v>44.296919643089517</v>
      </c>
      <c r="M1185" s="4">
        <v>47.201682763945612</v>
      </c>
      <c r="N1185" s="4">
        <v>50.23531030956331</v>
      </c>
      <c r="O1185"/>
      <c r="P1185"/>
      <c r="Q1185" s="11"/>
    </row>
    <row r="1186" spans="1:17" x14ac:dyDescent="0.35">
      <c r="A1186" s="3" t="s">
        <v>57</v>
      </c>
      <c r="B1186" s="4">
        <v>55.383538807749787</v>
      </c>
      <c r="C1186" s="4">
        <v>57.798863641606076</v>
      </c>
      <c r="D1186" s="4">
        <v>60.415854355000647</v>
      </c>
      <c r="E1186" s="4">
        <v>63.252029076671015</v>
      </c>
      <c r="F1186" s="4">
        <v>66.34784984608865</v>
      </c>
      <c r="G1186" s="4">
        <v>69.772120725539594</v>
      </c>
      <c r="H1186" s="4">
        <v>73.535922851543006</v>
      </c>
      <c r="I1186" s="4">
        <v>77.649832165968022</v>
      </c>
      <c r="J1186" s="4">
        <v>82.019774175794453</v>
      </c>
      <c r="K1186" s="4">
        <v>86.580965949107949</v>
      </c>
      <c r="L1186" s="4">
        <v>91.222647676327639</v>
      </c>
      <c r="M1186" s="4">
        <v>95.900321198441958</v>
      </c>
      <c r="N1186" s="4">
        <v>100.66747616835154</v>
      </c>
      <c r="O1186"/>
      <c r="P1186"/>
      <c r="Q1186" s="11"/>
    </row>
    <row r="1187" spans="1:17" x14ac:dyDescent="0.35">
      <c r="A1187" s="2" t="s">
        <v>47</v>
      </c>
      <c r="O1187"/>
      <c r="P1187"/>
      <c r="Q1187" s="11"/>
    </row>
    <row r="1188" spans="1:17" x14ac:dyDescent="0.35">
      <c r="A1188" s="3" t="s">
        <v>82</v>
      </c>
      <c r="B1188" s="4">
        <v>32.206655101348417</v>
      </c>
      <c r="C1188" s="4">
        <v>34.309042067749303</v>
      </c>
      <c r="D1188" s="4">
        <v>36.616594281991297</v>
      </c>
      <c r="E1188" s="4">
        <v>39.087972381698414</v>
      </c>
      <c r="F1188" s="4">
        <v>41.710537525391246</v>
      </c>
      <c r="G1188" s="4">
        <v>44.460356181151248</v>
      </c>
      <c r="H1188" s="4">
        <v>47.436970964730683</v>
      </c>
      <c r="I1188" s="4">
        <v>50.716305747103867</v>
      </c>
      <c r="J1188" s="4">
        <v>54.358273632889706</v>
      </c>
      <c r="K1188" s="4">
        <v>58.363495245752254</v>
      </c>
      <c r="L1188" s="4">
        <v>62.65090631083811</v>
      </c>
      <c r="M1188" s="4">
        <v>67.157560349313528</v>
      </c>
      <c r="N1188" s="4">
        <v>71.901595758936026</v>
      </c>
      <c r="O1188"/>
      <c r="P1188"/>
      <c r="Q1188" s="11"/>
    </row>
    <row r="1189" spans="1:17" x14ac:dyDescent="0.35">
      <c r="A1189" s="3" t="s">
        <v>83</v>
      </c>
      <c r="B1189" s="4">
        <v>55.383538807749787</v>
      </c>
      <c r="C1189" s="4">
        <v>57.798863641606076</v>
      </c>
      <c r="D1189" s="4">
        <v>60.415854355000647</v>
      </c>
      <c r="E1189" s="4">
        <v>63.252029076671015</v>
      </c>
      <c r="F1189" s="4">
        <v>66.34784984608865</v>
      </c>
      <c r="G1189" s="4">
        <v>69.772120725539594</v>
      </c>
      <c r="H1189" s="4">
        <v>73.535922851543006</v>
      </c>
      <c r="I1189" s="4">
        <v>77.649832165968022</v>
      </c>
      <c r="J1189" s="4">
        <v>82.019774175794453</v>
      </c>
      <c r="K1189" s="4">
        <v>86.580965949107949</v>
      </c>
      <c r="L1189" s="4">
        <v>91.222647676327639</v>
      </c>
      <c r="M1189" s="4">
        <v>95.900321198441958</v>
      </c>
      <c r="N1189" s="4">
        <v>100.66747616835154</v>
      </c>
      <c r="O1189"/>
      <c r="P1189"/>
      <c r="Q1189" s="11"/>
    </row>
    <row r="1190" spans="1:17" x14ac:dyDescent="0.35">
      <c r="A1190" s="2" t="s">
        <v>59</v>
      </c>
      <c r="O1190"/>
      <c r="P1190"/>
      <c r="Q1190" s="11"/>
    </row>
    <row r="1191" spans="1:17" x14ac:dyDescent="0.35">
      <c r="A1191" s="3" t="s">
        <v>60</v>
      </c>
      <c r="O1191"/>
      <c r="P1191"/>
      <c r="Q1191" s="11"/>
    </row>
    <row r="1192" spans="1:17" x14ac:dyDescent="0.35">
      <c r="A1192" s="34" t="s">
        <v>61</v>
      </c>
      <c r="B1192" s="4">
        <v>18.403953462728019</v>
      </c>
      <c r="C1192" s="4">
        <v>19.17783919680268</v>
      </c>
      <c r="D1192" s="4">
        <v>20.102955142707586</v>
      </c>
      <c r="E1192" s="4">
        <v>21.176662380848541</v>
      </c>
      <c r="F1192" s="4">
        <v>22.457558530639929</v>
      </c>
      <c r="G1192" s="4">
        <v>23.886516401509269</v>
      </c>
      <c r="H1192" s="4">
        <v>25.484217120606175</v>
      </c>
      <c r="I1192" s="4">
        <v>27.244416899018006</v>
      </c>
      <c r="J1192" s="4">
        <v>29.135617189433972</v>
      </c>
      <c r="K1192" s="4">
        <v>31.120931100687514</v>
      </c>
      <c r="L1192" s="4">
        <v>33.045440789178741</v>
      </c>
      <c r="M1192" s="4">
        <v>34.866571160476312</v>
      </c>
      <c r="N1192" s="4">
        <v>36.643707090698058</v>
      </c>
      <c r="O1192"/>
      <c r="P1192"/>
      <c r="Q1192" s="11"/>
    </row>
    <row r="1193" spans="1:17" x14ac:dyDescent="0.35">
      <c r="A1193" s="43" t="s">
        <v>62</v>
      </c>
      <c r="B1193" s="4">
        <v>3.0614287119200219</v>
      </c>
      <c r="C1193" s="4">
        <v>3.3316822455658412</v>
      </c>
      <c r="D1193" s="4">
        <v>3.6316825142740652</v>
      </c>
      <c r="E1193" s="4">
        <v>3.960211137164261</v>
      </c>
      <c r="F1193" s="4">
        <v>4.3118512378828662</v>
      </c>
      <c r="G1193" s="4">
        <v>4.6924183804897028</v>
      </c>
      <c r="H1193" s="4">
        <v>5.1070342815851806</v>
      </c>
      <c r="I1193" s="4">
        <v>5.5656419681011648</v>
      </c>
      <c r="J1193" s="4">
        <v>6.0738978590213302</v>
      </c>
      <c r="K1193" s="4">
        <v>6.6357686849132378</v>
      </c>
      <c r="L1193" s="4">
        <v>7.247000391867445</v>
      </c>
      <c r="M1193" s="4">
        <v>7.9030720414078433</v>
      </c>
      <c r="N1193" s="4">
        <v>8.6122193181445219</v>
      </c>
      <c r="O1193"/>
      <c r="P1193"/>
      <c r="Q1193" s="11"/>
    </row>
    <row r="1194" spans="1:17" x14ac:dyDescent="0.35">
      <c r="A1194" s="43" t="s">
        <v>63</v>
      </c>
      <c r="B1194" s="4">
        <v>6.444541023866357</v>
      </c>
      <c r="C1194" s="4">
        <v>6.8468797763245171</v>
      </c>
      <c r="D1194" s="4">
        <v>7.2880306747541734</v>
      </c>
      <c r="E1194" s="4">
        <v>7.7551759965884841</v>
      </c>
      <c r="F1194" s="4">
        <v>8.2419239807448541</v>
      </c>
      <c r="G1194" s="4">
        <v>8.7372438843590228</v>
      </c>
      <c r="H1194" s="4">
        <v>9.2652437432252643</v>
      </c>
      <c r="I1194" s="4">
        <v>9.8436816172437265</v>
      </c>
      <c r="J1194" s="4">
        <v>10.49104418338888</v>
      </c>
      <c r="K1194" s="4">
        <v>11.208956195948414</v>
      </c>
      <c r="L1194" s="4">
        <v>11.97973192092619</v>
      </c>
      <c r="M1194" s="4">
        <v>12.787536502457431</v>
      </c>
      <c r="N1194" s="4">
        <v>13.633119836764454</v>
      </c>
      <c r="O1194"/>
      <c r="P1194"/>
      <c r="Q1194" s="11"/>
    </row>
    <row r="1195" spans="1:17" x14ac:dyDescent="0.35">
      <c r="A1195" s="43" t="s">
        <v>64</v>
      </c>
      <c r="B1195" s="4">
        <v>8.8979837269416393</v>
      </c>
      <c r="C1195" s="4">
        <v>8.9992771749123222</v>
      </c>
      <c r="D1195" s="4">
        <v>9.1832419536793477</v>
      </c>
      <c r="E1195" s="4">
        <v>9.461275247095795</v>
      </c>
      <c r="F1195" s="4">
        <v>9.9037833120122087</v>
      </c>
      <c r="G1195" s="4">
        <v>10.456854136660542</v>
      </c>
      <c r="H1195" s="4">
        <v>11.11193909579573</v>
      </c>
      <c r="I1195" s="4">
        <v>11.835093313673115</v>
      </c>
      <c r="J1195" s="4">
        <v>12.570675147023763</v>
      </c>
      <c r="K1195" s="4">
        <v>13.276206219825863</v>
      </c>
      <c r="L1195" s="4">
        <v>13.818708476385105</v>
      </c>
      <c r="M1195" s="4">
        <v>14.175962616611038</v>
      </c>
      <c r="N1195" s="4">
        <v>14.398367935789082</v>
      </c>
      <c r="O1195"/>
      <c r="P1195"/>
      <c r="Q1195" s="11"/>
    </row>
    <row r="1196" spans="1:17" x14ac:dyDescent="0.35">
      <c r="A1196" s="34" t="s">
        <v>65</v>
      </c>
      <c r="B1196" s="4">
        <v>15.73365257899629</v>
      </c>
      <c r="C1196" s="4">
        <v>16.603360619740439</v>
      </c>
      <c r="D1196" s="4">
        <v>17.550494048324563</v>
      </c>
      <c r="E1196" s="4">
        <v>18.558977441000497</v>
      </c>
      <c r="F1196" s="4">
        <v>19.594443498845191</v>
      </c>
      <c r="G1196" s="4">
        <v>20.677246771892957</v>
      </c>
      <c r="H1196" s="4">
        <v>21.821911890010536</v>
      </c>
      <c r="I1196" s="4">
        <v>23.061379428022065</v>
      </c>
      <c r="J1196" s="4">
        <v>24.40632515230179</v>
      </c>
      <c r="K1196" s="4">
        <v>25.858643237675363</v>
      </c>
      <c r="L1196" s="4">
        <v>27.387190712924909</v>
      </c>
      <c r="M1196" s="4">
        <v>28.962778455375165</v>
      </c>
      <c r="N1196" s="4">
        <v>30.605853817310297</v>
      </c>
      <c r="O1196"/>
      <c r="P1196"/>
      <c r="Q1196" s="11"/>
    </row>
    <row r="1197" spans="1:17" x14ac:dyDescent="0.35">
      <c r="A1197" s="34" t="s">
        <v>66</v>
      </c>
      <c r="B1197" s="4">
        <v>10.200018108343684</v>
      </c>
      <c r="C1197" s="4">
        <v>10.675097747155094</v>
      </c>
      <c r="D1197" s="4">
        <v>11.131983182648204</v>
      </c>
      <c r="E1197" s="4">
        <v>11.588924364261652</v>
      </c>
      <c r="F1197" s="4">
        <v>12.078766540384024</v>
      </c>
      <c r="G1197" s="4">
        <v>12.630538412485777</v>
      </c>
      <c r="H1197" s="4">
        <v>13.262382657369646</v>
      </c>
      <c r="I1197" s="4">
        <v>13.954814849758655</v>
      </c>
      <c r="J1197" s="4">
        <v>14.673492803901279</v>
      </c>
      <c r="K1197" s="4">
        <v>15.41444501893085</v>
      </c>
      <c r="L1197" s="4">
        <v>16.191369890019708</v>
      </c>
      <c r="M1197" s="4">
        <v>17.019154979195477</v>
      </c>
      <c r="N1197" s="4">
        <v>17.883254773283049</v>
      </c>
      <c r="O1197"/>
      <c r="P1197"/>
      <c r="Q1197" s="11"/>
    </row>
    <row r="1198" spans="1:17" x14ac:dyDescent="0.35">
      <c r="A1198" s="34" t="s">
        <v>67</v>
      </c>
      <c r="B1198" s="4">
        <v>6.4649994799069699</v>
      </c>
      <c r="C1198" s="4">
        <v>6.7009313870792866</v>
      </c>
      <c r="D1198" s="4">
        <v>6.952493351530606</v>
      </c>
      <c r="E1198" s="4">
        <v>7.2233486555876221</v>
      </c>
      <c r="F1198" s="4">
        <v>7.51567695846117</v>
      </c>
      <c r="G1198" s="4">
        <v>7.8318250569688885</v>
      </c>
      <c r="H1198" s="4">
        <v>8.1732061831102012</v>
      </c>
      <c r="I1198" s="4">
        <v>8.5351695425583767</v>
      </c>
      <c r="J1198" s="4">
        <v>8.9130207688973559</v>
      </c>
      <c r="K1198" s="4">
        <v>9.3035036914817795</v>
      </c>
      <c r="L1198" s="4">
        <v>9.7033852061386607</v>
      </c>
      <c r="M1198" s="4">
        <v>10.115256113730922</v>
      </c>
      <c r="N1198" s="4">
        <v>10.534797662367932</v>
      </c>
      <c r="O1198"/>
      <c r="P1198"/>
      <c r="Q1198" s="11"/>
    </row>
    <row r="1199" spans="1:17" x14ac:dyDescent="0.35">
      <c r="A1199" s="34" t="s">
        <v>68</v>
      </c>
      <c r="B1199" s="4">
        <v>10.639383130112009</v>
      </c>
      <c r="C1199" s="4">
        <v>11.374628679148922</v>
      </c>
      <c r="D1199" s="4">
        <v>12.180791633787322</v>
      </c>
      <c r="E1199" s="4">
        <v>13.049171519246469</v>
      </c>
      <c r="F1199" s="4">
        <v>13.957685779999315</v>
      </c>
      <c r="G1199" s="4">
        <v>14.922019932946677</v>
      </c>
      <c r="H1199" s="4">
        <v>15.954441387443989</v>
      </c>
      <c r="I1199" s="4">
        <v>17.081276752674668</v>
      </c>
      <c r="J1199" s="4">
        <v>18.313679997676417</v>
      </c>
      <c r="K1199" s="4">
        <v>19.656712025598999</v>
      </c>
      <c r="L1199" s="4">
        <v>21.090487652444377</v>
      </c>
      <c r="M1199" s="4">
        <v>22.595487918878785</v>
      </c>
      <c r="N1199" s="4">
        <v>24.189818426466012</v>
      </c>
      <c r="O1199"/>
      <c r="P1199"/>
      <c r="Q1199" s="11"/>
    </row>
    <row r="1200" spans="1:17" x14ac:dyDescent="0.35">
      <c r="A1200" s="34" t="s">
        <v>69</v>
      </c>
      <c r="B1200" s="4">
        <v>12.16480579894124</v>
      </c>
      <c r="C1200" s="4">
        <v>12.569209091956822</v>
      </c>
      <c r="D1200" s="4">
        <v>13.002767762692871</v>
      </c>
      <c r="E1200" s="4">
        <v>13.441529405263058</v>
      </c>
      <c r="F1200" s="4">
        <v>13.868213435255729</v>
      </c>
      <c r="G1200" s="4">
        <v>14.301507893230783</v>
      </c>
      <c r="H1200" s="4">
        <v>14.755490832141467</v>
      </c>
      <c r="I1200" s="4">
        <v>15.268151346934363</v>
      </c>
      <c r="J1200" s="4">
        <v>15.848245082568447</v>
      </c>
      <c r="K1200" s="4">
        <v>16.462264915981478</v>
      </c>
      <c r="L1200" s="4">
        <v>17.112420855290956</v>
      </c>
      <c r="M1200" s="4">
        <v>17.77114144476646</v>
      </c>
      <c r="N1200" s="4">
        <v>18.428561922328413</v>
      </c>
      <c r="O1200"/>
      <c r="P1200"/>
      <c r="Q1200" s="11"/>
    </row>
    <row r="1201" spans="1:17" x14ac:dyDescent="0.35">
      <c r="A1201" s="3" t="s">
        <v>70</v>
      </c>
      <c r="O1201"/>
      <c r="P1201"/>
      <c r="Q1201" s="11"/>
    </row>
    <row r="1202" spans="1:17" x14ac:dyDescent="0.35">
      <c r="A1202" s="34" t="s">
        <v>71</v>
      </c>
      <c r="B1202" s="4">
        <v>1.9030937845364739</v>
      </c>
      <c r="C1202" s="4">
        <v>2.0777005103215394</v>
      </c>
      <c r="D1202" s="4">
        <v>2.2709243335068581</v>
      </c>
      <c r="E1202" s="4">
        <v>2.4804145628433454</v>
      </c>
      <c r="F1202" s="4">
        <v>2.7042692023586561</v>
      </c>
      <c r="G1202" s="4">
        <v>2.9469743380681352</v>
      </c>
      <c r="H1202" s="4">
        <v>3.2129354753680603</v>
      </c>
      <c r="I1202" s="4">
        <v>3.5125381142109529</v>
      </c>
      <c r="J1202" s="4">
        <v>3.8514941128387208</v>
      </c>
      <c r="K1202" s="4">
        <v>4.2260476067366124</v>
      </c>
      <c r="L1202" s="4">
        <v>4.6401955446169616</v>
      </c>
      <c r="M1202" s="4">
        <v>5.0902893215674316</v>
      </c>
      <c r="N1202" s="4">
        <v>5.5764062573904489</v>
      </c>
      <c r="O1202"/>
      <c r="P1202"/>
      <c r="Q1202" s="11"/>
    </row>
    <row r="1203" spans="1:17" x14ac:dyDescent="0.35">
      <c r="A1203" s="34" t="s">
        <v>72</v>
      </c>
      <c r="B1203" s="4">
        <v>1.4424669574569029</v>
      </c>
      <c r="C1203" s="4">
        <v>1.5939144819508149</v>
      </c>
      <c r="D1203" s="4">
        <v>1.7640804312836587</v>
      </c>
      <c r="E1203" s="4">
        <v>1.9531491299419992</v>
      </c>
      <c r="F1203" s="4">
        <v>2.1592226964569115</v>
      </c>
      <c r="G1203" s="4">
        <v>2.3858888752795244</v>
      </c>
      <c r="H1203" s="4">
        <v>2.6365832214562639</v>
      </c>
      <c r="I1203" s="4">
        <v>2.9174170637530641</v>
      </c>
      <c r="J1203" s="4">
        <v>3.2326012519828851</v>
      </c>
      <c r="K1203" s="4">
        <v>3.5856688668711891</v>
      </c>
      <c r="L1203" s="4">
        <v>3.9758855823245924</v>
      </c>
      <c r="M1203" s="4">
        <v>4.4022801818591288</v>
      </c>
      <c r="N1203" s="4">
        <v>4.8708838737122759</v>
      </c>
      <c r="O1203"/>
      <c r="P1203"/>
      <c r="Q1203" s="11"/>
    </row>
    <row r="1204" spans="1:17" x14ac:dyDescent="0.35">
      <c r="A1204" s="34" t="s">
        <v>73</v>
      </c>
      <c r="B1204" s="4">
        <v>1.3619186096791003</v>
      </c>
      <c r="C1204" s="4">
        <v>1.4422299063674446</v>
      </c>
      <c r="D1204" s="4">
        <v>1.5296808151844832</v>
      </c>
      <c r="E1204" s="4">
        <v>1.6249838566152983</v>
      </c>
      <c r="F1204" s="4">
        <v>1.7294744898805359</v>
      </c>
      <c r="G1204" s="4">
        <v>1.8452960710620681</v>
      </c>
      <c r="H1204" s="4">
        <v>1.973179825606397</v>
      </c>
      <c r="I1204" s="4">
        <v>2.1138726122656273</v>
      </c>
      <c r="J1204" s="4">
        <v>2.2653017799719173</v>
      </c>
      <c r="K1204" s="4">
        <v>2.4260685112523896</v>
      </c>
      <c r="L1204" s="4">
        <v>2.5933925972236107</v>
      </c>
      <c r="M1204" s="4">
        <v>2.7662056477797075</v>
      </c>
      <c r="N1204" s="4">
        <v>2.9461966545136384</v>
      </c>
      <c r="O1204"/>
      <c r="P1204"/>
      <c r="Q1204" s="11"/>
    </row>
    <row r="1205" spans="1:17" x14ac:dyDescent="0.35">
      <c r="A1205" s="34" t="s">
        <v>74</v>
      </c>
      <c r="B1205" s="4">
        <v>1.6482437882878844</v>
      </c>
      <c r="C1205" s="4">
        <v>1.7689709468440258</v>
      </c>
      <c r="D1205" s="4">
        <v>1.8918591716103721</v>
      </c>
      <c r="E1205" s="4">
        <v>2.0199705438514921</v>
      </c>
      <c r="F1205" s="4">
        <v>2.1592226964569115</v>
      </c>
      <c r="G1205" s="4">
        <v>2.3154440285023106</v>
      </c>
      <c r="H1205" s="4">
        <v>2.4930263293733264</v>
      </c>
      <c r="I1205" s="4">
        <v>2.68967580757054</v>
      </c>
      <c r="J1205" s="4">
        <v>2.8999276061169508</v>
      </c>
      <c r="K1205" s="4">
        <v>3.1237021167617209</v>
      </c>
      <c r="L1205" s="4">
        <v>3.364452002989831</v>
      </c>
      <c r="M1205" s="4">
        <v>3.6261884152064385</v>
      </c>
      <c r="N1205" s="4">
        <v>3.9070068812033765</v>
      </c>
      <c r="O1205"/>
      <c r="P1205"/>
      <c r="Q1205" s="11"/>
    </row>
    <row r="1206" spans="1:17" x14ac:dyDescent="0.35">
      <c r="A1206" s="34" t="s">
        <v>75</v>
      </c>
      <c r="B1206" s="4">
        <v>1.2505673744279586</v>
      </c>
      <c r="C1206" s="4">
        <v>1.3549033857128436</v>
      </c>
      <c r="D1206" s="4">
        <v>1.4706540552417262</v>
      </c>
      <c r="E1206" s="4">
        <v>1.5958031952281897</v>
      </c>
      <c r="F1206" s="4">
        <v>1.7294744898805359</v>
      </c>
      <c r="G1206" s="4">
        <v>1.8697307313902043</v>
      </c>
      <c r="H1206" s="4">
        <v>2.0219846619501922</v>
      </c>
      <c r="I1206" s="4">
        <v>2.1906807424821193</v>
      </c>
      <c r="J1206" s="4">
        <v>2.3807535646886882</v>
      </c>
      <c r="K1206" s="4">
        <v>2.5936665933217924</v>
      </c>
      <c r="L1206" s="4">
        <v>2.8264851897243486</v>
      </c>
      <c r="M1206" s="4">
        <v>3.0764339312765476</v>
      </c>
      <c r="N1206" s="4">
        <v>3.3444700378238044</v>
      </c>
      <c r="O1206"/>
      <c r="P1206"/>
      <c r="Q1206" s="11"/>
    </row>
    <row r="1207" spans="1:17" x14ac:dyDescent="0.35">
      <c r="A1207" s="3" t="s">
        <v>76</v>
      </c>
      <c r="O1207"/>
      <c r="P1207"/>
      <c r="Q1207" s="11"/>
    </row>
    <row r="1208" spans="1:17" x14ac:dyDescent="0.35">
      <c r="A1208" s="34" t="s">
        <v>77</v>
      </c>
      <c r="B1208" s="4">
        <v>1.8172735537269114</v>
      </c>
      <c r="C1208" s="4">
        <v>1.94113533868849</v>
      </c>
      <c r="D1208" s="4">
        <v>2.0773215695532969</v>
      </c>
      <c r="E1208" s="4">
        <v>2.2223699175331797</v>
      </c>
      <c r="F1208" s="4">
        <v>2.37458306248827</v>
      </c>
      <c r="G1208" s="4">
        <v>2.530889271722474</v>
      </c>
      <c r="H1208" s="4">
        <v>2.6983279194867587</v>
      </c>
      <c r="I1208" s="4">
        <v>2.8822406341322044</v>
      </c>
      <c r="J1208" s="4">
        <v>3.0882959458366033</v>
      </c>
      <c r="K1208" s="4">
        <v>3.3173178885034567</v>
      </c>
      <c r="L1208" s="4">
        <v>3.5644294198403723</v>
      </c>
      <c r="M1208" s="4">
        <v>3.8251960534234937</v>
      </c>
      <c r="N1208" s="4">
        <v>4.1000466229713108</v>
      </c>
      <c r="O1208"/>
      <c r="P1208"/>
      <c r="Q1208" s="11"/>
    </row>
    <row r="1209" spans="1:17" x14ac:dyDescent="0.35">
      <c r="A1209" s="34" t="s">
        <v>78</v>
      </c>
      <c r="B1209" s="4">
        <v>1.766382921643709</v>
      </c>
      <c r="C1209" s="4">
        <v>1.854792730010117</v>
      </c>
      <c r="D1209" s="4">
        <v>1.9479676026977206</v>
      </c>
      <c r="E1209" s="4">
        <v>2.0511504521287907</v>
      </c>
      <c r="F1209" s="4">
        <v>2.1638692071138848</v>
      </c>
      <c r="G1209" s="4">
        <v>2.2854905554450111</v>
      </c>
      <c r="H1209" s="4">
        <v>2.4144080990403287</v>
      </c>
      <c r="I1209" s="4">
        <v>2.5485853731636325</v>
      </c>
      <c r="J1209" s="4">
        <v>2.6877354167916123</v>
      </c>
      <c r="K1209" s="4">
        <v>2.8380227459652576</v>
      </c>
      <c r="L1209" s="4">
        <v>3.0007180577632595</v>
      </c>
      <c r="M1209" s="4">
        <v>3.1730811714987475</v>
      </c>
      <c r="N1209" s="4">
        <v>3.3527423215855827</v>
      </c>
      <c r="O1209"/>
      <c r="P1209"/>
      <c r="Q1209" s="11"/>
    </row>
    <row r="1210" spans="1:17" x14ac:dyDescent="0.35">
      <c r="A1210" s="34" t="s">
        <v>79</v>
      </c>
      <c r="B1210" s="4">
        <v>1.0122130374986691</v>
      </c>
      <c r="C1210" s="4">
        <v>1.1015559809989732</v>
      </c>
      <c r="D1210" s="4">
        <v>1.1946240094744485</v>
      </c>
      <c r="E1210" s="4">
        <v>1.2934626684858415</v>
      </c>
      <c r="F1210" s="4">
        <v>1.4020575761449514</v>
      </c>
      <c r="G1210" s="4">
        <v>1.5245549983181061</v>
      </c>
      <c r="H1210" s="4">
        <v>1.6643776258093146</v>
      </c>
      <c r="I1210" s="4">
        <v>1.8206607684450706</v>
      </c>
      <c r="J1210" s="4">
        <v>1.9903262615826023</v>
      </c>
      <c r="K1210" s="4">
        <v>2.1738036425033727</v>
      </c>
      <c r="L1210" s="4">
        <v>2.3739913890636664</v>
      </c>
      <c r="M1210" s="4">
        <v>2.5943302857581472</v>
      </c>
      <c r="N1210" s="4">
        <v>2.8342041372200284</v>
      </c>
      <c r="O1210"/>
      <c r="P1210"/>
      <c r="Q1210" s="11"/>
    </row>
    <row r="1211" spans="1:17" x14ac:dyDescent="0.35">
      <c r="A1211" s="34" t="s">
        <v>80</v>
      </c>
      <c r="B1211" s="4">
        <v>0.82267587896420502</v>
      </c>
      <c r="C1211" s="4">
        <v>0.85628210512027336</v>
      </c>
      <c r="D1211" s="4">
        <v>0.89215819964732557</v>
      </c>
      <c r="E1211" s="4">
        <v>0.93080130425728502</v>
      </c>
      <c r="F1211" s="4">
        <v>0.97252548634331903</v>
      </c>
      <c r="G1211" s="4">
        <v>1.0176714100325057</v>
      </c>
      <c r="H1211" s="4">
        <v>1.066463804798035</v>
      </c>
      <c r="I1211" s="4">
        <v>1.1183395430593472</v>
      </c>
      <c r="J1211" s="4">
        <v>1.1727200211884381</v>
      </c>
      <c r="K1211" s="4">
        <v>1.2292059165140914</v>
      </c>
      <c r="L1211" s="4">
        <v>1.2873940584958268</v>
      </c>
      <c r="M1211" s="4">
        <v>1.3476470349899852</v>
      </c>
      <c r="N1211" s="4">
        <v>1.4094127869809421</v>
      </c>
      <c r="O1211"/>
      <c r="P1211"/>
      <c r="Q1211" s="11"/>
    </row>
    <row r="1212" spans="1:17" x14ac:dyDescent="0.35">
      <c r="A1212" s="34" t="s">
        <v>81</v>
      </c>
      <c r="B1212" s="4">
        <v>0.95854544384816809</v>
      </c>
      <c r="C1212" s="4">
        <v>1.0153536014576106</v>
      </c>
      <c r="D1212" s="4">
        <v>1.0716933271009057</v>
      </c>
      <c r="E1212" s="4">
        <v>1.1292820612761687</v>
      </c>
      <c r="F1212" s="4">
        <v>1.1913437207705657</v>
      </c>
      <c r="G1212" s="4">
        <v>1.26088215783616</v>
      </c>
      <c r="H1212" s="4">
        <v>1.3399567827030054</v>
      </c>
      <c r="I1212" s="4">
        <v>1.4269184350231965</v>
      </c>
      <c r="J1212" s="4">
        <v>1.5185108529064848</v>
      </c>
      <c r="K1212" s="4">
        <v>1.6144573160743376</v>
      </c>
      <c r="L1212" s="4">
        <v>1.7163150391259023</v>
      </c>
      <c r="M1212" s="4">
        <v>1.825839431972728</v>
      </c>
      <c r="N1212" s="4">
        <v>1.9417086614323744</v>
      </c>
      <c r="O1212"/>
      <c r="P1212"/>
      <c r="Q1212" s="11"/>
    </row>
    <row r="1213" spans="1:17" x14ac:dyDescent="0.35">
      <c r="A1213" s="2" t="s">
        <v>84</v>
      </c>
      <c r="O1213"/>
      <c r="P1213"/>
      <c r="Q1213" s="11"/>
    </row>
    <row r="1214" spans="1:17" x14ac:dyDescent="0.35">
      <c r="A1214" s="3" t="s">
        <v>85</v>
      </c>
      <c r="B1214" s="4">
        <v>5.3232324231524837</v>
      </c>
      <c r="C1214" s="4">
        <v>5.4828465629372127</v>
      </c>
      <c r="D1214" s="4">
        <v>5.6563847208220164</v>
      </c>
      <c r="E1214" s="4">
        <v>5.8448428612095302</v>
      </c>
      <c r="F1214" s="4">
        <v>6.0512696928028742</v>
      </c>
      <c r="G1214" s="4">
        <v>6.281123779492793</v>
      </c>
      <c r="H1214" s="4">
        <v>6.5343647002854359</v>
      </c>
      <c r="I1214" s="4">
        <v>6.8108844603595102</v>
      </c>
      <c r="J1214" s="4">
        <v>7.1013762156053994</v>
      </c>
      <c r="K1214" s="4">
        <v>7.3995235146933958</v>
      </c>
      <c r="L1214" s="4">
        <v>7.6953893139505505</v>
      </c>
      <c r="M1214" s="4">
        <v>7.985129232917223</v>
      </c>
      <c r="N1214" s="4">
        <v>8.2732569590762779</v>
      </c>
      <c r="O1214"/>
      <c r="P1214"/>
      <c r="Q1214" s="11"/>
    </row>
    <row r="1215" spans="1:17" x14ac:dyDescent="0.35">
      <c r="A1215" s="3" t="s">
        <v>86</v>
      </c>
      <c r="B1215" s="4">
        <v>16.191564076156798</v>
      </c>
      <c r="C1215" s="4">
        <v>16.863895547451886</v>
      </c>
      <c r="D1215" s="4">
        <v>17.59787240972091</v>
      </c>
      <c r="E1215" s="4">
        <v>18.357928604552832</v>
      </c>
      <c r="F1215" s="4">
        <v>19.126334564751939</v>
      </c>
      <c r="G1215" s="4">
        <v>19.875900056642685</v>
      </c>
      <c r="H1215" s="4">
        <v>20.661466494195825</v>
      </c>
      <c r="I1215" s="4">
        <v>21.519404251278406</v>
      </c>
      <c r="J1215" s="4">
        <v>22.484697990507456</v>
      </c>
      <c r="K1215" s="4">
        <v>23.55325100797285</v>
      </c>
      <c r="L1215" s="4">
        <v>24.680436558412183</v>
      </c>
      <c r="M1215" s="4">
        <v>25.828658464948994</v>
      </c>
      <c r="N1215" s="4">
        <v>26.996584191007546</v>
      </c>
      <c r="O1215"/>
      <c r="P1215"/>
      <c r="Q1215" s="11"/>
    </row>
    <row r="1216" spans="1:17" x14ac:dyDescent="0.35">
      <c r="A1216" s="3" t="s">
        <v>87</v>
      </c>
      <c r="B1216" s="4">
        <v>29.817492200071264</v>
      </c>
      <c r="C1216" s="4">
        <v>31.495449403955604</v>
      </c>
      <c r="D1216" s="4">
        <v>33.536727244120918</v>
      </c>
      <c r="E1216" s="4">
        <v>35.8871275134115</v>
      </c>
      <c r="F1216" s="4">
        <v>38.468785904246843</v>
      </c>
      <c r="G1216" s="4">
        <v>41.237864513687427</v>
      </c>
      <c r="H1216" s="4">
        <v>44.176377422715376</v>
      </c>
      <c r="I1216" s="4">
        <v>47.399030533033596</v>
      </c>
      <c r="J1216" s="4">
        <v>50.968798708663144</v>
      </c>
      <c r="K1216" s="4">
        <v>54.843494534135942</v>
      </c>
      <c r="L1216" s="4">
        <v>58.830054194514332</v>
      </c>
      <c r="M1216" s="4">
        <v>62.800169408573652</v>
      </c>
      <c r="N1216" s="4">
        <v>66.872775798639069</v>
      </c>
      <c r="O1216"/>
      <c r="P1216"/>
      <c r="Q1216" s="11"/>
    </row>
    <row r="1217" spans="1:17" x14ac:dyDescent="0.35">
      <c r="A1217" s="3" t="s">
        <v>88</v>
      </c>
      <c r="B1217" s="4">
        <v>19.637706110675207</v>
      </c>
      <c r="C1217" s="4">
        <v>20.827441422307249</v>
      </c>
      <c r="D1217" s="4">
        <v>22.010587104138214</v>
      </c>
      <c r="E1217" s="4">
        <v>23.222390474066053</v>
      </c>
      <c r="F1217" s="4">
        <v>24.529253933325936</v>
      </c>
      <c r="G1217" s="4">
        <v>25.993381105732443</v>
      </c>
      <c r="H1217" s="4">
        <v>27.657815316780422</v>
      </c>
      <c r="I1217" s="4">
        <v>29.489263815394821</v>
      </c>
      <c r="J1217" s="4">
        <v>31.421053452773254</v>
      </c>
      <c r="K1217" s="4">
        <v>33.447832225969627</v>
      </c>
      <c r="L1217" s="4">
        <v>35.60221606433516</v>
      </c>
      <c r="M1217" s="4">
        <v>37.921093723070349</v>
      </c>
      <c r="N1217" s="4">
        <v>40.377624803012019</v>
      </c>
      <c r="O1217"/>
      <c r="P1217"/>
      <c r="Q1217" s="11"/>
    </row>
    <row r="1218" spans="1:17" x14ac:dyDescent="0.35">
      <c r="A1218" s="3" t="s">
        <v>89</v>
      </c>
      <c r="B1218" s="4">
        <v>5.2460530611767977</v>
      </c>
      <c r="C1218" s="4">
        <v>5.5259697883300021</v>
      </c>
      <c r="D1218" s="4">
        <v>5.7999496580967778</v>
      </c>
      <c r="E1218" s="4">
        <v>6.0773544785478588</v>
      </c>
      <c r="F1218" s="4">
        <v>6.3754448549173137</v>
      </c>
      <c r="G1218" s="4">
        <v>6.7099158485987083</v>
      </c>
      <c r="H1218" s="4">
        <v>7.0910817240186317</v>
      </c>
      <c r="I1218" s="4">
        <v>7.5093950892222514</v>
      </c>
      <c r="J1218" s="4">
        <v>7.9470545825236893</v>
      </c>
      <c r="K1218" s="4">
        <v>8.4022396245747455</v>
      </c>
      <c r="L1218" s="4">
        <v>8.8827101324404545</v>
      </c>
      <c r="M1218" s="4">
        <v>9.3970751343432184</v>
      </c>
      <c r="N1218" s="4">
        <v>9.9379089920851449</v>
      </c>
      <c r="O1218"/>
      <c r="P1218"/>
      <c r="Q1218" s="11"/>
    </row>
    <row r="1219" spans="1:17" x14ac:dyDescent="0.35">
      <c r="A1219" s="3" t="s">
        <v>90</v>
      </c>
      <c r="B1219" s="4">
        <v>11.374146037865655</v>
      </c>
      <c r="C1219" s="4">
        <v>11.912302984373424</v>
      </c>
      <c r="D1219" s="4">
        <v>12.430927500093112</v>
      </c>
      <c r="E1219" s="4">
        <v>12.950357526581652</v>
      </c>
      <c r="F1219" s="4">
        <v>13.507298421434987</v>
      </c>
      <c r="G1219" s="4">
        <v>14.134291602536775</v>
      </c>
      <c r="H1219" s="4">
        <v>14.851788158277984</v>
      </c>
      <c r="I1219" s="4">
        <v>15.638159763783314</v>
      </c>
      <c r="J1219" s="4">
        <v>16.455066858611218</v>
      </c>
      <c r="K1219" s="4">
        <v>17.298120287513619</v>
      </c>
      <c r="L1219" s="4">
        <v>18.182747723513064</v>
      </c>
      <c r="M1219" s="4">
        <v>19.125755583902027</v>
      </c>
      <c r="N1219" s="4">
        <v>20.110921183467514</v>
      </c>
      <c r="O1219"/>
      <c r="P1219"/>
      <c r="Q1219" s="11"/>
    </row>
    <row r="1220" spans="1:17" x14ac:dyDescent="0.35">
      <c r="A1220" s="2" t="s">
        <v>91</v>
      </c>
      <c r="O1220"/>
      <c r="P1220"/>
      <c r="Q1220" s="11"/>
    </row>
    <row r="1221" spans="1:17" x14ac:dyDescent="0.35">
      <c r="A1221" s="3" t="s">
        <v>92</v>
      </c>
      <c r="B1221" s="4">
        <v>35.029224823796092</v>
      </c>
      <c r="C1221" s="4">
        <v>37.33317779247438</v>
      </c>
      <c r="D1221" s="4">
        <v>39.854662802103704</v>
      </c>
      <c r="E1221" s="4">
        <v>42.563074088914718</v>
      </c>
      <c r="F1221" s="4">
        <v>45.384522696021556</v>
      </c>
      <c r="G1221" s="4">
        <v>48.368832245151935</v>
      </c>
      <c r="H1221" s="4">
        <v>51.55411611996292</v>
      </c>
      <c r="I1221" s="4">
        <v>55.023429467227032</v>
      </c>
      <c r="J1221" s="4">
        <v>58.809901969562553</v>
      </c>
      <c r="K1221" s="4">
        <v>62.926664725522535</v>
      </c>
      <c r="L1221" s="4">
        <v>67.306803722994815</v>
      </c>
      <c r="M1221" s="4">
        <v>71.885380914145756</v>
      </c>
      <c r="N1221" s="4">
        <v>76.717944743317005</v>
      </c>
      <c r="O1221"/>
      <c r="P1221"/>
      <c r="Q1221" s="11"/>
    </row>
    <row r="1222" spans="1:17" x14ac:dyDescent="0.35">
      <c r="A1222" s="3" t="s">
        <v>93</v>
      </c>
      <c r="B1222" s="4">
        <v>52.560969085302112</v>
      </c>
      <c r="C1222" s="4">
        <v>54.774727916880998</v>
      </c>
      <c r="D1222" s="4">
        <v>57.17778583488824</v>
      </c>
      <c r="E1222" s="4">
        <v>59.776927369454711</v>
      </c>
      <c r="F1222" s="4">
        <v>62.67386467545834</v>
      </c>
      <c r="G1222" s="4">
        <v>65.863644661538899</v>
      </c>
      <c r="H1222" s="4">
        <v>69.418777696310769</v>
      </c>
      <c r="I1222" s="4">
        <v>73.342708445844863</v>
      </c>
      <c r="J1222" s="4">
        <v>77.568145839121598</v>
      </c>
      <c r="K1222" s="4">
        <v>82.017796469337668</v>
      </c>
      <c r="L1222" s="4">
        <v>86.566750264170921</v>
      </c>
      <c r="M1222" s="4">
        <v>91.172500633609715</v>
      </c>
      <c r="N1222" s="4">
        <v>95.851127183970547</v>
      </c>
      <c r="O1222"/>
      <c r="P1222"/>
      <c r="Q1222" s="11"/>
    </row>
    <row r="1223" spans="1:17" x14ac:dyDescent="0.35">
      <c r="A1223" s="2" t="s">
        <v>94</v>
      </c>
      <c r="O1223"/>
      <c r="P1223"/>
      <c r="Q1223" s="11"/>
    </row>
    <row r="1224" spans="1:17" x14ac:dyDescent="0.35">
      <c r="A1224" s="3" t="s">
        <v>48</v>
      </c>
      <c r="B1224" s="4">
        <v>9.125508829018262</v>
      </c>
      <c r="C1224" s="4">
        <v>9.6646657178899282</v>
      </c>
      <c r="D1224" s="4">
        <v>10.245802173257399</v>
      </c>
      <c r="E1224" s="4">
        <v>10.876397256457023</v>
      </c>
      <c r="F1224" s="4">
        <v>11.562247448748348</v>
      </c>
      <c r="G1224" s="4">
        <v>12.309790919480958</v>
      </c>
      <c r="H1224" s="4">
        <v>13.124423708199911</v>
      </c>
      <c r="I1224" s="4">
        <v>14.002122812155978</v>
      </c>
      <c r="J1224" s="4">
        <v>14.938284893555331</v>
      </c>
      <c r="K1224" s="4">
        <v>15.930172947004085</v>
      </c>
      <c r="L1224" s="4">
        <v>16.974722147243696</v>
      </c>
      <c r="M1224" s="4">
        <v>18.078669346226544</v>
      </c>
      <c r="N1224" s="4">
        <v>19.23687541230132</v>
      </c>
      <c r="O1224"/>
      <c r="P1224"/>
      <c r="Q1224" s="11"/>
    </row>
    <row r="1225" spans="1:17" x14ac:dyDescent="0.35">
      <c r="A1225" s="3" t="s">
        <v>95</v>
      </c>
      <c r="B1225" s="4">
        <v>8.9319501828769088</v>
      </c>
      <c r="C1225" s="4">
        <v>9.5484632543835524</v>
      </c>
      <c r="D1225" s="4">
        <v>10.223444225228871</v>
      </c>
      <c r="E1225" s="4">
        <v>10.963178681920809</v>
      </c>
      <c r="F1225" s="4">
        <v>11.778364223491309</v>
      </c>
      <c r="G1225" s="4">
        <v>12.685573224737512</v>
      </c>
      <c r="H1225" s="4">
        <v>13.692258167970891</v>
      </c>
      <c r="I1225" s="4">
        <v>14.806214799919351</v>
      </c>
      <c r="J1225" s="4">
        <v>16.015734647249847</v>
      </c>
      <c r="K1225" s="4">
        <v>17.313383027574226</v>
      </c>
      <c r="L1225" s="4">
        <v>18.681544453163173</v>
      </c>
      <c r="M1225" s="4">
        <v>20.114232299564296</v>
      </c>
      <c r="N1225" s="4">
        <v>21.625252519513403</v>
      </c>
      <c r="O1225"/>
      <c r="P1225"/>
      <c r="Q1225" s="11"/>
    </row>
    <row r="1226" spans="1:17" x14ac:dyDescent="0.35">
      <c r="A1226" s="3" t="s">
        <v>96</v>
      </c>
      <c r="B1226" s="4">
        <v>10.906772623798901</v>
      </c>
      <c r="C1226" s="4">
        <v>11.441000914037843</v>
      </c>
      <c r="D1226" s="4">
        <v>12.1097325288478</v>
      </c>
      <c r="E1226" s="4">
        <v>12.832084159586202</v>
      </c>
      <c r="F1226" s="4">
        <v>13.615356808806453</v>
      </c>
      <c r="G1226" s="4">
        <v>14.432786215565756</v>
      </c>
      <c r="H1226" s="4">
        <v>15.354480176627405</v>
      </c>
      <c r="I1226" s="4">
        <v>16.476096083270974</v>
      </c>
      <c r="J1226" s="4">
        <v>17.81399008618709</v>
      </c>
      <c r="K1226" s="4">
        <v>19.302056614393905</v>
      </c>
      <c r="L1226" s="4">
        <v>20.796368517460564</v>
      </c>
      <c r="M1226" s="4">
        <v>22.200188011580934</v>
      </c>
      <c r="N1226" s="4">
        <v>23.599363016403288</v>
      </c>
      <c r="O1226"/>
      <c r="P1226"/>
      <c r="Q1226" s="11"/>
    </row>
    <row r="1227" spans="1:17" x14ac:dyDescent="0.35">
      <c r="A1227" s="3" t="s">
        <v>97</v>
      </c>
      <c r="B1227" s="4">
        <v>13.603137117231963</v>
      </c>
      <c r="C1227" s="4">
        <v>14.291001004046151</v>
      </c>
      <c r="D1227" s="4">
        <v>15.038910724629185</v>
      </c>
      <c r="E1227" s="4">
        <v>15.832235139874713</v>
      </c>
      <c r="F1227" s="4">
        <v>16.640991655207905</v>
      </c>
      <c r="G1227" s="4">
        <v>17.482199808122054</v>
      </c>
      <c r="H1227" s="4">
        <v>18.367643726168136</v>
      </c>
      <c r="I1227" s="4">
        <v>19.324393152054434</v>
      </c>
      <c r="J1227" s="4">
        <v>20.360371828758577</v>
      </c>
      <c r="K1227" s="4">
        <v>21.476027329399081</v>
      </c>
      <c r="L1227" s="4">
        <v>22.644351063664438</v>
      </c>
      <c r="M1227" s="4">
        <v>23.840419529958996</v>
      </c>
      <c r="N1227" s="4">
        <v>25.080603299779895</v>
      </c>
      <c r="O1227"/>
      <c r="P1227"/>
      <c r="Q1227" s="11"/>
    </row>
    <row r="1228" spans="1:17" x14ac:dyDescent="0.35">
      <c r="A1228" s="3" t="s">
        <v>98</v>
      </c>
      <c r="B1228" s="4">
        <v>29.877942085683607</v>
      </c>
      <c r="C1228" s="4">
        <v>31.453065969809728</v>
      </c>
      <c r="D1228" s="4">
        <v>33.144179042922737</v>
      </c>
      <c r="E1228" s="4">
        <v>34.973171159930814</v>
      </c>
      <c r="F1228" s="4">
        <v>36.955968481046128</v>
      </c>
      <c r="G1228" s="4">
        <v>39.110133689854699</v>
      </c>
      <c r="H1228" s="4">
        <v>41.449461688153448</v>
      </c>
      <c r="I1228" s="4">
        <v>43.957629854066965</v>
      </c>
      <c r="J1228" s="4">
        <v>46.616838354207928</v>
      </c>
      <c r="K1228" s="4">
        <v>49.415493622227807</v>
      </c>
      <c r="L1228" s="4">
        <v>52.341222696236677</v>
      </c>
      <c r="M1228" s="4">
        <v>55.412134638538426</v>
      </c>
      <c r="N1228" s="4">
        <v>58.609470966141096</v>
      </c>
      <c r="O1228"/>
      <c r="P1228"/>
      <c r="Q1228" s="11"/>
    </row>
    <row r="1229" spans="1:17" x14ac:dyDescent="0.35">
      <c r="A1229" s="3" t="s">
        <v>99</v>
      </c>
      <c r="B1229" s="4">
        <v>6.8766906910618424</v>
      </c>
      <c r="C1229" s="4">
        <v>7.1156419423288737</v>
      </c>
      <c r="D1229" s="4">
        <v>7.336019268458382</v>
      </c>
      <c r="E1229" s="4">
        <v>7.5503722271200999</v>
      </c>
      <c r="F1229" s="4">
        <v>7.7802038907465523</v>
      </c>
      <c r="G1229" s="4">
        <v>8.0435855135040519</v>
      </c>
      <c r="H1229" s="4">
        <v>8.3508245117250492</v>
      </c>
      <c r="I1229" s="4">
        <v>8.6880465784331573</v>
      </c>
      <c r="J1229" s="4">
        <v>9.0327188101178244</v>
      </c>
      <c r="K1229" s="4">
        <v>9.3819925072483716</v>
      </c>
      <c r="L1229" s="4">
        <v>9.7438938434045372</v>
      </c>
      <c r="M1229" s="4">
        <v>10.126796994060912</v>
      </c>
      <c r="N1229" s="4">
        <v>10.521173349504735</v>
      </c>
      <c r="O1229"/>
      <c r="P1229"/>
      <c r="Q1229" s="11"/>
    </row>
    <row r="1230" spans="1:17" x14ac:dyDescent="0.35">
      <c r="A1230" s="3" t="s">
        <v>100</v>
      </c>
      <c r="B1230" s="4">
        <v>8.268192379426722</v>
      </c>
      <c r="C1230" s="4">
        <v>8.594066906859295</v>
      </c>
      <c r="D1230" s="4">
        <v>8.9343606736475625</v>
      </c>
      <c r="E1230" s="4">
        <v>9.3125628334797614</v>
      </c>
      <c r="F1230" s="4">
        <v>9.7252548634331877</v>
      </c>
      <c r="G1230" s="4">
        <v>10.168407535425803</v>
      </c>
      <c r="H1230" s="4">
        <v>10.633801837428839</v>
      </c>
      <c r="I1230" s="4">
        <v>11.11163463317104</v>
      </c>
      <c r="J1230" s="4">
        <v>11.600109188607558</v>
      </c>
      <c r="K1230" s="4">
        <v>12.12533514701274</v>
      </c>
      <c r="L1230" s="4">
        <v>12.69145126599264</v>
      </c>
      <c r="M1230" s="4">
        <v>13.285440727825348</v>
      </c>
      <c r="N1230" s="4">
        <v>13.896333363643809</v>
      </c>
      <c r="O1230"/>
      <c r="P1230"/>
      <c r="Q1230" s="11"/>
    </row>
    <row r="1231" spans="1:17" x14ac:dyDescent="0.35">
      <c r="A1231" s="1" t="s">
        <v>24</v>
      </c>
      <c r="O1231"/>
      <c r="P1231"/>
      <c r="Q1231" s="11"/>
    </row>
    <row r="1232" spans="1:17" x14ac:dyDescent="0.35">
      <c r="A1232" s="2" t="s">
        <v>54</v>
      </c>
      <c r="O1232"/>
      <c r="P1232"/>
      <c r="Q1232" s="11"/>
    </row>
    <row r="1233" spans="1:17" x14ac:dyDescent="0.35">
      <c r="A1233" s="3" t="s">
        <v>55</v>
      </c>
      <c r="B1233" s="4">
        <v>2.9750369282540974</v>
      </c>
      <c r="C1233" s="4">
        <v>3.1965447832546441</v>
      </c>
      <c r="D1233" s="4">
        <v>3.4378938770326752</v>
      </c>
      <c r="E1233" s="4">
        <v>3.7023359292606215</v>
      </c>
      <c r="F1233" s="4">
        <v>3.9927163861782144</v>
      </c>
      <c r="G1233" s="4">
        <v>4.3122412058114952</v>
      </c>
      <c r="H1233" s="4">
        <v>4.6639076488277427</v>
      </c>
      <c r="I1233" s="4">
        <v>5.0475063798187012</v>
      </c>
      <c r="J1233" s="4">
        <v>5.4625713502254181</v>
      </c>
      <c r="K1233" s="4">
        <v>5.9092576322313217</v>
      </c>
      <c r="L1233" s="4">
        <v>6.3875741762463152</v>
      </c>
      <c r="M1233" s="4">
        <v>6.9011854651312499</v>
      </c>
      <c r="N1233" s="4">
        <v>7.4494010826537487</v>
      </c>
      <c r="O1233"/>
      <c r="P1233"/>
      <c r="Q1233" s="11"/>
    </row>
    <row r="1234" spans="1:17" x14ac:dyDescent="0.35">
      <c r="A1234" s="3" t="s">
        <v>56</v>
      </c>
      <c r="B1234" s="4">
        <v>10.99936677549352</v>
      </c>
      <c r="C1234" s="4">
        <v>11.558910716102178</v>
      </c>
      <c r="D1234" s="4">
        <v>12.103258976349776</v>
      </c>
      <c r="E1234" s="4">
        <v>12.652042595250112</v>
      </c>
      <c r="F1234" s="4">
        <v>13.24115128069306</v>
      </c>
      <c r="G1234" s="4">
        <v>13.902882460315308</v>
      </c>
      <c r="H1234" s="4">
        <v>14.65807772697223</v>
      </c>
      <c r="I1234" s="4">
        <v>15.486324313320956</v>
      </c>
      <c r="J1234" s="4">
        <v>16.350377032866433</v>
      </c>
      <c r="K1234" s="4">
        <v>17.246217040933814</v>
      </c>
      <c r="L1234" s="4">
        <v>18.189526423978378</v>
      </c>
      <c r="M1234" s="4">
        <v>19.197577016387548</v>
      </c>
      <c r="N1234" s="4">
        <v>20.254718438457331</v>
      </c>
      <c r="O1234"/>
      <c r="P1234"/>
      <c r="Q1234" s="11"/>
    </row>
    <row r="1235" spans="1:17" x14ac:dyDescent="0.35">
      <c r="A1235" s="3" t="s">
        <v>57</v>
      </c>
      <c r="B1235" s="4">
        <v>19.861895192951117</v>
      </c>
      <c r="C1235" s="4">
        <v>20.696820522926565</v>
      </c>
      <c r="D1235" s="4">
        <v>21.608236865062885</v>
      </c>
      <c r="E1235" s="4">
        <v>22.552586082785275</v>
      </c>
      <c r="F1235" s="4">
        <v>23.508136273722751</v>
      </c>
      <c r="G1235" s="4">
        <v>24.441484640769524</v>
      </c>
      <c r="H1235" s="4">
        <v>25.420037091448645</v>
      </c>
      <c r="I1235" s="4">
        <v>26.488607469571377</v>
      </c>
      <c r="J1235" s="4">
        <v>27.690392206197085</v>
      </c>
      <c r="K1235" s="4">
        <v>29.020542808662853</v>
      </c>
      <c r="L1235" s="4">
        <v>30.424262756561014</v>
      </c>
      <c r="M1235" s="4">
        <v>31.855314775319865</v>
      </c>
      <c r="N1235" s="4">
        <v>33.312096047089959</v>
      </c>
      <c r="O1235"/>
      <c r="P1235"/>
      <c r="Q1235" s="11"/>
    </row>
    <row r="1236" spans="1:17" x14ac:dyDescent="0.35">
      <c r="A1236" s="2" t="s">
        <v>47</v>
      </c>
      <c r="O1236"/>
      <c r="P1236"/>
      <c r="Q1236" s="11"/>
    </row>
    <row r="1237" spans="1:17" x14ac:dyDescent="0.35">
      <c r="A1237" s="3" t="s">
        <v>82</v>
      </c>
      <c r="B1237" s="4">
        <v>13.974403703747617</v>
      </c>
      <c r="C1237" s="4">
        <v>14.755455499356822</v>
      </c>
      <c r="D1237" s="4">
        <v>15.541152853382451</v>
      </c>
      <c r="E1237" s="4">
        <v>16.354378524510732</v>
      </c>
      <c r="F1237" s="4">
        <v>17.233867666871276</v>
      </c>
      <c r="G1237" s="4">
        <v>18.215123666126804</v>
      </c>
      <c r="H1237" s="4">
        <v>19.321985375799972</v>
      </c>
      <c r="I1237" s="4">
        <v>20.533830693139656</v>
      </c>
      <c r="J1237" s="4">
        <v>21.81294838309185</v>
      </c>
      <c r="K1237" s="4">
        <v>23.155474673165138</v>
      </c>
      <c r="L1237" s="4">
        <v>24.577100600224693</v>
      </c>
      <c r="M1237" s="4">
        <v>26.098762481518797</v>
      </c>
      <c r="N1237" s="4">
        <v>27.704119521111082</v>
      </c>
      <c r="O1237"/>
      <c r="P1237"/>
      <c r="Q1237" s="11"/>
    </row>
    <row r="1238" spans="1:17" x14ac:dyDescent="0.35">
      <c r="A1238" s="3" t="s">
        <v>83</v>
      </c>
      <c r="B1238" s="4">
        <v>19.861895192951117</v>
      </c>
      <c r="C1238" s="4">
        <v>20.696820522926565</v>
      </c>
      <c r="D1238" s="4">
        <v>21.608236865062885</v>
      </c>
      <c r="E1238" s="4">
        <v>22.552586082785275</v>
      </c>
      <c r="F1238" s="4">
        <v>23.508136273722751</v>
      </c>
      <c r="G1238" s="4">
        <v>24.441484640769524</v>
      </c>
      <c r="H1238" s="4">
        <v>25.420037091448645</v>
      </c>
      <c r="I1238" s="4">
        <v>26.488607469571377</v>
      </c>
      <c r="J1238" s="4">
        <v>27.690392206197085</v>
      </c>
      <c r="K1238" s="4">
        <v>29.020542808662853</v>
      </c>
      <c r="L1238" s="4">
        <v>30.424262756561014</v>
      </c>
      <c r="M1238" s="4">
        <v>31.855314775319865</v>
      </c>
      <c r="N1238" s="4">
        <v>33.312096047089959</v>
      </c>
      <c r="O1238"/>
      <c r="P1238"/>
      <c r="Q1238" s="11"/>
    </row>
    <row r="1239" spans="1:17" x14ac:dyDescent="0.35">
      <c r="A1239" s="2" t="s">
        <v>59</v>
      </c>
      <c r="O1239"/>
      <c r="P1239"/>
      <c r="Q1239" s="11"/>
    </row>
    <row r="1240" spans="1:17" x14ac:dyDescent="0.35">
      <c r="A1240" s="3" t="s">
        <v>60</v>
      </c>
      <c r="O1240"/>
      <c r="P1240"/>
      <c r="Q1240" s="11"/>
    </row>
    <row r="1241" spans="1:17" x14ac:dyDescent="0.35">
      <c r="A1241" s="34" t="s">
        <v>61</v>
      </c>
      <c r="B1241" s="4">
        <v>6.8935031331570187</v>
      </c>
      <c r="C1241" s="4">
        <v>7.348141034209192</v>
      </c>
      <c r="D1241" s="4">
        <v>7.800557360877427</v>
      </c>
      <c r="E1241" s="4">
        <v>8.2162000953390546</v>
      </c>
      <c r="F1241" s="4">
        <v>8.6099262087578552</v>
      </c>
      <c r="G1241" s="4">
        <v>8.9645630568534287</v>
      </c>
      <c r="H1241" s="4">
        <v>9.361686811456611</v>
      </c>
      <c r="I1241" s="4">
        <v>9.8214066959668713</v>
      </c>
      <c r="J1241" s="4">
        <v>10.361390518124409</v>
      </c>
      <c r="K1241" s="4">
        <v>10.978190139595128</v>
      </c>
      <c r="L1241" s="4">
        <v>11.638934738975074</v>
      </c>
      <c r="M1241" s="4">
        <v>12.332125934192746</v>
      </c>
      <c r="N1241" s="4">
        <v>13.053700283675141</v>
      </c>
      <c r="O1241"/>
      <c r="P1241"/>
      <c r="Q1241" s="11"/>
    </row>
    <row r="1242" spans="1:17" x14ac:dyDescent="0.35">
      <c r="A1242" s="43" t="s">
        <v>62</v>
      </c>
      <c r="B1242" s="4">
        <v>1.1338049362210987</v>
      </c>
      <c r="C1242" s="4">
        <v>1.2246808073445834</v>
      </c>
      <c r="D1242" s="4">
        <v>1.3250054220590151</v>
      </c>
      <c r="E1242" s="4">
        <v>1.4341012425734818</v>
      </c>
      <c r="F1242" s="4">
        <v>1.549786717576414</v>
      </c>
      <c r="G1242" s="4">
        <v>1.673978936472226</v>
      </c>
      <c r="H1242" s="4">
        <v>1.8082872705650108</v>
      </c>
      <c r="I1242" s="4">
        <v>1.9559764682375951</v>
      </c>
      <c r="J1242" s="4">
        <v>2.1187030919462453</v>
      </c>
      <c r="K1242" s="4">
        <v>2.2974795030670223</v>
      </c>
      <c r="L1242" s="4">
        <v>2.4904355558103703</v>
      </c>
      <c r="M1242" s="4">
        <v>2.6956584158783103</v>
      </c>
      <c r="N1242" s="4">
        <v>2.915637331666558</v>
      </c>
      <c r="O1242"/>
      <c r="P1242"/>
      <c r="Q1242" s="11"/>
    </row>
    <row r="1243" spans="1:17" x14ac:dyDescent="0.35">
      <c r="A1243" s="43" t="s">
        <v>63</v>
      </c>
      <c r="B1243" s="4">
        <v>2.8740078032597389</v>
      </c>
      <c r="C1243" s="4">
        <v>3.0300815085339714</v>
      </c>
      <c r="D1243" s="4">
        <v>3.2006909980293616</v>
      </c>
      <c r="E1243" s="4">
        <v>3.3798398000692442</v>
      </c>
      <c r="F1243" s="4">
        <v>3.5645094504257515</v>
      </c>
      <c r="G1243" s="4">
        <v>3.7497638298791913</v>
      </c>
      <c r="H1243" s="4">
        <v>3.945896155330185</v>
      </c>
      <c r="I1243" s="4">
        <v>4.1601790229310396</v>
      </c>
      <c r="J1243" s="4">
        <v>4.3999658381167457</v>
      </c>
      <c r="K1243" s="4">
        <v>4.6653068672840723</v>
      </c>
      <c r="L1243" s="4">
        <v>4.9482044551949169</v>
      </c>
      <c r="M1243" s="4">
        <v>5.2416589454374005</v>
      </c>
      <c r="N1243" s="4">
        <v>5.5456746033790356</v>
      </c>
      <c r="O1243"/>
      <c r="P1243"/>
      <c r="Q1243" s="11"/>
    </row>
    <row r="1244" spans="1:17" x14ac:dyDescent="0.35">
      <c r="A1244" s="43" t="s">
        <v>64</v>
      </c>
      <c r="B1244" s="4">
        <v>2.8856903936761809</v>
      </c>
      <c r="C1244" s="4">
        <v>3.0933787183306372</v>
      </c>
      <c r="D1244" s="4">
        <v>3.2748609407890505</v>
      </c>
      <c r="E1244" s="4">
        <v>3.4022590526963281</v>
      </c>
      <c r="F1244" s="4">
        <v>3.4956300407556897</v>
      </c>
      <c r="G1244" s="4">
        <v>3.5408202905020119</v>
      </c>
      <c r="H1244" s="4">
        <v>3.6075033855614151</v>
      </c>
      <c r="I1244" s="4">
        <v>3.7052512047982367</v>
      </c>
      <c r="J1244" s="4">
        <v>3.8427215880614183</v>
      </c>
      <c r="K1244" s="4">
        <v>4.015403769244033</v>
      </c>
      <c r="L1244" s="4">
        <v>4.2002947279697871</v>
      </c>
      <c r="M1244" s="4">
        <v>4.394808572877035</v>
      </c>
      <c r="N1244" s="4">
        <v>4.592388348629548</v>
      </c>
      <c r="O1244"/>
      <c r="P1244"/>
      <c r="Q1244" s="11"/>
    </row>
    <row r="1245" spans="1:17" x14ac:dyDescent="0.35">
      <c r="A1245" s="34" t="s">
        <v>65</v>
      </c>
      <c r="B1245" s="4">
        <v>6.1208556741381068</v>
      </c>
      <c r="C1245" s="4">
        <v>6.3823643747531902</v>
      </c>
      <c r="D1245" s="4">
        <v>6.6617321135330272</v>
      </c>
      <c r="E1245" s="4">
        <v>6.9627657420127687</v>
      </c>
      <c r="F1245" s="4">
        <v>7.2879296648934595</v>
      </c>
      <c r="G1245" s="4">
        <v>7.6399048550300579</v>
      </c>
      <c r="H1245" s="4">
        <v>8.0205206702158787</v>
      </c>
      <c r="I1245" s="4">
        <v>8.4256938218374344</v>
      </c>
      <c r="J1245" s="4">
        <v>8.8511947030384537</v>
      </c>
      <c r="K1245" s="4">
        <v>9.2941162128641839</v>
      </c>
      <c r="L1245" s="4">
        <v>9.7515010625538956</v>
      </c>
      <c r="M1245" s="4">
        <v>10.226170854963662</v>
      </c>
      <c r="N1245" s="4">
        <v>10.71402669224441</v>
      </c>
      <c r="O1245"/>
      <c r="P1245"/>
      <c r="Q1245" s="11"/>
    </row>
    <row r="1246" spans="1:17" x14ac:dyDescent="0.35">
      <c r="A1246" s="34" t="s">
        <v>66</v>
      </c>
      <c r="B1246" s="4">
        <v>4.0017806554870505</v>
      </c>
      <c r="C1246" s="4">
        <v>4.1459872167454765</v>
      </c>
      <c r="D1246" s="4">
        <v>4.2997337629357339</v>
      </c>
      <c r="E1246" s="4">
        <v>4.4652730152535112</v>
      </c>
      <c r="F1246" s="4">
        <v>4.6439365771646699</v>
      </c>
      <c r="G1246" s="4">
        <v>4.8371569723646699</v>
      </c>
      <c r="H1246" s="4">
        <v>5.0457875996543029</v>
      </c>
      <c r="I1246" s="4">
        <v>5.2669366779922786</v>
      </c>
      <c r="J1246" s="4">
        <v>5.4976905966377263</v>
      </c>
      <c r="K1246" s="4">
        <v>5.7360279375614445</v>
      </c>
      <c r="L1246" s="4">
        <v>5.9799450332416688</v>
      </c>
      <c r="M1246" s="4">
        <v>6.2310308428305836</v>
      </c>
      <c r="N1246" s="4">
        <v>6.4866152145159335</v>
      </c>
      <c r="O1246"/>
      <c r="P1246"/>
      <c r="Q1246" s="11"/>
    </row>
    <row r="1247" spans="1:17" x14ac:dyDescent="0.35">
      <c r="A1247" s="34" t="s">
        <v>67</v>
      </c>
      <c r="B1247" s="4">
        <v>2.5235038447783933</v>
      </c>
      <c r="C1247" s="4">
        <v>2.5865538893763032</v>
      </c>
      <c r="D1247" s="4">
        <v>2.6554901700088758</v>
      </c>
      <c r="E1247" s="4">
        <v>2.730689542587732</v>
      </c>
      <c r="F1247" s="4">
        <v>2.8134798241216612</v>
      </c>
      <c r="G1247" s="4">
        <v>2.9062827917485148</v>
      </c>
      <c r="H1247" s="4">
        <v>3.0089282028473563</v>
      </c>
      <c r="I1247" s="4">
        <v>3.1212167474410881</v>
      </c>
      <c r="J1247" s="4">
        <v>3.2387361323491914</v>
      </c>
      <c r="K1247" s="4">
        <v>3.35852117456239</v>
      </c>
      <c r="L1247" s="4">
        <v>3.4760194385022256</v>
      </c>
      <c r="M1247" s="4">
        <v>3.5895176811995344</v>
      </c>
      <c r="N1247" s="4">
        <v>3.7010932383950705</v>
      </c>
      <c r="O1247"/>
      <c r="P1247"/>
      <c r="Q1247" s="11"/>
    </row>
    <row r="1248" spans="1:17" x14ac:dyDescent="0.35">
      <c r="A1248" s="34" t="s">
        <v>68</v>
      </c>
      <c r="B1248" s="4">
        <v>4.2027313722162694</v>
      </c>
      <c r="C1248" s="4">
        <v>4.4427389485785449</v>
      </c>
      <c r="D1248" s="4">
        <v>4.6972672431134406</v>
      </c>
      <c r="E1248" s="4">
        <v>4.9792239291207601</v>
      </c>
      <c r="F1248" s="4">
        <v>5.2879861754575801</v>
      </c>
      <c r="G1248" s="4">
        <v>5.6225131433614353</v>
      </c>
      <c r="H1248" s="4">
        <v>5.9793354963024177</v>
      </c>
      <c r="I1248" s="4">
        <v>6.3538198707477296</v>
      </c>
      <c r="J1248" s="4">
        <v>6.7455654583253128</v>
      </c>
      <c r="K1248" s="4">
        <v>7.1703483165149686</v>
      </c>
      <c r="L1248" s="4">
        <v>7.6319982114922764</v>
      </c>
      <c r="M1248" s="4">
        <v>8.1242378161277156</v>
      </c>
      <c r="N1248" s="4">
        <v>8.6415616889509757</v>
      </c>
      <c r="O1248"/>
      <c r="P1248"/>
      <c r="Q1248" s="11"/>
    </row>
    <row r="1249" spans="1:17" x14ac:dyDescent="0.35">
      <c r="A1249" s="34" t="s">
        <v>69</v>
      </c>
      <c r="B1249" s="4">
        <v>4.7566025828978358</v>
      </c>
      <c r="C1249" s="4">
        <v>4.8760790178587508</v>
      </c>
      <c r="D1249" s="4">
        <v>5.0046515629782036</v>
      </c>
      <c r="E1249" s="4">
        <v>5.1328608227625612</v>
      </c>
      <c r="F1249" s="4">
        <v>5.2540888281790057</v>
      </c>
      <c r="G1249" s="4">
        <v>5.3755529545397662</v>
      </c>
      <c r="H1249" s="4">
        <v>5.5025128673820154</v>
      </c>
      <c r="I1249" s="4">
        <v>5.6489788604843989</v>
      </c>
      <c r="J1249" s="4">
        <v>5.8177026694985763</v>
      </c>
      <c r="K1249" s="4">
        <v>5.9958292014804817</v>
      </c>
      <c r="L1249" s="4">
        <v>6.1839064869381364</v>
      </c>
      <c r="M1249" s="4">
        <v>6.3716994778084697</v>
      </c>
      <c r="N1249" s="4">
        <v>6.5556378206127643</v>
      </c>
      <c r="O1249"/>
      <c r="P1249"/>
      <c r="Q1249" s="11"/>
    </row>
    <row r="1250" spans="1:17" x14ac:dyDescent="0.35">
      <c r="A1250" s="3" t="s">
        <v>70</v>
      </c>
      <c r="O1250"/>
      <c r="P1250"/>
      <c r="Q1250" s="11"/>
    </row>
    <row r="1251" spans="1:17" x14ac:dyDescent="0.35">
      <c r="A1251" s="34" t="s">
        <v>71</v>
      </c>
      <c r="B1251" s="4">
        <v>0.7128200621233598</v>
      </c>
      <c r="C1251" s="4">
        <v>0.77019596317824468</v>
      </c>
      <c r="D1251" s="4">
        <v>0.83299700410925603</v>
      </c>
      <c r="E1251" s="4">
        <v>0.90209886083874424</v>
      </c>
      <c r="F1251" s="4">
        <v>0.97829699862154418</v>
      </c>
      <c r="G1251" s="4">
        <v>1.0624920278853986</v>
      </c>
      <c r="H1251" s="4">
        <v>1.1555521569164655</v>
      </c>
      <c r="I1251" s="4">
        <v>1.2575692471141007</v>
      </c>
      <c r="J1251" s="4">
        <v>1.3685718831820033</v>
      </c>
      <c r="K1251" s="4">
        <v>1.4887435656460573</v>
      </c>
      <c r="L1251" s="4">
        <v>1.6182337635814468</v>
      </c>
      <c r="M1251" s="4">
        <v>1.7581200455889825</v>
      </c>
      <c r="N1251" s="4">
        <v>1.908393274967926</v>
      </c>
      <c r="O1251"/>
      <c r="P1251"/>
      <c r="Q1251" s="11"/>
    </row>
    <row r="1252" spans="1:17" x14ac:dyDescent="0.35">
      <c r="A1252" s="34" t="s">
        <v>72</v>
      </c>
      <c r="B1252" s="4">
        <v>0.51102421297157075</v>
      </c>
      <c r="C1252" s="4">
        <v>0.55854615029559718</v>
      </c>
      <c r="D1252" s="4">
        <v>0.61058971692293218</v>
      </c>
      <c r="E1252" s="4">
        <v>0.66915240063140069</v>
      </c>
      <c r="F1252" s="4">
        <v>0.73465981505679145</v>
      </c>
      <c r="G1252" s="4">
        <v>0.80749963602445651</v>
      </c>
      <c r="H1252" s="4">
        <v>0.8877240256254596</v>
      </c>
      <c r="I1252" s="4">
        <v>0.97517882923945909</v>
      </c>
      <c r="J1252" s="4">
        <v>1.0702988655635224</v>
      </c>
      <c r="K1252" s="4">
        <v>1.1761066379148208</v>
      </c>
      <c r="L1252" s="4">
        <v>1.2940338874131283</v>
      </c>
      <c r="M1252" s="4">
        <v>1.4239326455339165</v>
      </c>
      <c r="N1252" s="4">
        <v>1.5657030753663608</v>
      </c>
      <c r="O1252"/>
      <c r="P1252"/>
      <c r="Q1252" s="11"/>
    </row>
    <row r="1253" spans="1:17" x14ac:dyDescent="0.35">
      <c r="A1253" s="34" t="s">
        <v>73</v>
      </c>
      <c r="B1253" s="4">
        <v>0.52962069486987229</v>
      </c>
      <c r="C1253" s="4">
        <v>0.55654848661919998</v>
      </c>
      <c r="D1253" s="4">
        <v>0.58577296347536756</v>
      </c>
      <c r="E1253" s="4">
        <v>0.61750831196564293</v>
      </c>
      <c r="F1253" s="4">
        <v>0.65219799908102905</v>
      </c>
      <c r="G1253" s="4">
        <v>0.69057563906978447</v>
      </c>
      <c r="H1253" s="4">
        <v>0.73282289846557869</v>
      </c>
      <c r="I1253" s="4">
        <v>0.77912035895605491</v>
      </c>
      <c r="J1253" s="4">
        <v>0.82860245509677488</v>
      </c>
      <c r="K1253" s="4">
        <v>0.88067476782442333</v>
      </c>
      <c r="L1253" s="4">
        <v>0.93425813955941872</v>
      </c>
      <c r="M1253" s="4">
        <v>0.98892177773432066</v>
      </c>
      <c r="N1253" s="4">
        <v>1.0452331007068698</v>
      </c>
      <c r="O1253"/>
      <c r="P1253"/>
      <c r="Q1253" s="11"/>
    </row>
    <row r="1254" spans="1:17" x14ac:dyDescent="0.35">
      <c r="A1254" s="34" t="s">
        <v>74</v>
      </c>
      <c r="B1254" s="4">
        <v>0.5752193704367552</v>
      </c>
      <c r="C1254" s="4">
        <v>0.61267779591725724</v>
      </c>
      <c r="D1254" s="4">
        <v>0.65026133378677731</v>
      </c>
      <c r="E1254" s="4">
        <v>0.68901137556842362</v>
      </c>
      <c r="F1254" s="4">
        <v>0.73091155069425684</v>
      </c>
      <c r="G1254" s="4">
        <v>0.77785437054712692</v>
      </c>
      <c r="H1254" s="4">
        <v>0.83119107824140626</v>
      </c>
      <c r="I1254" s="4">
        <v>0.89000128138482126</v>
      </c>
      <c r="J1254" s="4">
        <v>0.95234075236519666</v>
      </c>
      <c r="K1254" s="4">
        <v>1.0180902231359792</v>
      </c>
      <c r="L1254" s="4">
        <v>1.0882837578817619</v>
      </c>
      <c r="M1254" s="4">
        <v>1.1641033680370354</v>
      </c>
      <c r="N1254" s="4">
        <v>1.24479445305544</v>
      </c>
      <c r="O1254"/>
      <c r="P1254"/>
      <c r="Q1254" s="11"/>
    </row>
    <row r="1255" spans="1:17" x14ac:dyDescent="0.35">
      <c r="A1255" s="34" t="s">
        <v>75</v>
      </c>
      <c r="B1255" s="4">
        <v>0.48851524083361553</v>
      </c>
      <c r="C1255" s="4">
        <v>0.52508352429902472</v>
      </c>
      <c r="D1255" s="4">
        <v>0.56504551659364244</v>
      </c>
      <c r="E1255" s="4">
        <v>0.6076250710400305</v>
      </c>
      <c r="F1255" s="4">
        <v>0.65219799908102905</v>
      </c>
      <c r="G1255" s="4">
        <v>0.6997145186090028</v>
      </c>
      <c r="H1255" s="4">
        <v>0.75104275763939377</v>
      </c>
      <c r="I1255" s="4">
        <v>0.80838935783682431</v>
      </c>
      <c r="J1255" s="4">
        <v>0.87274197887859362</v>
      </c>
      <c r="K1255" s="4">
        <v>0.94287200938965665</v>
      </c>
      <c r="L1255" s="4">
        <v>1.0193445607154892</v>
      </c>
      <c r="M1255" s="4">
        <v>1.1010001481304124</v>
      </c>
      <c r="N1255" s="4">
        <v>1.187545335568376</v>
      </c>
      <c r="O1255"/>
      <c r="P1255"/>
      <c r="Q1255" s="11"/>
    </row>
    <row r="1256" spans="1:17" x14ac:dyDescent="0.35">
      <c r="A1256" s="3" t="s">
        <v>76</v>
      </c>
      <c r="O1256"/>
      <c r="P1256"/>
      <c r="Q1256" s="11"/>
    </row>
    <row r="1257" spans="1:17" x14ac:dyDescent="0.35">
      <c r="A1257" s="34" t="s">
        <v>77</v>
      </c>
      <c r="B1257" s="4">
        <v>0.74787132356277419</v>
      </c>
      <c r="C1257" s="4">
        <v>0.79008962925090387</v>
      </c>
      <c r="D1257" s="4">
        <v>0.83551892596806621</v>
      </c>
      <c r="E1257" s="4">
        <v>0.88474400978370893</v>
      </c>
      <c r="F1257" s="4">
        <v>0.938206866743999</v>
      </c>
      <c r="G1257" s="4">
        <v>0.99639701312184847</v>
      </c>
      <c r="H1257" s="4">
        <v>1.0597145901973868</v>
      </c>
      <c r="I1257" s="4">
        <v>1.1277950569461681</v>
      </c>
      <c r="J1257" s="4">
        <v>1.2002304990636119</v>
      </c>
      <c r="K1257" s="4">
        <v>1.2767667530912632</v>
      </c>
      <c r="L1257" s="4">
        <v>1.3571256756795547</v>
      </c>
      <c r="M1257" s="4">
        <v>1.4418153083490355</v>
      </c>
      <c r="N1257" s="4">
        <v>1.5303913423022018</v>
      </c>
      <c r="O1257"/>
      <c r="P1257"/>
      <c r="Q1257" s="11"/>
    </row>
    <row r="1258" spans="1:17" x14ac:dyDescent="0.35">
      <c r="A1258" s="34" t="s">
        <v>78</v>
      </c>
      <c r="B1258" s="4">
        <v>0.6945869023458987</v>
      </c>
      <c r="C1258" s="4">
        <v>0.72097322074295811</v>
      </c>
      <c r="D1258" s="4">
        <v>0.7495635379775486</v>
      </c>
      <c r="E1258" s="4">
        <v>0.78053688172919777</v>
      </c>
      <c r="F1258" s="4">
        <v>0.8143511747645934</v>
      </c>
      <c r="G1258" s="4">
        <v>0.85180196828764143</v>
      </c>
      <c r="H1258" s="4">
        <v>0.89296260576260633</v>
      </c>
      <c r="I1258" s="4">
        <v>0.93789812614163537</v>
      </c>
      <c r="J1258" s="4">
        <v>0.98540751724618159</v>
      </c>
      <c r="K1258" s="4">
        <v>1.0346665663943666</v>
      </c>
      <c r="L1258" s="4">
        <v>1.0843186686616602</v>
      </c>
      <c r="M1258" s="4">
        <v>1.1338234242208001</v>
      </c>
      <c r="N1258" s="4">
        <v>1.1838104163176537</v>
      </c>
      <c r="O1258"/>
      <c r="P1258"/>
      <c r="Q1258" s="11"/>
    </row>
    <row r="1259" spans="1:17" x14ac:dyDescent="0.35">
      <c r="A1259" s="34" t="s">
        <v>79</v>
      </c>
      <c r="B1259" s="4">
        <v>0.38976992110322839</v>
      </c>
      <c r="C1259" s="4">
        <v>0.42006447886445458</v>
      </c>
      <c r="D1259" s="4">
        <v>0.45315372463246845</v>
      </c>
      <c r="E1259" s="4">
        <v>0.48949143846589543</v>
      </c>
      <c r="F1259" s="4">
        <v>0.52948308321196003</v>
      </c>
      <c r="G1259" s="4">
        <v>0.57358671278703099</v>
      </c>
      <c r="H1259" s="4">
        <v>0.62223801908380449</v>
      </c>
      <c r="I1259" s="4">
        <v>0.67544998724452077</v>
      </c>
      <c r="J1259" s="4">
        <v>0.73320122916309638</v>
      </c>
      <c r="K1259" s="4">
        <v>0.79555330175862804</v>
      </c>
      <c r="L1259" s="4">
        <v>0.86254867630384002</v>
      </c>
      <c r="M1259" s="4">
        <v>0.93472380588455528</v>
      </c>
      <c r="N1259" s="4">
        <v>1.0120316333304009</v>
      </c>
      <c r="O1259"/>
      <c r="P1259"/>
      <c r="Q1259" s="11"/>
    </row>
    <row r="1260" spans="1:17" x14ac:dyDescent="0.35">
      <c r="A1260" s="34" t="s">
        <v>80</v>
      </c>
      <c r="B1260" s="4">
        <v>0.3155820327927541</v>
      </c>
      <c r="C1260" s="4">
        <v>0.3270393166219499</v>
      </c>
      <c r="D1260" s="4">
        <v>0.33956663861028874</v>
      </c>
      <c r="E1260" s="4">
        <v>0.3524606338892437</v>
      </c>
      <c r="F1260" s="4">
        <v>0.3653742913392472</v>
      </c>
      <c r="G1260" s="4">
        <v>0.37778675542891976</v>
      </c>
      <c r="H1260" s="4">
        <v>0.39074682360258911</v>
      </c>
      <c r="I1260" s="4">
        <v>0.40493298377068587</v>
      </c>
      <c r="J1260" s="4">
        <v>0.42098395260832255</v>
      </c>
      <c r="K1260" s="4">
        <v>0.43879378294642951</v>
      </c>
      <c r="L1260" s="4">
        <v>0.45750332716048586</v>
      </c>
      <c r="M1260" s="4">
        <v>0.47640061535296446</v>
      </c>
      <c r="N1260" s="4">
        <v>0.49545658898892475</v>
      </c>
      <c r="O1260"/>
      <c r="P1260"/>
      <c r="Q1260" s="11"/>
    </row>
    <row r="1261" spans="1:17" x14ac:dyDescent="0.35">
      <c r="A1261" s="34" t="s">
        <v>81</v>
      </c>
      <c r="B1261" s="4">
        <v>0.37231187298423507</v>
      </c>
      <c r="C1261" s="4">
        <v>0.38919297497234007</v>
      </c>
      <c r="D1261" s="4">
        <v>0.40748814292227786</v>
      </c>
      <c r="E1261" s="4">
        <v>0.42732247630732867</v>
      </c>
      <c r="F1261" s="4">
        <v>0.44897688342534614</v>
      </c>
      <c r="G1261" s="4">
        <v>0.47292589123724599</v>
      </c>
      <c r="H1261" s="4">
        <v>0.49925586385534282</v>
      </c>
      <c r="I1261" s="4">
        <v>0.52805025960696494</v>
      </c>
      <c r="J1261" s="4">
        <v>0.55868137814796592</v>
      </c>
      <c r="K1261" s="4">
        <v>0.59071689114776782</v>
      </c>
      <c r="L1261" s="4">
        <v>0.6234079281256395</v>
      </c>
      <c r="M1261" s="4">
        <v>0.65645351088392734</v>
      </c>
      <c r="N1261" s="4">
        <v>0.690221409202596</v>
      </c>
      <c r="O1261"/>
      <c r="P1261"/>
      <c r="Q1261" s="11"/>
    </row>
    <row r="1262" spans="1:17" x14ac:dyDescent="0.35">
      <c r="A1262" s="2" t="s">
        <v>84</v>
      </c>
      <c r="O1262"/>
      <c r="P1262"/>
      <c r="Q1262" s="11"/>
    </row>
    <row r="1263" spans="1:17" x14ac:dyDescent="0.35">
      <c r="A1263" s="3" t="s">
        <v>85</v>
      </c>
      <c r="B1263" s="4">
        <v>1.8959280757911445</v>
      </c>
      <c r="C1263" s="4">
        <v>1.9491785915787598</v>
      </c>
      <c r="D1263" s="4">
        <v>2.0063612161565083</v>
      </c>
      <c r="E1263" s="4">
        <v>2.0637166239301759</v>
      </c>
      <c r="F1263" s="4">
        <v>2.1185842049108894</v>
      </c>
      <c r="G1263" s="4">
        <v>2.1738512461235362</v>
      </c>
      <c r="H1263" s="4">
        <v>2.2316469521345486</v>
      </c>
      <c r="I1263" s="4">
        <v>2.2976742007539328</v>
      </c>
      <c r="J1263" s="4">
        <v>2.3731224242404423</v>
      </c>
      <c r="K1263" s="4">
        <v>2.4528279663020207</v>
      </c>
      <c r="L1263" s="4">
        <v>2.5370501818875053</v>
      </c>
      <c r="M1263" s="4">
        <v>2.6216272670243983</v>
      </c>
      <c r="N1263" s="4">
        <v>2.705091438986821</v>
      </c>
      <c r="O1263"/>
      <c r="P1263"/>
      <c r="Q1263" s="11"/>
    </row>
    <row r="1264" spans="1:17" x14ac:dyDescent="0.35">
      <c r="A1264" s="3" t="s">
        <v>86</v>
      </c>
      <c r="B1264" s="4">
        <v>6.6428571471572209</v>
      </c>
      <c r="C1264" s="4">
        <v>6.8427035369671554</v>
      </c>
      <c r="D1264" s="4">
        <v>7.049816647768929</v>
      </c>
      <c r="E1264" s="4">
        <v>7.2824786849032295</v>
      </c>
      <c r="F1264" s="4">
        <v>7.5372707290098946</v>
      </c>
      <c r="G1264" s="4">
        <v>7.8104106805663625</v>
      </c>
      <c r="H1264" s="4">
        <v>8.0950222236657989</v>
      </c>
      <c r="I1264" s="4">
        <v>8.3832588048841288</v>
      </c>
      <c r="J1264" s="4">
        <v>8.6735879064346904</v>
      </c>
      <c r="K1264" s="4">
        <v>8.9853951069300262</v>
      </c>
      <c r="L1264" s="4">
        <v>9.321090095585399</v>
      </c>
      <c r="M1264" s="4">
        <v>9.6703858193723526</v>
      </c>
      <c r="N1264" s="4">
        <v>10.024839152096709</v>
      </c>
      <c r="O1264"/>
      <c r="P1264"/>
      <c r="Q1264" s="11"/>
    </row>
    <row r="1265" spans="1:17" x14ac:dyDescent="0.35">
      <c r="A1265" s="3" t="s">
        <v>87</v>
      </c>
      <c r="B1265" s="4">
        <v>11.880501299205811</v>
      </c>
      <c r="C1265" s="4">
        <v>12.645928880086824</v>
      </c>
      <c r="D1265" s="4">
        <v>13.441463243834654</v>
      </c>
      <c r="E1265" s="4">
        <v>14.23065302407668</v>
      </c>
      <c r="F1265" s="4">
        <v>15.033799454079194</v>
      </c>
      <c r="G1265" s="4">
        <v>15.83412057285528</v>
      </c>
      <c r="H1265" s="4">
        <v>16.719331651842321</v>
      </c>
      <c r="I1265" s="4">
        <v>17.710216370559905</v>
      </c>
      <c r="J1265" s="4">
        <v>18.829757644963568</v>
      </c>
      <c r="K1265" s="4">
        <v>20.06485547055199</v>
      </c>
      <c r="L1265" s="4">
        <v>21.3943471358549</v>
      </c>
      <c r="M1265" s="4">
        <v>22.817889902185911</v>
      </c>
      <c r="N1265" s="4">
        <v>24.318334475792561</v>
      </c>
      <c r="O1265"/>
      <c r="P1265"/>
      <c r="Q1265" s="11"/>
    </row>
    <row r="1266" spans="1:17" x14ac:dyDescent="0.35">
      <c r="A1266" s="3" t="s">
        <v>88</v>
      </c>
      <c r="B1266" s="4">
        <v>7.5044553259312874</v>
      </c>
      <c r="C1266" s="4">
        <v>7.8524663250208127</v>
      </c>
      <c r="D1266" s="4">
        <v>8.2297034016672601</v>
      </c>
      <c r="E1266" s="4">
        <v>8.6387793405292168</v>
      </c>
      <c r="F1266" s="4">
        <v>9.0854668787524684</v>
      </c>
      <c r="G1266" s="4">
        <v>9.5794793136474663</v>
      </c>
      <c r="H1266" s="4">
        <v>10.122705258775623</v>
      </c>
      <c r="I1266" s="4">
        <v>10.716981464851976</v>
      </c>
      <c r="J1266" s="4">
        <v>11.349718320925865</v>
      </c>
      <c r="K1266" s="4">
        <v>12.012245852309176</v>
      </c>
      <c r="L1266" s="4">
        <v>12.689423220057455</v>
      </c>
      <c r="M1266" s="4">
        <v>13.375167075312559</v>
      </c>
      <c r="N1266" s="4">
        <v>14.076995765627514</v>
      </c>
      <c r="O1266"/>
      <c r="P1266"/>
      <c r="Q1266" s="11"/>
    </row>
    <row r="1267" spans="1:17" x14ac:dyDescent="0.35">
      <c r="A1267" s="3" t="s">
        <v>89</v>
      </c>
      <c r="B1267" s="4">
        <v>1.8695319357062112</v>
      </c>
      <c r="C1267" s="4">
        <v>1.9535585127526054</v>
      </c>
      <c r="D1267" s="4">
        <v>2.0339827587027579</v>
      </c>
      <c r="E1267" s="4">
        <v>2.1141552295206996</v>
      </c>
      <c r="F1267" s="4">
        <v>2.2000682127920772</v>
      </c>
      <c r="G1267" s="4">
        <v>2.2969813048552816</v>
      </c>
      <c r="H1267" s="4">
        <v>2.4081414626368103</v>
      </c>
      <c r="I1267" s="4">
        <v>2.5299431786905111</v>
      </c>
      <c r="J1267" s="4">
        <v>2.6561095560153083</v>
      </c>
      <c r="K1267" s="4">
        <v>2.7858999862677849</v>
      </c>
      <c r="L1267" s="4">
        <v>2.921771911016311</v>
      </c>
      <c r="M1267" s="4">
        <v>3.066382020777684</v>
      </c>
      <c r="N1267" s="4">
        <v>3.2170673670709569</v>
      </c>
      <c r="O1267"/>
      <c r="P1267"/>
      <c r="Q1267" s="11"/>
    </row>
    <row r="1268" spans="1:17" x14ac:dyDescent="0.35">
      <c r="A1268" s="3" t="s">
        <v>90</v>
      </c>
      <c r="B1268" s="4">
        <v>4.0430251129070642</v>
      </c>
      <c r="C1268" s="4">
        <v>4.2084401758772296</v>
      </c>
      <c r="D1268" s="4">
        <v>4.3880624503152204</v>
      </c>
      <c r="E1268" s="4">
        <v>4.5771817043360077</v>
      </c>
      <c r="F1268" s="4">
        <v>4.7668144610495009</v>
      </c>
      <c r="G1268" s="4">
        <v>4.9617651888484033</v>
      </c>
      <c r="H1268" s="4">
        <v>5.1651749181935136</v>
      </c>
      <c r="I1268" s="4">
        <v>5.3843641429705809</v>
      </c>
      <c r="J1268" s="4">
        <v>5.6210447367090639</v>
      </c>
      <c r="K1268" s="4">
        <v>5.8747930994669888</v>
      </c>
      <c r="L1268" s="4">
        <v>6.137680812384132</v>
      </c>
      <c r="M1268" s="4">
        <v>6.4026251721657506</v>
      </c>
      <c r="N1268" s="4">
        <v>6.6738873686264784</v>
      </c>
      <c r="O1268"/>
      <c r="P1268"/>
      <c r="Q1268" s="11"/>
    </row>
    <row r="1269" spans="1:17" x14ac:dyDescent="0.35">
      <c r="A1269" s="2" t="s">
        <v>91</v>
      </c>
      <c r="O1269"/>
      <c r="P1269"/>
      <c r="Q1269" s="11"/>
    </row>
    <row r="1270" spans="1:17" x14ac:dyDescent="0.35">
      <c r="A1270" s="3" t="s">
        <v>92</v>
      </c>
      <c r="B1270" s="4">
        <v>15.077359965933145</v>
      </c>
      <c r="C1270" s="4">
        <v>15.820199614147542</v>
      </c>
      <c r="D1270" s="4">
        <v>16.626004893323199</v>
      </c>
      <c r="E1270" s="4">
        <v>17.500564046331451</v>
      </c>
      <c r="F1270" s="4">
        <v>18.456127785089095</v>
      </c>
      <c r="G1270" s="4">
        <v>19.513083443428958</v>
      </c>
      <c r="H1270" s="4">
        <v>20.676099946709897</v>
      </c>
      <c r="I1270" s="4">
        <v>21.949786622660071</v>
      </c>
      <c r="J1270" s="4">
        <v>23.309251390887663</v>
      </c>
      <c r="K1270" s="4">
        <v>24.7373754017942</v>
      </c>
      <c r="L1270" s="4">
        <v>26.203523747831973</v>
      </c>
      <c r="M1270" s="4">
        <v>27.695427023540926</v>
      </c>
      <c r="N1270" s="4">
        <v>29.228843836432521</v>
      </c>
      <c r="O1270"/>
      <c r="P1270"/>
      <c r="Q1270" s="11"/>
    </row>
    <row r="1271" spans="1:17" x14ac:dyDescent="0.35">
      <c r="A1271" s="3" t="s">
        <v>93</v>
      </c>
      <c r="B1271" s="4">
        <v>18.758938930765591</v>
      </c>
      <c r="C1271" s="4">
        <v>19.632076408135845</v>
      </c>
      <c r="D1271" s="4">
        <v>20.523384825122136</v>
      </c>
      <c r="E1271" s="4">
        <v>21.406400560964553</v>
      </c>
      <c r="F1271" s="4">
        <v>22.28587615550493</v>
      </c>
      <c r="G1271" s="4">
        <v>23.143524863467373</v>
      </c>
      <c r="H1271" s="4">
        <v>24.06592252053872</v>
      </c>
      <c r="I1271" s="4">
        <v>25.072651540050963</v>
      </c>
      <c r="J1271" s="4">
        <v>26.194089198401276</v>
      </c>
      <c r="K1271" s="4">
        <v>27.438642080033791</v>
      </c>
      <c r="L1271" s="4">
        <v>28.79783960895373</v>
      </c>
      <c r="M1271" s="4">
        <v>30.258650233297733</v>
      </c>
      <c r="N1271" s="4">
        <v>31.78737173176852</v>
      </c>
      <c r="O1271"/>
      <c r="P1271"/>
      <c r="Q1271" s="11"/>
    </row>
    <row r="1272" spans="1:17" x14ac:dyDescent="0.35">
      <c r="A1272" s="2" t="s">
        <v>94</v>
      </c>
      <c r="O1272"/>
      <c r="P1272"/>
      <c r="Q1272" s="11"/>
    </row>
    <row r="1273" spans="1:17" x14ac:dyDescent="0.35">
      <c r="A1273" s="3" t="s">
        <v>48</v>
      </c>
      <c r="B1273" s="4">
        <v>4.5482011021547164</v>
      </c>
      <c r="C1273" s="4">
        <v>4.79124285689681</v>
      </c>
      <c r="D1273" s="4">
        <v>5.0568544946162293</v>
      </c>
      <c r="E1273" s="4">
        <v>5.3355051992262288</v>
      </c>
      <c r="F1273" s="4">
        <v>5.6223965438019761</v>
      </c>
      <c r="G1273" s="4">
        <v>5.9097210446635247</v>
      </c>
      <c r="H1273" s="4">
        <v>6.2136987585202812</v>
      </c>
      <c r="I1273" s="4">
        <v>6.5457395403129084</v>
      </c>
      <c r="J1273" s="4">
        <v>6.9173426830295357</v>
      </c>
      <c r="K1273" s="4">
        <v>7.3284880689799508</v>
      </c>
      <c r="L1273" s="4">
        <v>7.7665134903258011</v>
      </c>
      <c r="M1273" s="4">
        <v>8.2203644407646479</v>
      </c>
      <c r="N1273" s="4">
        <v>8.690006542191627</v>
      </c>
      <c r="O1273"/>
      <c r="P1273"/>
      <c r="Q1273" s="11"/>
    </row>
    <row r="1274" spans="1:17" x14ac:dyDescent="0.35">
      <c r="A1274" s="3" t="s">
        <v>95</v>
      </c>
      <c r="B1274" s="4">
        <v>5.4341295716442604</v>
      </c>
      <c r="C1274" s="4">
        <v>5.8015134333773739</v>
      </c>
      <c r="D1274" s="4">
        <v>6.2039905526466157</v>
      </c>
      <c r="E1274" s="4">
        <v>6.6369772642881673</v>
      </c>
      <c r="F1274" s="4">
        <v>7.0891086856633594</v>
      </c>
      <c r="G1274" s="4">
        <v>7.5682654647387366</v>
      </c>
      <c r="H1274" s="4">
        <v>8.0805500302934465</v>
      </c>
      <c r="I1274" s="4">
        <v>8.6391507016870666</v>
      </c>
      <c r="J1274" s="4">
        <v>9.2495074397250594</v>
      </c>
      <c r="K1274" s="4">
        <v>9.9139516316084926</v>
      </c>
      <c r="L1274" s="4">
        <v>10.622219088367393</v>
      </c>
      <c r="M1274" s="4">
        <v>11.364286458242598</v>
      </c>
      <c r="N1274" s="4">
        <v>12.149108708471815</v>
      </c>
      <c r="O1274"/>
      <c r="P1274"/>
      <c r="Q1274" s="11"/>
    </row>
    <row r="1275" spans="1:17" x14ac:dyDescent="0.35">
      <c r="A1275" s="3" t="s">
        <v>96</v>
      </c>
      <c r="B1275" s="4">
        <v>3.4369048280818362</v>
      </c>
      <c r="C1275" s="4">
        <v>3.6201022939299072</v>
      </c>
      <c r="D1275" s="4">
        <v>3.7615281123911757</v>
      </c>
      <c r="E1275" s="4">
        <v>3.8627787593631808</v>
      </c>
      <c r="F1275" s="4">
        <v>3.9927163861782162</v>
      </c>
      <c r="G1275" s="4">
        <v>4.1415964812875785</v>
      </c>
      <c r="H1275" s="4">
        <v>4.3653264865934887</v>
      </c>
      <c r="I1275" s="4">
        <v>4.6382051142072527</v>
      </c>
      <c r="J1275" s="4">
        <v>4.9394761645195047</v>
      </c>
      <c r="K1275" s="4">
        <v>5.2468469373750324</v>
      </c>
      <c r="L1275" s="4">
        <v>5.5754483191510147</v>
      </c>
      <c r="M1275" s="4">
        <v>5.9571560632464227</v>
      </c>
      <c r="N1275" s="4">
        <v>6.3550124977191089</v>
      </c>
      <c r="O1275"/>
      <c r="P1275"/>
      <c r="Q1275" s="11"/>
    </row>
    <row r="1276" spans="1:17" x14ac:dyDescent="0.35">
      <c r="A1276" s="3" t="s">
        <v>97</v>
      </c>
      <c r="B1276" s="4">
        <v>5.8993760068214796</v>
      </c>
      <c r="C1276" s="4">
        <v>6.1432563690994844</v>
      </c>
      <c r="D1276" s="4">
        <v>6.4080784954038483</v>
      </c>
      <c r="E1276" s="4">
        <v>6.686989590132729</v>
      </c>
      <c r="F1276" s="4">
        <v>6.966882673841579</v>
      </c>
      <c r="G1276" s="4">
        <v>7.2547809218317596</v>
      </c>
      <c r="H1276" s="4">
        <v>7.5552868356399738</v>
      </c>
      <c r="I1276" s="4">
        <v>7.8791239073398076</v>
      </c>
      <c r="J1276" s="4">
        <v>8.228825888153148</v>
      </c>
      <c r="K1276" s="4">
        <v>8.6038044524137085</v>
      </c>
      <c r="L1276" s="4">
        <v>8.9924792598873822</v>
      </c>
      <c r="M1276" s="4">
        <v>9.3844901361747279</v>
      </c>
      <c r="N1276" s="4">
        <v>9.7860870030150799</v>
      </c>
      <c r="O1276"/>
      <c r="P1276"/>
      <c r="Q1276" s="11"/>
    </row>
    <row r="1277" spans="1:17" x14ac:dyDescent="0.35">
      <c r="A1277" s="3" t="s">
        <v>98</v>
      </c>
      <c r="B1277" s="4">
        <v>8.2759136293971896</v>
      </c>
      <c r="C1277" s="4">
        <v>8.6724881082906702</v>
      </c>
      <c r="D1277" s="4">
        <v>9.1033968797829026</v>
      </c>
      <c r="E1277" s="4">
        <v>9.5595135627851597</v>
      </c>
      <c r="F1277" s="4">
        <v>10.02253296938613</v>
      </c>
      <c r="G1277" s="4">
        <v>10.502641533669113</v>
      </c>
      <c r="H1277" s="4">
        <v>11.006777436555709</v>
      </c>
      <c r="I1277" s="4">
        <v>11.550967968527489</v>
      </c>
      <c r="J1277" s="4">
        <v>12.139633588158736</v>
      </c>
      <c r="K1277" s="4">
        <v>12.7726911192327</v>
      </c>
      <c r="L1277" s="4">
        <v>13.433727079572076</v>
      </c>
      <c r="M1277" s="4">
        <v>14.107727836283143</v>
      </c>
      <c r="N1277" s="4">
        <v>14.804265448356182</v>
      </c>
      <c r="O1277"/>
      <c r="P1277"/>
      <c r="Q1277" s="11"/>
    </row>
    <row r="1278" spans="1:17" x14ac:dyDescent="0.35">
      <c r="A1278" s="3" t="s">
        <v>99</v>
      </c>
      <c r="B1278" s="4">
        <v>1.8628116895955347</v>
      </c>
      <c r="C1278" s="4">
        <v>1.9125253723054199</v>
      </c>
      <c r="D1278" s="4">
        <v>1.9673908368849047</v>
      </c>
      <c r="E1278" s="4">
        <v>2.0231744544632235</v>
      </c>
      <c r="F1278" s="4">
        <v>2.077842200970295</v>
      </c>
      <c r="G1278" s="4">
        <v>2.1284461999489261</v>
      </c>
      <c r="H1278" s="4">
        <v>2.1809920963871727</v>
      </c>
      <c r="I1278" s="4">
        <v>2.2391972008956706</v>
      </c>
      <c r="J1278" s="4">
        <v>2.3064196415428193</v>
      </c>
      <c r="K1278" s="4">
        <v>2.3818106044920975</v>
      </c>
      <c r="L1278" s="4">
        <v>2.4604598421915296</v>
      </c>
      <c r="M1278" s="4">
        <v>2.5384255257361352</v>
      </c>
      <c r="N1278" s="4">
        <v>2.6155481971362895</v>
      </c>
      <c r="O1278"/>
      <c r="P1278"/>
      <c r="Q1278" s="11"/>
    </row>
    <row r="1279" spans="1:17" x14ac:dyDescent="0.35">
      <c r="A1279" s="3" t="s">
        <v>100</v>
      </c>
      <c r="B1279" s="4">
        <v>4.3789620690037205</v>
      </c>
      <c r="C1279" s="4">
        <v>4.5111475883837207</v>
      </c>
      <c r="D1279" s="4">
        <v>4.6481503467196559</v>
      </c>
      <c r="E1279" s="4">
        <v>4.8020257770373158</v>
      </c>
      <c r="F1279" s="4">
        <v>4.9705244807524664</v>
      </c>
      <c r="G1279" s="4">
        <v>5.1511566607566914</v>
      </c>
      <c r="H1279" s="4">
        <v>5.3393908232585456</v>
      </c>
      <c r="I1279" s="4">
        <v>5.5300537297408381</v>
      </c>
      <c r="J1279" s="4">
        <v>5.7221351841601367</v>
      </c>
      <c r="K1279" s="4">
        <v>5.9284246677260111</v>
      </c>
      <c r="L1279" s="4">
        <v>6.1505162772904978</v>
      </c>
      <c r="M1279" s="4">
        <v>6.3816267963909796</v>
      </c>
      <c r="N1279" s="4">
        <v>6.6161871713109388</v>
      </c>
      <c r="O1279"/>
      <c r="P1279"/>
      <c r="Q1279" s="11"/>
    </row>
    <row r="1280" spans="1:17" x14ac:dyDescent="0.35">
      <c r="A1280" s="1" t="s">
        <v>16</v>
      </c>
      <c r="O1280"/>
      <c r="P1280"/>
      <c r="Q1280" s="11"/>
    </row>
    <row r="1281" spans="1:17" x14ac:dyDescent="0.35">
      <c r="A1281" s="2" t="s">
        <v>54</v>
      </c>
      <c r="O1281"/>
      <c r="P1281"/>
      <c r="Q1281" s="11"/>
    </row>
    <row r="1282" spans="1:17" x14ac:dyDescent="0.35">
      <c r="A1282" s="3" t="s">
        <v>55</v>
      </c>
      <c r="B1282" s="4">
        <v>6.2073518468172448</v>
      </c>
      <c r="C1282" s="4">
        <v>6.7866271624204302</v>
      </c>
      <c r="D1282" s="4">
        <v>7.4335341939191864</v>
      </c>
      <c r="E1282" s="4">
        <v>8.1396271051534566</v>
      </c>
      <c r="F1282" s="4">
        <v>8.9019371884413534</v>
      </c>
      <c r="G1282" s="4">
        <v>9.7119022965600212</v>
      </c>
      <c r="H1282" s="4">
        <v>10.598801414652799</v>
      </c>
      <c r="I1282" s="4">
        <v>11.587890511903911</v>
      </c>
      <c r="J1282" s="4">
        <v>12.707908540567077</v>
      </c>
      <c r="K1282" s="4">
        <v>13.970068746903923</v>
      </c>
      <c r="L1282" s="4">
        <v>15.362244460237818</v>
      </c>
      <c r="M1282" s="4">
        <v>16.872673306879154</v>
      </c>
      <c r="N1282" s="4">
        <v>18.509583971746036</v>
      </c>
      <c r="O1282"/>
      <c r="P1282"/>
      <c r="Q1282" s="11"/>
    </row>
    <row r="1283" spans="1:17" x14ac:dyDescent="0.35">
      <c r="A1283" s="3" t="s">
        <v>56</v>
      </c>
      <c r="B1283" s="4">
        <v>22.248240686415642</v>
      </c>
      <c r="C1283" s="4">
        <v>23.720070041767418</v>
      </c>
      <c r="D1283" s="4">
        <v>25.19967328538177</v>
      </c>
      <c r="E1283" s="4">
        <v>26.727431483449323</v>
      </c>
      <c r="F1283" s="4">
        <v>28.380433412654618</v>
      </c>
      <c r="G1283" s="4">
        <v>30.232530740318072</v>
      </c>
      <c r="H1283" s="4">
        <v>32.336824802780605</v>
      </c>
      <c r="I1283" s="4">
        <v>34.658245136603469</v>
      </c>
      <c r="J1283" s="4">
        <v>37.121714032958039</v>
      </c>
      <c r="K1283" s="4">
        <v>39.722998832883704</v>
      </c>
      <c r="L1283" s="4">
        <v>42.502850139105014</v>
      </c>
      <c r="M1283" s="4">
        <v>45.507954350355796</v>
      </c>
      <c r="N1283" s="4">
        <v>48.709470964825208</v>
      </c>
      <c r="O1283"/>
      <c r="P1283"/>
      <c r="Q1283" s="11"/>
    </row>
    <row r="1284" spans="1:17" x14ac:dyDescent="0.35">
      <c r="A1284" s="3" t="s">
        <v>57</v>
      </c>
      <c r="B1284" s="4">
        <v>40.956583513096312</v>
      </c>
      <c r="C1284" s="4">
        <v>43.157582246856549</v>
      </c>
      <c r="D1284" s="4">
        <v>45.522074924409729</v>
      </c>
      <c r="E1284" s="4">
        <v>48.080601666602682</v>
      </c>
      <c r="F1284" s="4">
        <v>50.855621363669904</v>
      </c>
      <c r="G1284" s="4">
        <v>53.871930904311171</v>
      </c>
      <c r="H1284" s="4">
        <v>57.149232040296823</v>
      </c>
      <c r="I1284" s="4">
        <v>60.665776318736896</v>
      </c>
      <c r="J1284" s="4">
        <v>64.397691825229302</v>
      </c>
      <c r="K1284" s="4">
        <v>68.329587549384655</v>
      </c>
      <c r="L1284" s="4">
        <v>72.444935001989393</v>
      </c>
      <c r="M1284" s="4">
        <v>76.769331395999174</v>
      </c>
      <c r="N1284" s="4">
        <v>81.277395142646753</v>
      </c>
      <c r="O1284"/>
      <c r="P1284"/>
      <c r="Q1284" s="11"/>
    </row>
    <row r="1285" spans="1:17" x14ac:dyDescent="0.35">
      <c r="A1285" s="2" t="s">
        <v>47</v>
      </c>
      <c r="O1285"/>
      <c r="P1285"/>
      <c r="Q1285" s="11"/>
    </row>
    <row r="1286" spans="1:17" x14ac:dyDescent="0.35">
      <c r="A1286" s="3" t="s">
        <v>82</v>
      </c>
      <c r="B1286" s="4">
        <v>28.455592533232888</v>
      </c>
      <c r="C1286" s="4">
        <v>30.506697204187848</v>
      </c>
      <c r="D1286" s="4">
        <v>32.633207479300957</v>
      </c>
      <c r="E1286" s="4">
        <v>34.867058588602781</v>
      </c>
      <c r="F1286" s="4">
        <v>37.28237060109597</v>
      </c>
      <c r="G1286" s="4">
        <v>39.944433036878095</v>
      </c>
      <c r="H1286" s="4">
        <v>42.935626217433402</v>
      </c>
      <c r="I1286" s="4">
        <v>46.246135648507376</v>
      </c>
      <c r="J1286" s="4">
        <v>49.829622573525114</v>
      </c>
      <c r="K1286" s="4">
        <v>53.693067579787623</v>
      </c>
      <c r="L1286" s="4">
        <v>57.865094599342832</v>
      </c>
      <c r="M1286" s="4">
        <v>62.380627657234953</v>
      </c>
      <c r="N1286" s="4">
        <v>67.21905493657124</v>
      </c>
      <c r="O1286"/>
      <c r="P1286"/>
      <c r="Q1286" s="11"/>
    </row>
    <row r="1287" spans="1:17" x14ac:dyDescent="0.35">
      <c r="A1287" s="3" t="s">
        <v>83</v>
      </c>
      <c r="B1287" s="4">
        <v>40.956583513096312</v>
      </c>
      <c r="C1287" s="4">
        <v>43.157582246856549</v>
      </c>
      <c r="D1287" s="4">
        <v>45.522074924409729</v>
      </c>
      <c r="E1287" s="4">
        <v>48.080601666602682</v>
      </c>
      <c r="F1287" s="4">
        <v>50.855621363669904</v>
      </c>
      <c r="G1287" s="4">
        <v>53.871930904311171</v>
      </c>
      <c r="H1287" s="4">
        <v>57.149232040296823</v>
      </c>
      <c r="I1287" s="4">
        <v>60.665776318736896</v>
      </c>
      <c r="J1287" s="4">
        <v>64.397691825229302</v>
      </c>
      <c r="K1287" s="4">
        <v>68.329587549384655</v>
      </c>
      <c r="L1287" s="4">
        <v>72.444935001989393</v>
      </c>
      <c r="M1287" s="4">
        <v>76.769331395999174</v>
      </c>
      <c r="N1287" s="4">
        <v>81.277395142646753</v>
      </c>
      <c r="O1287"/>
      <c r="P1287"/>
      <c r="Q1287" s="11"/>
    </row>
    <row r="1288" spans="1:17" x14ac:dyDescent="0.35">
      <c r="A1288" s="2" t="s">
        <v>59</v>
      </c>
      <c r="O1288"/>
      <c r="P1288"/>
      <c r="Q1288" s="11"/>
    </row>
    <row r="1289" spans="1:17" x14ac:dyDescent="0.35">
      <c r="A1289" s="3" t="s">
        <v>60</v>
      </c>
      <c r="O1289"/>
      <c r="P1289"/>
      <c r="Q1289" s="11"/>
    </row>
    <row r="1290" spans="1:17" x14ac:dyDescent="0.35">
      <c r="A1290" s="34" t="s">
        <v>61</v>
      </c>
      <c r="B1290" s="4">
        <v>14.5304160057348</v>
      </c>
      <c r="C1290" s="4">
        <v>15.453457606506049</v>
      </c>
      <c r="D1290" s="4">
        <v>16.370006084493113</v>
      </c>
      <c r="E1290" s="4">
        <v>17.377021576112988</v>
      </c>
      <c r="F1290" s="4">
        <v>18.574993668582437</v>
      </c>
      <c r="G1290" s="4">
        <v>19.982245421344999</v>
      </c>
      <c r="H1290" s="4">
        <v>21.597692344546921</v>
      </c>
      <c r="I1290" s="4">
        <v>23.282023334144085</v>
      </c>
      <c r="J1290" s="4">
        <v>24.93846380070039</v>
      </c>
      <c r="K1290" s="4">
        <v>26.621903689010111</v>
      </c>
      <c r="L1290" s="4">
        <v>28.341977711364251</v>
      </c>
      <c r="M1290" s="4">
        <v>30.211944236714402</v>
      </c>
      <c r="N1290" s="4">
        <v>32.208343841986434</v>
      </c>
      <c r="O1290"/>
      <c r="P1290"/>
      <c r="Q1290" s="11"/>
    </row>
    <row r="1291" spans="1:17" x14ac:dyDescent="0.35">
      <c r="A1291" s="43" t="s">
        <v>62</v>
      </c>
      <c r="B1291" s="4">
        <v>2.4079034156016563</v>
      </c>
      <c r="C1291" s="4">
        <v>2.6273039971408698</v>
      </c>
      <c r="D1291" s="4">
        <v>2.8694480829259237</v>
      </c>
      <c r="E1291" s="4">
        <v>3.1379743019857762</v>
      </c>
      <c r="F1291" s="4">
        <v>3.4363738286877505</v>
      </c>
      <c r="G1291" s="4">
        <v>3.768630908994397</v>
      </c>
      <c r="H1291" s="4">
        <v>4.1387560311041485</v>
      </c>
      <c r="I1291" s="4">
        <v>4.5481191904611036</v>
      </c>
      <c r="J1291" s="4">
        <v>4.9978965392635892</v>
      </c>
      <c r="K1291" s="4">
        <v>5.4898570865150473</v>
      </c>
      <c r="L1291" s="4">
        <v>6.025694303237028</v>
      </c>
      <c r="M1291" s="4">
        <v>6.6106038332375254</v>
      </c>
      <c r="N1291" s="4">
        <v>7.2458778783478266</v>
      </c>
      <c r="O1291"/>
      <c r="P1291"/>
      <c r="Q1291" s="11"/>
    </row>
    <row r="1292" spans="1:17" x14ac:dyDescent="0.35">
      <c r="A1292" s="43" t="s">
        <v>63</v>
      </c>
      <c r="B1292" s="4">
        <v>5.780757288557627</v>
      </c>
      <c r="C1292" s="4">
        <v>6.1836638987548618</v>
      </c>
      <c r="D1292" s="4">
        <v>6.6270195790607644</v>
      </c>
      <c r="E1292" s="4">
        <v>7.09995392152313</v>
      </c>
      <c r="F1292" s="4">
        <v>7.5971724104502174</v>
      </c>
      <c r="G1292" s="4">
        <v>8.1089525941073735</v>
      </c>
      <c r="H1292" s="4">
        <v>8.6579116093217579</v>
      </c>
      <c r="I1292" s="4">
        <v>9.2613498171157236</v>
      </c>
      <c r="J1292" s="4">
        <v>9.9377175633614812</v>
      </c>
      <c r="K1292" s="4">
        <v>10.689981856583991</v>
      </c>
      <c r="L1292" s="4">
        <v>11.502754300010313</v>
      </c>
      <c r="M1292" s="4">
        <v>12.361985824324927</v>
      </c>
      <c r="N1292" s="4">
        <v>13.269263359405279</v>
      </c>
      <c r="O1292"/>
      <c r="P1292"/>
      <c r="Q1292" s="11"/>
    </row>
    <row r="1293" spans="1:17" x14ac:dyDescent="0.35">
      <c r="A1293" s="43" t="s">
        <v>64</v>
      </c>
      <c r="B1293" s="4">
        <v>6.3417553015755175</v>
      </c>
      <c r="C1293" s="4">
        <v>6.6424897106103167</v>
      </c>
      <c r="D1293" s="4">
        <v>6.8735384225064244</v>
      </c>
      <c r="E1293" s="4">
        <v>7.1390933526040818</v>
      </c>
      <c r="F1293" s="4">
        <v>7.5414474294444691</v>
      </c>
      <c r="G1293" s="4">
        <v>8.1046619182432273</v>
      </c>
      <c r="H1293" s="4">
        <v>8.8010247041210157</v>
      </c>
      <c r="I1293" s="4">
        <v>9.4725543265672592</v>
      </c>
      <c r="J1293" s="4">
        <v>10.00284969807532</v>
      </c>
      <c r="K1293" s="4">
        <v>10.442064745911072</v>
      </c>
      <c r="L1293" s="4">
        <v>10.81352910811691</v>
      </c>
      <c r="M1293" s="4">
        <v>11.23935457915195</v>
      </c>
      <c r="N1293" s="4">
        <v>11.693202604233328</v>
      </c>
      <c r="O1293"/>
      <c r="P1293"/>
      <c r="Q1293" s="11"/>
    </row>
    <row r="1294" spans="1:17" x14ac:dyDescent="0.35">
      <c r="A1294" s="34" t="s">
        <v>65</v>
      </c>
      <c r="B1294" s="4">
        <v>12.441608644090204</v>
      </c>
      <c r="C1294" s="4">
        <v>13.203639994757593</v>
      </c>
      <c r="D1294" s="4">
        <v>14.028849263470059</v>
      </c>
      <c r="E1294" s="4">
        <v>14.895111335119632</v>
      </c>
      <c r="F1294" s="4">
        <v>15.785073670929743</v>
      </c>
      <c r="G1294" s="4">
        <v>16.720317490651258</v>
      </c>
      <c r="H1294" s="4">
        <v>17.719333374096291</v>
      </c>
      <c r="I1294" s="4">
        <v>18.831197077305699</v>
      </c>
      <c r="J1294" s="4">
        <v>20.074030083184077</v>
      </c>
      <c r="K1294" s="4">
        <v>21.413943873967941</v>
      </c>
      <c r="L1294" s="4">
        <v>22.859355518102692</v>
      </c>
      <c r="M1294" s="4">
        <v>24.379471096942595</v>
      </c>
      <c r="N1294" s="4">
        <v>25.964103056226438</v>
      </c>
      <c r="O1294"/>
      <c r="P1294"/>
      <c r="Q1294" s="11"/>
    </row>
    <row r="1295" spans="1:17" x14ac:dyDescent="0.35">
      <c r="A1295" s="34" t="s">
        <v>66</v>
      </c>
      <c r="B1295" s="4">
        <v>8.1309513269491536</v>
      </c>
      <c r="C1295" s="4">
        <v>8.5745761248984902</v>
      </c>
      <c r="D1295" s="4">
        <v>9.0531233170842089</v>
      </c>
      <c r="E1295" s="4">
        <v>9.5515883910839445</v>
      </c>
      <c r="F1295" s="4">
        <v>10.058395781011047</v>
      </c>
      <c r="G1295" s="4">
        <v>10.587065178988269</v>
      </c>
      <c r="H1295" s="4">
        <v>11.148814979195295</v>
      </c>
      <c r="I1295" s="4">
        <v>11.773817675202128</v>
      </c>
      <c r="J1295" s="4">
        <v>12.472122936982505</v>
      </c>
      <c r="K1295" s="4">
        <v>13.221198784076192</v>
      </c>
      <c r="L1295" s="4">
        <v>14.025180034252907</v>
      </c>
      <c r="M1295" s="4">
        <v>14.864026213468852</v>
      </c>
      <c r="N1295" s="4">
        <v>15.730747752994878</v>
      </c>
      <c r="O1295"/>
      <c r="P1295"/>
      <c r="Q1295" s="11"/>
    </row>
    <row r="1296" spans="1:17" x14ac:dyDescent="0.35">
      <c r="A1296" s="34" t="s">
        <v>67</v>
      </c>
      <c r="B1296" s="4">
        <v>5.1538510684345153</v>
      </c>
      <c r="C1296" s="4">
        <v>5.3918339568891875</v>
      </c>
      <c r="D1296" s="4">
        <v>5.6204399972824222</v>
      </c>
      <c r="E1296" s="4">
        <v>5.8488939476216899</v>
      </c>
      <c r="F1296" s="4">
        <v>6.0937726264519476</v>
      </c>
      <c r="G1296" s="4">
        <v>6.3697018908871517</v>
      </c>
      <c r="H1296" s="4">
        <v>6.6857952348527583</v>
      </c>
      <c r="I1296" s="4">
        <v>7.0321838030377579</v>
      </c>
      <c r="J1296" s="4">
        <v>7.3915266045842181</v>
      </c>
      <c r="K1296" s="4">
        <v>7.7618077557352647</v>
      </c>
      <c r="L1296" s="4">
        <v>8.1499119433187097</v>
      </c>
      <c r="M1296" s="4">
        <v>8.5633118934532231</v>
      </c>
      <c r="N1296" s="4">
        <v>8.9946594367655344</v>
      </c>
      <c r="O1296"/>
      <c r="P1296"/>
      <c r="Q1296" s="11"/>
    </row>
    <row r="1297" spans="1:17" x14ac:dyDescent="0.35">
      <c r="A1297" s="34" t="s">
        <v>68</v>
      </c>
      <c r="B1297" s="4">
        <v>8.6693555010597478</v>
      </c>
      <c r="C1297" s="4">
        <v>9.2930805444131792</v>
      </c>
      <c r="D1297" s="4">
        <v>9.9714156886052692</v>
      </c>
      <c r="E1297" s="4">
        <v>10.713391110237726</v>
      </c>
      <c r="F1297" s="4">
        <v>11.526774727144046</v>
      </c>
      <c r="G1297" s="4">
        <v>12.420300121868078</v>
      </c>
      <c r="H1297" s="4">
        <v>13.402015437166154</v>
      </c>
      <c r="I1297" s="4">
        <v>14.470676201539796</v>
      </c>
      <c r="J1297" s="4">
        <v>15.624309525766105</v>
      </c>
      <c r="K1297" s="4">
        <v>16.862733229142044</v>
      </c>
      <c r="L1297" s="4">
        <v>18.185345660534125</v>
      </c>
      <c r="M1297" s="4">
        <v>19.60195378969923</v>
      </c>
      <c r="N1297" s="4">
        <v>21.109899676464277</v>
      </c>
      <c r="O1297"/>
      <c r="P1297"/>
      <c r="Q1297" s="11"/>
    </row>
    <row r="1298" spans="1:17" x14ac:dyDescent="0.35">
      <c r="A1298" s="34" t="s">
        <v>69</v>
      </c>
      <c r="B1298" s="4">
        <v>9.654645667600553</v>
      </c>
      <c r="C1298" s="4">
        <v>10.050099383348067</v>
      </c>
      <c r="D1298" s="4">
        <v>10.481851058679467</v>
      </c>
      <c r="E1298" s="4">
        <v>10.928656810104391</v>
      </c>
      <c r="F1298" s="4">
        <v>11.379936832530746</v>
      </c>
      <c r="G1298" s="4">
        <v>11.81950518644938</v>
      </c>
      <c r="H1298" s="4">
        <v>12.279992409726241</v>
      </c>
      <c r="I1298" s="4">
        <v>12.782980172816712</v>
      </c>
      <c r="J1298" s="4">
        <v>13.349180218855352</v>
      </c>
      <c r="K1298" s="4">
        <v>13.976056932708868</v>
      </c>
      <c r="L1298" s="4">
        <v>14.637030425627271</v>
      </c>
      <c r="M1298" s="4">
        <v>15.309747478625495</v>
      </c>
      <c r="N1298" s="4">
        <v>15.993397918664343</v>
      </c>
      <c r="O1298"/>
      <c r="P1298"/>
      <c r="Q1298" s="11"/>
    </row>
    <row r="1299" spans="1:17" x14ac:dyDescent="0.35">
      <c r="A1299" s="3" t="s">
        <v>70</v>
      </c>
      <c r="O1299"/>
      <c r="P1299"/>
      <c r="Q1299" s="11"/>
    </row>
    <row r="1300" spans="1:17" x14ac:dyDescent="0.35">
      <c r="A1300" s="34" t="s">
        <v>71</v>
      </c>
      <c r="B1300" s="4">
        <v>1.3862194224609621</v>
      </c>
      <c r="C1300" s="4">
        <v>1.5234770971968938</v>
      </c>
      <c r="D1300" s="4">
        <v>1.6762298016901227</v>
      </c>
      <c r="E1300" s="4">
        <v>1.8430412114208758</v>
      </c>
      <c r="F1300" s="4">
        <v>2.0227669155913777</v>
      </c>
      <c r="G1300" s="4">
        <v>2.219007338563447</v>
      </c>
      <c r="H1300" s="4">
        <v>2.4353956938598356</v>
      </c>
      <c r="I1300" s="4">
        <v>2.680191527564848</v>
      </c>
      <c r="J1300" s="4">
        <v>2.958303841562977</v>
      </c>
      <c r="K1300" s="4">
        <v>3.2674934401543312</v>
      </c>
      <c r="L1300" s="4">
        <v>3.6114488681474293</v>
      </c>
      <c r="M1300" s="4">
        <v>3.9879996028826761</v>
      </c>
      <c r="N1300" s="4">
        <v>4.3978297152969708</v>
      </c>
      <c r="O1300"/>
      <c r="P1300"/>
      <c r="Q1300" s="11"/>
    </row>
    <row r="1301" spans="1:17" x14ac:dyDescent="0.35">
      <c r="A1301" s="34" t="s">
        <v>72</v>
      </c>
      <c r="B1301" s="4">
        <v>1.041211965024448</v>
      </c>
      <c r="C1301" s="4">
        <v>1.15674870838981</v>
      </c>
      <c r="D1301" s="4">
        <v>1.286551773417882</v>
      </c>
      <c r="E1301" s="4">
        <v>1.4299556082155163</v>
      </c>
      <c r="F1301" s="4">
        <v>1.5864838553657856</v>
      </c>
      <c r="G1301" s="4">
        <v>1.7593530233659924</v>
      </c>
      <c r="H1301" s="4">
        <v>1.9519383339055769</v>
      </c>
      <c r="I1301" s="4">
        <v>2.1714605621835363</v>
      </c>
      <c r="J1301" s="4">
        <v>2.4227283216831603</v>
      </c>
      <c r="K1301" s="4">
        <v>2.7048882522793996</v>
      </c>
      <c r="L1301" s="4">
        <v>3.021938241620314</v>
      </c>
      <c r="M1301" s="4">
        <v>3.3731288984784098</v>
      </c>
      <c r="N1301" s="4">
        <v>3.7600730314195072</v>
      </c>
      <c r="O1301"/>
      <c r="P1301"/>
      <c r="Q1301" s="11"/>
    </row>
    <row r="1302" spans="1:17" x14ac:dyDescent="0.35">
      <c r="A1302" s="34" t="s">
        <v>73</v>
      </c>
      <c r="B1302" s="4">
        <v>0.99134512150771315</v>
      </c>
      <c r="C1302" s="4">
        <v>1.0647503952407313</v>
      </c>
      <c r="D1302" s="4">
        <v>1.1454732585452405</v>
      </c>
      <c r="E1302" s="4">
        <v>1.2327938600602983</v>
      </c>
      <c r="F1302" s="4">
        <v>1.324714019230431</v>
      </c>
      <c r="G1302" s="4">
        <v>1.4227825097222839</v>
      </c>
      <c r="H1302" s="4">
        <v>1.5282503661392988</v>
      </c>
      <c r="I1302" s="4">
        <v>1.6437378325193048</v>
      </c>
      <c r="J1302" s="4">
        <v>1.7704527037584603</v>
      </c>
      <c r="K1302" s="4">
        <v>1.9090349062782856</v>
      </c>
      <c r="L1302" s="4">
        <v>2.0577122017131013</v>
      </c>
      <c r="M1302" s="4">
        <v>2.2147142010039422</v>
      </c>
      <c r="N1302" s="4">
        <v>2.3819246516875614</v>
      </c>
      <c r="O1302"/>
      <c r="P1302"/>
      <c r="Q1302" s="11"/>
    </row>
    <row r="1303" spans="1:17" x14ac:dyDescent="0.35">
      <c r="A1303" s="34" t="s">
        <v>74</v>
      </c>
      <c r="B1303" s="4">
        <v>1.1786901582372844</v>
      </c>
      <c r="C1303" s="4">
        <v>1.2735899095306553</v>
      </c>
      <c r="D1303" s="4">
        <v>1.3713197459668489</v>
      </c>
      <c r="E1303" s="4">
        <v>1.4741469732588908</v>
      </c>
      <c r="F1303" s="4">
        <v>1.5864838553657856</v>
      </c>
      <c r="G1303" s="4">
        <v>1.7127960217995732</v>
      </c>
      <c r="H1303" s="4">
        <v>1.8566052212356936</v>
      </c>
      <c r="I1303" s="4">
        <v>2.0165457800538822</v>
      </c>
      <c r="J1303" s="4">
        <v>2.1888331906348659</v>
      </c>
      <c r="K1303" s="4">
        <v>2.3736418603092373</v>
      </c>
      <c r="L1303" s="4">
        <v>2.5738322698318883</v>
      </c>
      <c r="M1303" s="4">
        <v>2.7927666077368953</v>
      </c>
      <c r="N1303" s="4">
        <v>3.0293383177920257</v>
      </c>
      <c r="O1303"/>
      <c r="P1303"/>
      <c r="Q1303" s="11"/>
    </row>
    <row r="1304" spans="1:17" x14ac:dyDescent="0.35">
      <c r="A1304" s="34" t="s">
        <v>75</v>
      </c>
      <c r="B1304" s="4">
        <v>1.0146217234611257</v>
      </c>
      <c r="C1304" s="4">
        <v>1.1054627490802706</v>
      </c>
      <c r="D1304" s="4">
        <v>1.2002614227436028</v>
      </c>
      <c r="E1304" s="4">
        <v>1.3010871765433265</v>
      </c>
      <c r="F1304" s="4">
        <v>1.4119706312755491</v>
      </c>
      <c r="G1304" s="4">
        <v>1.5371230571441712</v>
      </c>
      <c r="H1304" s="4">
        <v>1.6800458131645863</v>
      </c>
      <c r="I1304" s="4">
        <v>1.8399287221383911</v>
      </c>
      <c r="J1304" s="4">
        <v>2.0137208818993977</v>
      </c>
      <c r="K1304" s="4">
        <v>2.2019061786687475</v>
      </c>
      <c r="L1304" s="4">
        <v>2.4074716307460715</v>
      </c>
      <c r="M1304" s="4">
        <v>2.6339681091466596</v>
      </c>
      <c r="N1304" s="4">
        <v>2.8808440231576369</v>
      </c>
      <c r="O1304"/>
      <c r="P1304"/>
      <c r="Q1304" s="11"/>
    </row>
    <row r="1305" spans="1:17" x14ac:dyDescent="0.35">
      <c r="A1305" s="3" t="s">
        <v>76</v>
      </c>
      <c r="O1305"/>
      <c r="P1305"/>
      <c r="Q1305" s="11"/>
    </row>
    <row r="1306" spans="1:17" x14ac:dyDescent="0.35">
      <c r="A1306" s="34" t="s">
        <v>77</v>
      </c>
      <c r="B1306" s="4">
        <v>1.5060408965049821</v>
      </c>
      <c r="C1306" s="4">
        <v>1.6209081060303114</v>
      </c>
      <c r="D1306" s="4">
        <v>1.747401710567638</v>
      </c>
      <c r="E1306" s="4">
        <v>1.884495628630122</v>
      </c>
      <c r="F1306" s="4">
        <v>2.0292009890048042</v>
      </c>
      <c r="G1306" s="4">
        <v>2.1839372550279967</v>
      </c>
      <c r="H1306" s="4">
        <v>2.3506868178167095</v>
      </c>
      <c r="I1306" s="4">
        <v>2.5335544152633211</v>
      </c>
      <c r="J1306" s="4">
        <v>2.7345015303949807</v>
      </c>
      <c r="K1306" s="4">
        <v>2.954628498754841</v>
      </c>
      <c r="L1306" s="4">
        <v>3.1913111130783491</v>
      </c>
      <c r="M1306" s="4">
        <v>3.4419060789470777</v>
      </c>
      <c r="N1306" s="4">
        <v>3.7094269533084114</v>
      </c>
      <c r="O1306"/>
      <c r="P1306"/>
      <c r="Q1306" s="11"/>
    </row>
    <row r="1307" spans="1:17" x14ac:dyDescent="0.35">
      <c r="A1307" s="34" t="s">
        <v>78</v>
      </c>
      <c r="B1307" s="4">
        <v>1.4201822422825696</v>
      </c>
      <c r="C1307" s="4">
        <v>1.5042273869302833</v>
      </c>
      <c r="D1307" s="4">
        <v>1.5875645243002134</v>
      </c>
      <c r="E1307" s="4">
        <v>1.6727379532750257</v>
      </c>
      <c r="F1307" s="4">
        <v>1.764522599134613</v>
      </c>
      <c r="G1307" s="4">
        <v>1.8673658894986604</v>
      </c>
      <c r="H1307" s="4">
        <v>1.9843150892817114</v>
      </c>
      <c r="I1307" s="4">
        <v>2.1129245327020798</v>
      </c>
      <c r="J1307" s="4">
        <v>2.2483696120918601</v>
      </c>
      <c r="K1307" s="4">
        <v>2.3902389050817949</v>
      </c>
      <c r="L1307" s="4">
        <v>2.5408362997033942</v>
      </c>
      <c r="M1307" s="4">
        <v>2.7027583459095452</v>
      </c>
      <c r="N1307" s="4">
        <v>2.8740455627474728</v>
      </c>
      <c r="O1307"/>
      <c r="P1307"/>
      <c r="Q1307" s="11"/>
    </row>
    <row r="1308" spans="1:17" x14ac:dyDescent="0.35">
      <c r="A1308" s="34" t="s">
        <v>79</v>
      </c>
      <c r="B1308" s="4">
        <v>0.80565335716589792</v>
      </c>
      <c r="C1308" s="4">
        <v>0.87794780750218027</v>
      </c>
      <c r="D1308" s="4">
        <v>0.95819277008214288</v>
      </c>
      <c r="E1308" s="4">
        <v>1.0473691589062222</v>
      </c>
      <c r="F1308" s="4">
        <v>1.1469396894374984</v>
      </c>
      <c r="G1308" s="4">
        <v>1.259034624689225</v>
      </c>
      <c r="H1308" s="4">
        <v>1.3850227871197744</v>
      </c>
      <c r="I1308" s="4">
        <v>1.5263882870618637</v>
      </c>
      <c r="J1308" s="4">
        <v>1.6826913742789067</v>
      </c>
      <c r="K1308" s="4">
        <v>1.8538781982641017</v>
      </c>
      <c r="L1308" s="4">
        <v>2.0387727760016192</v>
      </c>
      <c r="M1308" s="4">
        <v>2.2373504820584542</v>
      </c>
      <c r="N1308" s="4">
        <v>2.4517614607752649</v>
      </c>
      <c r="O1308"/>
      <c r="P1308"/>
      <c r="Q1308" s="11"/>
    </row>
    <row r="1309" spans="1:17" x14ac:dyDescent="0.35">
      <c r="A1309" s="34" t="s">
        <v>80</v>
      </c>
      <c r="B1309" s="4">
        <v>0.7276685695975551</v>
      </c>
      <c r="C1309" s="4">
        <v>0.76022005202205745</v>
      </c>
      <c r="D1309" s="4">
        <v>0.79549472394135834</v>
      </c>
      <c r="E1309" s="4">
        <v>0.83373198659175141</v>
      </c>
      <c r="F1309" s="4">
        <v>0.87547467418601943</v>
      </c>
      <c r="G1309" s="4">
        <v>0.9216419034776645</v>
      </c>
      <c r="H1309" s="4">
        <v>0.97239421046206409</v>
      </c>
      <c r="I1309" s="4">
        <v>1.0278860970487778</v>
      </c>
      <c r="J1309" s="4">
        <v>1.0868873830164201</v>
      </c>
      <c r="K1309" s="4">
        <v>1.1485507870277363</v>
      </c>
      <c r="L1309" s="4">
        <v>1.2114154973531355</v>
      </c>
      <c r="M1309" s="4">
        <v>1.2748944048263591</v>
      </c>
      <c r="N1309" s="4">
        <v>1.3397005251716481</v>
      </c>
      <c r="O1309"/>
      <c r="P1309"/>
      <c r="Q1309" s="11"/>
    </row>
    <row r="1310" spans="1:17" x14ac:dyDescent="0.35">
      <c r="A1310" s="34" t="s">
        <v>81</v>
      </c>
      <c r="B1310" s="4">
        <v>0.75971437621768101</v>
      </c>
      <c r="C1310" s="4">
        <v>0.81025962830862541</v>
      </c>
      <c r="D1310" s="4">
        <v>0.86110726284109196</v>
      </c>
      <c r="E1310" s="4">
        <v>0.91363752802307241</v>
      </c>
      <c r="F1310" s="4">
        <v>0.97048742952403699</v>
      </c>
      <c r="G1310" s="4">
        <v>1.0341870277111138</v>
      </c>
      <c r="H1310" s="4">
        <v>1.1065601451612896</v>
      </c>
      <c r="I1310" s="4">
        <v>1.1864159466620907</v>
      </c>
      <c r="J1310" s="4">
        <v>1.2711923893607444</v>
      </c>
      <c r="K1310" s="4">
        <v>1.3607498377133866</v>
      </c>
      <c r="L1310" s="4">
        <v>1.4564894099369536</v>
      </c>
      <c r="M1310" s="4">
        <v>1.5600176133402932</v>
      </c>
      <c r="N1310" s="4">
        <v>1.6703541547595884</v>
      </c>
      <c r="O1310"/>
      <c r="P1310"/>
      <c r="Q1310" s="11"/>
    </row>
    <row r="1311" spans="1:17" x14ac:dyDescent="0.35">
      <c r="A1311" s="2" t="s">
        <v>84</v>
      </c>
      <c r="O1311"/>
      <c r="P1311"/>
      <c r="Q1311" s="11"/>
    </row>
    <row r="1312" spans="1:17" x14ac:dyDescent="0.35">
      <c r="A1312" s="3" t="s">
        <v>85</v>
      </c>
      <c r="B1312" s="4">
        <v>3.9759746102326559</v>
      </c>
      <c r="C1312" s="4">
        <v>4.1543966614860288</v>
      </c>
      <c r="D1312" s="4">
        <v>4.3481693468030889</v>
      </c>
      <c r="E1312" s="4">
        <v>4.5527939341034527</v>
      </c>
      <c r="F1312" s="4">
        <v>4.7594515660973569</v>
      </c>
      <c r="G1312" s="4">
        <v>4.9729550767611448</v>
      </c>
      <c r="H1312" s="4">
        <v>5.1965232117258537</v>
      </c>
      <c r="I1312" s="4">
        <v>5.4376280372654788</v>
      </c>
      <c r="J1312" s="4">
        <v>5.6981903617025207</v>
      </c>
      <c r="K1312" s="4">
        <v>5.9779938658486635</v>
      </c>
      <c r="L1312" s="4">
        <v>6.269180643015285</v>
      </c>
      <c r="M1312" s="4">
        <v>6.5646359254784095</v>
      </c>
      <c r="N1312" s="4">
        <v>6.8687669806155283</v>
      </c>
      <c r="O1312"/>
      <c r="P1312"/>
      <c r="Q1312" s="11"/>
    </row>
    <row r="1313" spans="1:17" x14ac:dyDescent="0.35">
      <c r="A1313" s="3" t="s">
        <v>86</v>
      </c>
      <c r="B1313" s="4">
        <v>13.216997964719056</v>
      </c>
      <c r="C1313" s="4">
        <v>13.859399949576735</v>
      </c>
      <c r="D1313" s="4">
        <v>14.560744186985271</v>
      </c>
      <c r="E1313" s="4">
        <v>15.292725826816763</v>
      </c>
      <c r="F1313" s="4">
        <v>16.04111453758739</v>
      </c>
      <c r="G1313" s="4">
        <v>16.783351261489472</v>
      </c>
      <c r="H1313" s="4">
        <v>17.565526393210895</v>
      </c>
      <c r="I1313" s="4">
        <v>18.419285246029823</v>
      </c>
      <c r="J1313" s="4">
        <v>19.375938006423834</v>
      </c>
      <c r="K1313" s="4">
        <v>20.433946146419473</v>
      </c>
      <c r="L1313" s="4">
        <v>21.55653731968394</v>
      </c>
      <c r="M1313" s="4">
        <v>22.712058864818076</v>
      </c>
      <c r="N1313" s="4">
        <v>23.899873960526946</v>
      </c>
      <c r="O1313"/>
      <c r="P1313"/>
      <c r="Q1313" s="11"/>
    </row>
    <row r="1314" spans="1:17" x14ac:dyDescent="0.35">
      <c r="A1314" s="3" t="s">
        <v>87</v>
      </c>
      <c r="B1314" s="4">
        <v>23.939289953473072</v>
      </c>
      <c r="C1314" s="4">
        <v>25.715862732773545</v>
      </c>
      <c r="D1314" s="4">
        <v>27.560120324679048</v>
      </c>
      <c r="E1314" s="4">
        <v>29.541045734424245</v>
      </c>
      <c r="F1314" s="4">
        <v>31.729677107315709</v>
      </c>
      <c r="G1314" s="4">
        <v>34.176001280151389</v>
      </c>
      <c r="H1314" s="4">
        <v>36.904072534936617</v>
      </c>
      <c r="I1314" s="4">
        <v>39.847421549522622</v>
      </c>
      <c r="J1314" s="4">
        <v>42.961486432964151</v>
      </c>
      <c r="K1314" s="4">
        <v>46.262150348014416</v>
      </c>
      <c r="L1314" s="4">
        <v>49.832740931157844</v>
      </c>
      <c r="M1314" s="4">
        <v>53.772991681145939</v>
      </c>
      <c r="N1314" s="4">
        <v>58.020468380252296</v>
      </c>
      <c r="O1314"/>
      <c r="P1314"/>
      <c r="Q1314" s="11"/>
    </row>
    <row r="1315" spans="1:17" x14ac:dyDescent="0.35">
      <c r="A1315" s="3" t="s">
        <v>88</v>
      </c>
      <c r="B1315" s="4">
        <v>15.447108251933392</v>
      </c>
      <c r="C1315" s="4">
        <v>16.402773243389159</v>
      </c>
      <c r="D1315" s="4">
        <v>17.444900238648426</v>
      </c>
      <c r="E1315" s="4">
        <v>18.58231213212807</v>
      </c>
      <c r="F1315" s="4">
        <v>19.831048192072323</v>
      </c>
      <c r="G1315" s="4">
        <v>21.216582425234375</v>
      </c>
      <c r="H1315" s="4">
        <v>22.748425025110205</v>
      </c>
      <c r="I1315" s="4">
        <v>24.436363896930114</v>
      </c>
      <c r="J1315" s="4">
        <v>26.257693713206606</v>
      </c>
      <c r="K1315" s="4">
        <v>28.197268641810989</v>
      </c>
      <c r="L1315" s="4">
        <v>30.223719456831553</v>
      </c>
      <c r="M1315" s="4">
        <v>32.325283035900924</v>
      </c>
      <c r="N1315" s="4">
        <v>34.522287641577563</v>
      </c>
      <c r="O1315"/>
      <c r="P1315"/>
      <c r="Q1315" s="11"/>
    </row>
    <row r="1316" spans="1:17" x14ac:dyDescent="0.35">
      <c r="A1316" s="3" t="s">
        <v>89</v>
      </c>
      <c r="B1316" s="4">
        <v>4.0919166052718605</v>
      </c>
      <c r="C1316" s="4">
        <v>4.3155000510928287</v>
      </c>
      <c r="D1316" s="4">
        <v>4.5584926578128044</v>
      </c>
      <c r="E1316" s="4">
        <v>4.8227649226634322</v>
      </c>
      <c r="F1316" s="4">
        <v>5.1120035339564209</v>
      </c>
      <c r="G1316" s="4">
        <v>5.4322208376661889</v>
      </c>
      <c r="H1316" s="4">
        <v>5.7851718230780245</v>
      </c>
      <c r="I1316" s="4">
        <v>6.1726256509842603</v>
      </c>
      <c r="J1316" s="4">
        <v>6.5880862014294905</v>
      </c>
      <c r="K1316" s="4">
        <v>7.027118073159663</v>
      </c>
      <c r="L1316" s="4">
        <v>7.4813529131123779</v>
      </c>
      <c r="M1316" s="4">
        <v>7.947493127596335</v>
      </c>
      <c r="N1316" s="4">
        <v>8.4302149076524682</v>
      </c>
      <c r="O1316"/>
      <c r="P1316"/>
      <c r="Q1316" s="11"/>
    </row>
    <row r="1317" spans="1:17" x14ac:dyDescent="0.35">
      <c r="A1317" s="3" t="s">
        <v>90</v>
      </c>
      <c r="B1317" s="4">
        <v>8.7408886606991558</v>
      </c>
      <c r="C1317" s="4">
        <v>9.2163468127261012</v>
      </c>
      <c r="D1317" s="4">
        <v>9.682855648782045</v>
      </c>
      <c r="E1317" s="4">
        <v>10.156017705069504</v>
      </c>
      <c r="F1317" s="4">
        <v>10.66469702773667</v>
      </c>
      <c r="G1317" s="4">
        <v>11.235253059886702</v>
      </c>
      <c r="H1317" s="4">
        <v>11.885139269668624</v>
      </c>
      <c r="I1317" s="4">
        <v>12.598587586511965</v>
      </c>
      <c r="J1317" s="4">
        <v>13.345919683027818</v>
      </c>
      <c r="K1317" s="4">
        <v>14.124178053919078</v>
      </c>
      <c r="L1317" s="4">
        <v>14.946498337531226</v>
      </c>
      <c r="M1317" s="4">
        <v>15.827496418294436</v>
      </c>
      <c r="N1317" s="4">
        <v>16.754838208593181</v>
      </c>
      <c r="O1317"/>
      <c r="P1317"/>
      <c r="Q1317" s="11"/>
    </row>
    <row r="1318" spans="1:17" x14ac:dyDescent="0.35">
      <c r="A1318" s="2" t="s">
        <v>91</v>
      </c>
      <c r="O1318"/>
      <c r="P1318"/>
      <c r="Q1318" s="11"/>
    </row>
    <row r="1319" spans="1:17" x14ac:dyDescent="0.35">
      <c r="A1319" s="3" t="s">
        <v>92</v>
      </c>
      <c r="B1319" s="4">
        <v>30.097983949196397</v>
      </c>
      <c r="C1319" s="4">
        <v>32.253251504547571</v>
      </c>
      <c r="D1319" s="4">
        <v>34.627360758347841</v>
      </c>
      <c r="E1319" s="4">
        <v>37.164681869710606</v>
      </c>
      <c r="F1319" s="4">
        <v>39.838372368074175</v>
      </c>
      <c r="G1319" s="4">
        <v>42.598177054047774</v>
      </c>
      <c r="H1319" s="4">
        <v>45.563366701761737</v>
      </c>
      <c r="I1319" s="4">
        <v>48.826085099466809</v>
      </c>
      <c r="J1319" s="4">
        <v>52.485195058714517</v>
      </c>
      <c r="K1319" s="4">
        <v>56.5584854692599</v>
      </c>
      <c r="L1319" s="4">
        <v>60.966750135491424</v>
      </c>
      <c r="M1319" s="4">
        <v>65.637313456096919</v>
      </c>
      <c r="N1319" s="4">
        <v>70.58000104972642</v>
      </c>
      <c r="O1319"/>
      <c r="P1319"/>
      <c r="Q1319" s="11"/>
    </row>
    <row r="1320" spans="1:17" x14ac:dyDescent="0.35">
      <c r="A1320" s="3" t="s">
        <v>93</v>
      </c>
      <c r="B1320" s="4">
        <v>39.314192097132796</v>
      </c>
      <c r="C1320" s="4">
        <v>41.411027946496823</v>
      </c>
      <c r="D1320" s="4">
        <v>43.527921645362845</v>
      </c>
      <c r="E1320" s="4">
        <v>45.782978385494857</v>
      </c>
      <c r="F1320" s="4">
        <v>48.299619596691699</v>
      </c>
      <c r="G1320" s="4">
        <v>51.218186887141492</v>
      </c>
      <c r="H1320" s="4">
        <v>54.521491555968481</v>
      </c>
      <c r="I1320" s="4">
        <v>58.085826867777456</v>
      </c>
      <c r="J1320" s="4">
        <v>61.742119340039899</v>
      </c>
      <c r="K1320" s="4">
        <v>65.464169659912386</v>
      </c>
      <c r="L1320" s="4">
        <v>69.343279465840794</v>
      </c>
      <c r="M1320" s="4">
        <v>73.512645597137194</v>
      </c>
      <c r="N1320" s="4">
        <v>77.916449029491574</v>
      </c>
      <c r="O1320"/>
      <c r="P1320"/>
      <c r="Q1320" s="11"/>
    </row>
    <row r="1321" spans="1:17" x14ac:dyDescent="0.35">
      <c r="A1321" s="2" t="s">
        <v>94</v>
      </c>
      <c r="O1321"/>
      <c r="P1321"/>
      <c r="Q1321" s="11"/>
    </row>
    <row r="1322" spans="1:17" x14ac:dyDescent="0.35">
      <c r="A1322" s="3" t="s">
        <v>48</v>
      </c>
      <c r="B1322" s="4">
        <v>10.65787750162829</v>
      </c>
      <c r="C1322" s="4">
        <v>11.400920280655239</v>
      </c>
      <c r="D1322" s="4">
        <v>12.215920278595771</v>
      </c>
      <c r="E1322" s="4">
        <v>13.094276690787485</v>
      </c>
      <c r="F1322" s="4">
        <v>14.013940722397773</v>
      </c>
      <c r="G1322" s="4">
        <v>14.990733497192696</v>
      </c>
      <c r="H1322" s="4">
        <v>16.037078547871296</v>
      </c>
      <c r="I1322" s="4">
        <v>17.179559917011048</v>
      </c>
      <c r="J1322" s="4">
        <v>18.429562537302303</v>
      </c>
      <c r="K1322" s="4">
        <v>19.792365703456952</v>
      </c>
      <c r="L1322" s="4">
        <v>21.248142508996171</v>
      </c>
      <c r="M1322" s="4">
        <v>22.777389857275406</v>
      </c>
      <c r="N1322" s="4">
        <v>24.398487668563895</v>
      </c>
      <c r="O1322"/>
      <c r="P1322"/>
      <c r="Q1322" s="11"/>
    </row>
    <row r="1323" spans="1:17" x14ac:dyDescent="0.35">
      <c r="A1323" s="3" t="s">
        <v>95</v>
      </c>
      <c r="B1323" s="4">
        <v>10.062716597286535</v>
      </c>
      <c r="C1323" s="4">
        <v>10.859369337731671</v>
      </c>
      <c r="D1323" s="4">
        <v>11.721082913973783</v>
      </c>
      <c r="E1323" s="4">
        <v>12.683230480300184</v>
      </c>
      <c r="F1323" s="4">
        <v>13.749526746503477</v>
      </c>
      <c r="G1323" s="4">
        <v>14.922676612458154</v>
      </c>
      <c r="H1323" s="4">
        <v>16.198929196864366</v>
      </c>
      <c r="I1323" s="4">
        <v>17.570832655020737</v>
      </c>
      <c r="J1323" s="4">
        <v>19.041798836280172</v>
      </c>
      <c r="K1323" s="4">
        <v>20.660987669433091</v>
      </c>
      <c r="L1323" s="4">
        <v>22.447014798994136</v>
      </c>
      <c r="M1323" s="4">
        <v>24.389984644492095</v>
      </c>
      <c r="N1323" s="4">
        <v>26.481129145350057</v>
      </c>
      <c r="O1323"/>
      <c r="P1323"/>
      <c r="Q1323" s="11"/>
    </row>
    <row r="1324" spans="1:17" x14ac:dyDescent="0.35">
      <c r="A1324" s="3" t="s">
        <v>96</v>
      </c>
      <c r="B1324" s="4">
        <v>7.2425575984915369</v>
      </c>
      <c r="C1324" s="4">
        <v>7.742089598791253</v>
      </c>
      <c r="D1324" s="4">
        <v>8.1804548599283464</v>
      </c>
      <c r="E1324" s="4">
        <v>8.555286560181159</v>
      </c>
      <c r="F1324" s="4">
        <v>8.9900751804061372</v>
      </c>
      <c r="G1324" s="4">
        <v>9.5340552311769073</v>
      </c>
      <c r="H1324" s="4">
        <v>10.27008139955781</v>
      </c>
      <c r="I1324" s="4">
        <v>11.15260501641896</v>
      </c>
      <c r="J1324" s="4">
        <v>12.105380421163972</v>
      </c>
      <c r="K1324" s="4">
        <v>13.037026952869937</v>
      </c>
      <c r="L1324" s="4">
        <v>13.978728719549451</v>
      </c>
      <c r="M1324" s="4">
        <v>15.036635840304655</v>
      </c>
      <c r="N1324" s="4">
        <v>16.171285795120696</v>
      </c>
      <c r="O1324"/>
      <c r="P1324"/>
      <c r="Q1324" s="11"/>
    </row>
    <row r="1325" spans="1:17" x14ac:dyDescent="0.35">
      <c r="A1325" s="3" t="s">
        <v>97</v>
      </c>
      <c r="B1325" s="4">
        <v>10.035414317533563</v>
      </c>
      <c r="C1325" s="4">
        <v>10.56630807929726</v>
      </c>
      <c r="D1325" s="4">
        <v>11.127224301395744</v>
      </c>
      <c r="E1325" s="4">
        <v>11.748348078473091</v>
      </c>
      <c r="F1325" s="4">
        <v>12.427456867031987</v>
      </c>
      <c r="G1325" s="4">
        <v>13.161375240731481</v>
      </c>
      <c r="H1325" s="4">
        <v>13.941287372556644</v>
      </c>
      <c r="I1325" s="4">
        <v>14.755796900967841</v>
      </c>
      <c r="J1325" s="4">
        <v>15.603512037691834</v>
      </c>
      <c r="K1325" s="4">
        <v>16.520478470165454</v>
      </c>
      <c r="L1325" s="4">
        <v>17.514642773906189</v>
      </c>
      <c r="M1325" s="4">
        <v>18.570623766026859</v>
      </c>
      <c r="N1325" s="4">
        <v>19.675039348682425</v>
      </c>
      <c r="O1325"/>
      <c r="P1325"/>
      <c r="Q1325" s="11"/>
    </row>
    <row r="1326" spans="1:17" x14ac:dyDescent="0.35">
      <c r="A1326" s="3" t="s">
        <v>98</v>
      </c>
      <c r="B1326" s="4">
        <v>18.375388202886619</v>
      </c>
      <c r="C1326" s="4">
        <v>19.458192901265321</v>
      </c>
      <c r="D1326" s="4">
        <v>20.625188699419823</v>
      </c>
      <c r="E1326" s="4">
        <v>21.891393528864381</v>
      </c>
      <c r="F1326" s="4">
        <v>23.268429878698193</v>
      </c>
      <c r="G1326" s="4">
        <v>24.76920475903778</v>
      </c>
      <c r="H1326" s="4">
        <v>26.404520663712187</v>
      </c>
      <c r="I1326" s="4">
        <v>28.166223920572879</v>
      </c>
      <c r="J1326" s="4">
        <v>30.044998157206734</v>
      </c>
      <c r="K1326" s="4">
        <v>32.035286053328562</v>
      </c>
      <c r="L1326" s="4">
        <v>34.130874199475016</v>
      </c>
      <c r="M1326" s="4">
        <v>36.345260841354204</v>
      </c>
      <c r="N1326" s="4">
        <v>38.668060841917033</v>
      </c>
      <c r="O1326"/>
      <c r="P1326"/>
      <c r="Q1326" s="11"/>
    </row>
    <row r="1327" spans="1:17" x14ac:dyDescent="0.35">
      <c r="A1327" s="3" t="s">
        <v>99</v>
      </c>
      <c r="B1327" s="4">
        <v>4.2123988780085675</v>
      </c>
      <c r="C1327" s="4">
        <v>4.3747498713612956</v>
      </c>
      <c r="D1327" s="4">
        <v>4.5479411414164215</v>
      </c>
      <c r="E1327" s="4">
        <v>4.7344317694635611</v>
      </c>
      <c r="F1327" s="4">
        <v>4.9357275500268889</v>
      </c>
      <c r="G1327" s="4">
        <v>5.1534555666052064</v>
      </c>
      <c r="H1327" s="4">
        <v>5.3886410274117775</v>
      </c>
      <c r="I1327" s="4">
        <v>5.6383187383485032</v>
      </c>
      <c r="J1327" s="4">
        <v>5.8994710637126406</v>
      </c>
      <c r="K1327" s="4">
        <v>6.170008341201096</v>
      </c>
      <c r="L1327" s="4">
        <v>6.4478395939684177</v>
      </c>
      <c r="M1327" s="4">
        <v>6.7347271981139096</v>
      </c>
      <c r="N1327" s="4">
        <v>7.0278468618957115</v>
      </c>
      <c r="O1327"/>
      <c r="P1327"/>
      <c r="Q1327" s="11"/>
    </row>
    <row r="1328" spans="1:17" x14ac:dyDescent="0.35">
      <c r="A1328" s="3" t="s">
        <v>100</v>
      </c>
      <c r="B1328" s="4">
        <v>8.8258229504940786</v>
      </c>
      <c r="C1328" s="4">
        <v>9.2626493819423619</v>
      </c>
      <c r="D1328" s="4">
        <v>9.7374702089807901</v>
      </c>
      <c r="E1328" s="4">
        <v>10.24069314713562</v>
      </c>
      <c r="F1328" s="4">
        <v>10.752835019701427</v>
      </c>
      <c r="G1328" s="4">
        <v>11.284863033987046</v>
      </c>
      <c r="H1328" s="4">
        <v>11.844320049756135</v>
      </c>
      <c r="I1328" s="4">
        <v>12.448574818904309</v>
      </c>
      <c r="J1328" s="4">
        <v>13.102591345396764</v>
      </c>
      <c r="K1328" s="4">
        <v>13.806501938717188</v>
      </c>
      <c r="L1328" s="4">
        <v>14.542787006442843</v>
      </c>
      <c r="M1328" s="4">
        <v>15.295336905666968</v>
      </c>
      <c r="N1328" s="4">
        <v>16.074600417688178</v>
      </c>
      <c r="O1328"/>
      <c r="P1328"/>
      <c r="Q1328" s="11"/>
    </row>
    <row r="1329" spans="1:17" x14ac:dyDescent="0.35">
      <c r="A1329" s="1" t="s">
        <v>50</v>
      </c>
      <c r="O1329"/>
      <c r="P1329"/>
      <c r="Q1329" s="11"/>
    </row>
    <row r="1330" spans="1:17" x14ac:dyDescent="0.35">
      <c r="A1330" s="2" t="s">
        <v>54</v>
      </c>
      <c r="O1330"/>
      <c r="P1330"/>
      <c r="Q1330" s="11"/>
    </row>
    <row r="1331" spans="1:17" x14ac:dyDescent="0.35">
      <c r="A1331" s="3" t="s">
        <v>55</v>
      </c>
      <c r="B1331" s="4">
        <v>10.555749968044408</v>
      </c>
      <c r="C1331" s="4">
        <v>11.586051942496733</v>
      </c>
      <c r="D1331" s="4">
        <v>12.736227408467325</v>
      </c>
      <c r="E1331" s="4">
        <v>14.021810627152156</v>
      </c>
      <c r="F1331" s="4">
        <v>15.465203068721904</v>
      </c>
      <c r="G1331" s="4">
        <v>17.098417557847579</v>
      </c>
      <c r="H1331" s="4">
        <v>18.944005208331859</v>
      </c>
      <c r="I1331" s="4">
        <v>21.026691922775981</v>
      </c>
      <c r="J1331" s="4">
        <v>23.345356218964838</v>
      </c>
      <c r="K1331" s="4">
        <v>25.904141677734486</v>
      </c>
      <c r="L1331" s="4">
        <v>28.691576472325718</v>
      </c>
      <c r="M1331" s="4">
        <v>31.712008288452186</v>
      </c>
      <c r="N1331" s="4">
        <v>35.000681716804479</v>
      </c>
      <c r="O1331"/>
      <c r="P1331"/>
      <c r="Q1331" s="11"/>
    </row>
    <row r="1332" spans="1:17" x14ac:dyDescent="0.35">
      <c r="A1332" s="3" t="s">
        <v>56</v>
      </c>
      <c r="B1332" s="4">
        <v>27.102690430030115</v>
      </c>
      <c r="C1332" s="4">
        <v>29.043399115854271</v>
      </c>
      <c r="D1332" s="4">
        <v>31.171479382929068</v>
      </c>
      <c r="E1332" s="4">
        <v>33.507441716204603</v>
      </c>
      <c r="F1332" s="4">
        <v>36.085473827017772</v>
      </c>
      <c r="G1332" s="4">
        <v>38.95808531547523</v>
      </c>
      <c r="H1332" s="4">
        <v>42.150275417317062</v>
      </c>
      <c r="I1332" s="4">
        <v>45.688331225564689</v>
      </c>
      <c r="J1332" s="4">
        <v>49.538597666368233</v>
      </c>
      <c r="K1332" s="4">
        <v>53.680309663084458</v>
      </c>
      <c r="L1332" s="4">
        <v>58.060932010421425</v>
      </c>
      <c r="M1332" s="4">
        <v>62.663562855888841</v>
      </c>
      <c r="N1332" s="4">
        <v>67.532794714183268</v>
      </c>
      <c r="O1332"/>
      <c r="P1332"/>
      <c r="Q1332" s="11"/>
    </row>
    <row r="1333" spans="1:17" x14ac:dyDescent="0.35">
      <c r="A1333" s="3" t="s">
        <v>57</v>
      </c>
      <c r="B1333" s="4">
        <v>65.579824871561669</v>
      </c>
      <c r="C1333" s="4">
        <v>69.619919677140345</v>
      </c>
      <c r="D1333" s="4">
        <v>74.024940784137669</v>
      </c>
      <c r="E1333" s="4">
        <v>78.832053157572417</v>
      </c>
      <c r="F1333" s="4">
        <v>84.108999145680528</v>
      </c>
      <c r="G1333" s="4">
        <v>89.963469766417802</v>
      </c>
      <c r="H1333" s="4">
        <v>96.435360013836842</v>
      </c>
      <c r="I1333" s="4">
        <v>103.56570288339771</v>
      </c>
      <c r="J1333" s="4">
        <v>111.25777872494388</v>
      </c>
      <c r="K1333" s="4">
        <v>119.44699183570233</v>
      </c>
      <c r="L1333" s="4">
        <v>128.00008419933957</v>
      </c>
      <c r="M1333" s="4">
        <v>136.86696035981251</v>
      </c>
      <c r="N1333" s="4">
        <v>146.13344990387671</v>
      </c>
      <c r="O1333"/>
      <c r="P1333"/>
      <c r="Q1333" s="11"/>
    </row>
    <row r="1334" spans="1:17" x14ac:dyDescent="0.35">
      <c r="A1334" s="2" t="s">
        <v>47</v>
      </c>
      <c r="O1334"/>
      <c r="P1334"/>
      <c r="Q1334" s="11"/>
    </row>
    <row r="1335" spans="1:17" x14ac:dyDescent="0.35">
      <c r="A1335" s="3" t="s">
        <v>82</v>
      </c>
      <c r="B1335" s="4">
        <v>37.658440398074525</v>
      </c>
      <c r="C1335" s="4">
        <v>40.629451058351002</v>
      </c>
      <c r="D1335" s="4">
        <v>43.907706791396393</v>
      </c>
      <c r="E1335" s="4">
        <v>47.52925234335676</v>
      </c>
      <c r="F1335" s="4">
        <v>51.550676895739677</v>
      </c>
      <c r="G1335" s="4">
        <v>56.056502873322813</v>
      </c>
      <c r="H1335" s="4">
        <v>61.094280625648921</v>
      </c>
      <c r="I1335" s="4">
        <v>66.715023148340663</v>
      </c>
      <c r="J1335" s="4">
        <v>72.883953885333071</v>
      </c>
      <c r="K1335" s="4">
        <v>79.584451340818944</v>
      </c>
      <c r="L1335" s="4">
        <v>86.752508482747146</v>
      </c>
      <c r="M1335" s="4">
        <v>94.375571144341023</v>
      </c>
      <c r="N1335" s="4">
        <v>102.53347643098775</v>
      </c>
      <c r="O1335"/>
      <c r="P1335"/>
      <c r="Q1335" s="11"/>
    </row>
    <row r="1336" spans="1:17" x14ac:dyDescent="0.35">
      <c r="A1336" s="3" t="s">
        <v>83</v>
      </c>
      <c r="B1336" s="4">
        <v>65.579824871561669</v>
      </c>
      <c r="C1336" s="4">
        <v>69.619919677140345</v>
      </c>
      <c r="D1336" s="4">
        <v>74.024940784137669</v>
      </c>
      <c r="E1336" s="4">
        <v>78.832053157572417</v>
      </c>
      <c r="F1336" s="4">
        <v>84.108999145680528</v>
      </c>
      <c r="G1336" s="4">
        <v>89.963469766417802</v>
      </c>
      <c r="H1336" s="4">
        <v>96.435360013836842</v>
      </c>
      <c r="I1336" s="4">
        <v>103.56570288339771</v>
      </c>
      <c r="J1336" s="4">
        <v>111.25777872494388</v>
      </c>
      <c r="K1336" s="4">
        <v>119.44699183570233</v>
      </c>
      <c r="L1336" s="4">
        <v>128.00008419933957</v>
      </c>
      <c r="M1336" s="4">
        <v>136.86696035981251</v>
      </c>
      <c r="N1336" s="4">
        <v>146.13344990387671</v>
      </c>
      <c r="O1336"/>
      <c r="P1336"/>
      <c r="Q1336" s="11"/>
    </row>
    <row r="1337" spans="1:17" x14ac:dyDescent="0.35">
      <c r="A1337" s="2" t="s">
        <v>59</v>
      </c>
      <c r="O1337"/>
      <c r="P1337"/>
      <c r="Q1337" s="11"/>
    </row>
    <row r="1338" spans="1:17" x14ac:dyDescent="0.35">
      <c r="A1338" s="3" t="s">
        <v>60</v>
      </c>
      <c r="O1338"/>
      <c r="P1338"/>
      <c r="Q1338" s="11"/>
    </row>
    <row r="1339" spans="1:17" x14ac:dyDescent="0.35">
      <c r="A1339" s="34" t="s">
        <v>61</v>
      </c>
      <c r="B1339" s="4">
        <v>21.437219495383104</v>
      </c>
      <c r="C1339" s="4">
        <v>22.699455253134062</v>
      </c>
      <c r="D1339" s="4">
        <v>24.172723319662722</v>
      </c>
      <c r="E1339" s="4">
        <v>25.880334786066186</v>
      </c>
      <c r="F1339" s="4">
        <v>27.911978345522201</v>
      </c>
      <c r="G1339" s="4">
        <v>30.319420308836172</v>
      </c>
      <c r="H1339" s="4">
        <v>33.093604681523274</v>
      </c>
      <c r="I1339" s="4">
        <v>36.206293496781029</v>
      </c>
      <c r="J1339" s="4">
        <v>39.517286765903236</v>
      </c>
      <c r="K1339" s="4">
        <v>42.94782038441582</v>
      </c>
      <c r="L1339" s="4">
        <v>46.233422944796388</v>
      </c>
      <c r="M1339" s="4">
        <v>49.367278239175391</v>
      </c>
      <c r="N1339" s="4">
        <v>52.531879020875778</v>
      </c>
      <c r="O1339"/>
      <c r="P1339"/>
      <c r="Q1339" s="11"/>
    </row>
    <row r="1340" spans="1:17" x14ac:dyDescent="0.35">
      <c r="A1340" s="43" t="s">
        <v>62</v>
      </c>
      <c r="B1340" s="4">
        <v>3.9859016443757693</v>
      </c>
      <c r="C1340" s="4">
        <v>4.4046672675481453</v>
      </c>
      <c r="D1340" s="4">
        <v>4.8729349552183168</v>
      </c>
      <c r="E1340" s="4">
        <v>5.3873302779977941</v>
      </c>
      <c r="F1340" s="4">
        <v>5.9452513875962287</v>
      </c>
      <c r="G1340" s="4">
        <v>6.5579791329296331</v>
      </c>
      <c r="H1340" s="4">
        <v>7.2371346340338443</v>
      </c>
      <c r="I1340" s="4">
        <v>8.0083360407716455</v>
      </c>
      <c r="J1340" s="4">
        <v>8.8877450765297787</v>
      </c>
      <c r="K1340" s="4">
        <v>9.8703893268040304</v>
      </c>
      <c r="L1340" s="4">
        <v>10.969079192903573</v>
      </c>
      <c r="M1340" s="4">
        <v>12.179097022196554</v>
      </c>
      <c r="N1340" s="4">
        <v>13.504325335923149</v>
      </c>
      <c r="O1340"/>
      <c r="P1340"/>
      <c r="Q1340" s="11"/>
    </row>
    <row r="1341" spans="1:17" x14ac:dyDescent="0.35">
      <c r="A1341" s="43" t="s">
        <v>63</v>
      </c>
      <c r="B1341" s="4">
        <v>7.0972220857601966</v>
      </c>
      <c r="C1341" s="4">
        <v>7.6192016649283882</v>
      </c>
      <c r="D1341" s="4">
        <v>8.192269959358347</v>
      </c>
      <c r="E1341" s="4">
        <v>8.8220946197815042</v>
      </c>
      <c r="F1341" s="4">
        <v>9.5179846158230728</v>
      </c>
      <c r="G1341" s="4">
        <v>10.294147957303936</v>
      </c>
      <c r="H1341" s="4">
        <v>11.157624789747508</v>
      </c>
      <c r="I1341" s="4">
        <v>12.115845618982991</v>
      </c>
      <c r="J1341" s="4">
        <v>13.160397412816621</v>
      </c>
      <c r="K1341" s="4">
        <v>14.286230275982522</v>
      </c>
      <c r="L1341" s="4">
        <v>15.479802332114605</v>
      </c>
      <c r="M1341" s="4">
        <v>16.736974245397661</v>
      </c>
      <c r="N1341" s="4">
        <v>18.070001027923126</v>
      </c>
      <c r="O1341"/>
      <c r="P1341"/>
      <c r="Q1341" s="11"/>
    </row>
    <row r="1342" spans="1:17" x14ac:dyDescent="0.35">
      <c r="A1342" s="43" t="s">
        <v>64</v>
      </c>
      <c r="B1342" s="4">
        <v>10.354095765247138</v>
      </c>
      <c r="C1342" s="4">
        <v>10.675586320657528</v>
      </c>
      <c r="D1342" s="4">
        <v>11.107518405086058</v>
      </c>
      <c r="E1342" s="4">
        <v>11.670909888286888</v>
      </c>
      <c r="F1342" s="4">
        <v>12.4487423421029</v>
      </c>
      <c r="G1342" s="4">
        <v>13.467293218602602</v>
      </c>
      <c r="H1342" s="4">
        <v>14.698845257741922</v>
      </c>
      <c r="I1342" s="4">
        <v>16.082111837026392</v>
      </c>
      <c r="J1342" s="4">
        <v>17.469144276556836</v>
      </c>
      <c r="K1342" s="4">
        <v>18.791200781629268</v>
      </c>
      <c r="L1342" s="4">
        <v>19.784541419778208</v>
      </c>
      <c r="M1342" s="4">
        <v>20.451206971581176</v>
      </c>
      <c r="N1342" s="4">
        <v>20.957552657029503</v>
      </c>
      <c r="O1342"/>
      <c r="P1342"/>
      <c r="Q1342" s="11"/>
    </row>
    <row r="1343" spans="1:17" x14ac:dyDescent="0.35">
      <c r="A1343" s="34" t="s">
        <v>65</v>
      </c>
      <c r="B1343" s="4">
        <v>18.590610507016542</v>
      </c>
      <c r="C1343" s="4">
        <v>19.930281599251021</v>
      </c>
      <c r="D1343" s="4">
        <v>21.391404526682095</v>
      </c>
      <c r="E1343" s="4">
        <v>22.943601313908395</v>
      </c>
      <c r="F1343" s="4">
        <v>24.562540944059542</v>
      </c>
      <c r="G1343" s="4">
        <v>26.283434444517763</v>
      </c>
      <c r="H1343" s="4">
        <v>28.138038395158897</v>
      </c>
      <c r="I1343" s="4">
        <v>30.20792047805277</v>
      </c>
      <c r="J1343" s="4">
        <v>32.52824235790164</v>
      </c>
      <c r="K1343" s="4">
        <v>35.051188299522025</v>
      </c>
      <c r="L1343" s="4">
        <v>37.796106621508031</v>
      </c>
      <c r="M1343" s="4">
        <v>40.718188071064233</v>
      </c>
      <c r="N1343" s="4">
        <v>43.805103337859236</v>
      </c>
      <c r="O1343"/>
      <c r="P1343"/>
      <c r="Q1343" s="11"/>
    </row>
    <row r="1344" spans="1:17" x14ac:dyDescent="0.35">
      <c r="A1344" s="34" t="s">
        <v>66</v>
      </c>
      <c r="B1344" s="4">
        <v>11.882619115343649</v>
      </c>
      <c r="C1344" s="4">
        <v>12.650906404895437</v>
      </c>
      <c r="D1344" s="4">
        <v>13.421083730133329</v>
      </c>
      <c r="E1344" s="4">
        <v>14.214640728522363</v>
      </c>
      <c r="F1344" s="4">
        <v>15.072468306581992</v>
      </c>
      <c r="G1344" s="4">
        <v>16.033506735015305</v>
      </c>
      <c r="H1344" s="4">
        <v>17.125471339566346</v>
      </c>
      <c r="I1344" s="4">
        <v>18.329225535295681</v>
      </c>
      <c r="J1344" s="4">
        <v>19.604580341133598</v>
      </c>
      <c r="K1344" s="4">
        <v>20.948984195673752</v>
      </c>
      <c r="L1344" s="4">
        <v>22.383621549070988</v>
      </c>
      <c r="M1344" s="4">
        <v>23.93268278376576</v>
      </c>
      <c r="N1344" s="4">
        <v>25.580501405359389</v>
      </c>
      <c r="O1344"/>
      <c r="P1344"/>
      <c r="Q1344" s="11"/>
    </row>
    <row r="1345" spans="1:17" x14ac:dyDescent="0.35">
      <c r="A1345" s="34" t="s">
        <v>67</v>
      </c>
      <c r="B1345" s="4">
        <v>7.5806871515805669</v>
      </c>
      <c r="C1345" s="4">
        <v>8.0181347266357825</v>
      </c>
      <c r="D1345" s="4">
        <v>8.4908481145656616</v>
      </c>
      <c r="E1345" s="4">
        <v>8.9850624350579427</v>
      </c>
      <c r="F1345" s="4">
        <v>9.4900726374775513</v>
      </c>
      <c r="G1345" s="4">
        <v>10.018722170007839</v>
      </c>
      <c r="H1345" s="4">
        <v>10.581829766380245</v>
      </c>
      <c r="I1345" s="4">
        <v>11.208332613339868</v>
      </c>
      <c r="J1345" s="4">
        <v>11.9083549748241</v>
      </c>
      <c r="K1345" s="4">
        <v>12.66102887061882</v>
      </c>
      <c r="L1345" s="4">
        <v>13.470771691084574</v>
      </c>
      <c r="M1345" s="4">
        <v>14.318831271662241</v>
      </c>
      <c r="N1345" s="4">
        <v>15.198802646282003</v>
      </c>
      <c r="O1345"/>
      <c r="P1345"/>
      <c r="Q1345" s="11"/>
    </row>
    <row r="1346" spans="1:17" x14ac:dyDescent="0.35">
      <c r="A1346" s="34" t="s">
        <v>68</v>
      </c>
      <c r="B1346" s="4">
        <v>12.392311521043036</v>
      </c>
      <c r="C1346" s="4">
        <v>13.424755331323073</v>
      </c>
      <c r="D1346" s="4">
        <v>14.545676534648925</v>
      </c>
      <c r="E1346" s="4">
        <v>15.799970847970647</v>
      </c>
      <c r="F1346" s="4">
        <v>17.19377866084168</v>
      </c>
      <c r="G1346" s="4">
        <v>18.732061805213586</v>
      </c>
      <c r="H1346" s="4">
        <v>20.411744715010105</v>
      </c>
      <c r="I1346" s="4">
        <v>22.225032203913983</v>
      </c>
      <c r="J1346" s="4">
        <v>24.17774269459683</v>
      </c>
      <c r="K1346" s="4">
        <v>26.333862945279808</v>
      </c>
      <c r="L1346" s="4">
        <v>28.719419204825179</v>
      </c>
      <c r="M1346" s="4">
        <v>31.324343795834299</v>
      </c>
      <c r="N1346" s="4">
        <v>34.139849001666924</v>
      </c>
      <c r="O1346"/>
      <c r="P1346"/>
      <c r="Q1346" s="11"/>
    </row>
    <row r="1347" spans="1:17" x14ac:dyDescent="0.35">
      <c r="A1347" s="34" t="s">
        <v>69</v>
      </c>
      <c r="B1347" s="4">
        <v>14.472402115958488</v>
      </c>
      <c r="C1347" s="4">
        <v>15.120897037317199</v>
      </c>
      <c r="D1347" s="4">
        <v>15.823651909940365</v>
      </c>
      <c r="E1347" s="4">
        <v>16.58544058818147</v>
      </c>
      <c r="F1347" s="4">
        <v>17.417074487605859</v>
      </c>
      <c r="G1347" s="4">
        <v>18.336854043814181</v>
      </c>
      <c r="H1347" s="4">
        <v>19.3479922984212</v>
      </c>
      <c r="I1347" s="4">
        <v>20.453583134012142</v>
      </c>
      <c r="J1347" s="4">
        <v>21.629167951295809</v>
      </c>
      <c r="K1347" s="4">
        <v>22.85790093006775</v>
      </c>
      <c r="L1347" s="4">
        <v>24.110721288337317</v>
      </c>
      <c r="M1347" s="4">
        <v>25.375949219273014</v>
      </c>
      <c r="N1347" s="4">
        <v>26.667779721669589</v>
      </c>
      <c r="O1347"/>
      <c r="P1347"/>
      <c r="Q1347" s="11"/>
    </row>
    <row r="1348" spans="1:17" x14ac:dyDescent="0.35">
      <c r="A1348" s="3" t="s">
        <v>70</v>
      </c>
      <c r="O1348"/>
      <c r="P1348"/>
      <c r="Q1348" s="11"/>
    </row>
    <row r="1349" spans="1:17" x14ac:dyDescent="0.35">
      <c r="A1349" s="34" t="s">
        <v>71</v>
      </c>
      <c r="B1349" s="4">
        <v>2.3243571372427803</v>
      </c>
      <c r="C1349" s="4">
        <v>2.5796387752242</v>
      </c>
      <c r="D1349" s="4">
        <v>2.8661822686987257</v>
      </c>
      <c r="E1349" s="4">
        <v>3.1824050677411542</v>
      </c>
      <c r="F1349" s="4">
        <v>3.5271515770769239</v>
      </c>
      <c r="G1349" s="4">
        <v>3.9074805282332696</v>
      </c>
      <c r="H1349" s="4">
        <v>4.3307736803404158</v>
      </c>
      <c r="I1349" s="4">
        <v>4.8129140442106655</v>
      </c>
      <c r="J1349" s="4">
        <v>5.3643725455324356</v>
      </c>
      <c r="K1349" s="4">
        <v>5.9830398466957959</v>
      </c>
      <c r="L1349" s="4">
        <v>6.6775446604657143</v>
      </c>
      <c r="M1349" s="4">
        <v>7.4459892994587999</v>
      </c>
      <c r="N1349" s="4">
        <v>8.2916967349284132</v>
      </c>
      <c r="O1349"/>
      <c r="P1349"/>
      <c r="Q1349" s="11"/>
    </row>
    <row r="1350" spans="1:17" x14ac:dyDescent="0.35">
      <c r="A1350" s="34" t="s">
        <v>72</v>
      </c>
      <c r="B1350" s="4">
        <v>1.8245078328402971</v>
      </c>
      <c r="C1350" s="4">
        <v>2.0348044696274594</v>
      </c>
      <c r="D1350" s="4">
        <v>2.272731682923248</v>
      </c>
      <c r="E1350" s="4">
        <v>2.5422673222035415</v>
      </c>
      <c r="F1350" s="4">
        <v>2.8488531968698241</v>
      </c>
      <c r="G1350" s="4">
        <v>3.2000088752661737</v>
      </c>
      <c r="H1350" s="4">
        <v>3.6019154336407988</v>
      </c>
      <c r="I1350" s="4">
        <v>4.0615034584021066</v>
      </c>
      <c r="J1350" s="4">
        <v>4.58108665901233</v>
      </c>
      <c r="K1350" s="4">
        <v>5.1640854491421591</v>
      </c>
      <c r="L1350" s="4">
        <v>5.8109497290904653</v>
      </c>
      <c r="M1350" s="4">
        <v>6.5252827159841553</v>
      </c>
      <c r="N1350" s="4">
        <v>7.3171957052589001</v>
      </c>
      <c r="O1350"/>
      <c r="P1350"/>
      <c r="Q1350" s="11"/>
    </row>
    <row r="1351" spans="1:17" x14ac:dyDescent="0.35">
      <c r="A1351" s="34" t="s">
        <v>73</v>
      </c>
      <c r="B1351" s="4">
        <v>1.6807532757716261</v>
      </c>
      <c r="C1351" s="4">
        <v>1.8159399368491427</v>
      </c>
      <c r="D1351" s="4">
        <v>1.9639023699412075</v>
      </c>
      <c r="E1351" s="4">
        <v>2.1267029483463888</v>
      </c>
      <c r="F1351" s="4">
        <v>2.3062144927041435</v>
      </c>
      <c r="G1351" s="4">
        <v>2.5045572763991482</v>
      </c>
      <c r="H1351" s="4">
        <v>2.7237747247624982</v>
      </c>
      <c r="I1351" s="4">
        <v>2.9640798689551313</v>
      </c>
      <c r="J1351" s="4">
        <v>3.2255365436706533</v>
      </c>
      <c r="K1351" s="4">
        <v>3.5085736764939219</v>
      </c>
      <c r="L1351" s="4">
        <v>3.8135398892462375</v>
      </c>
      <c r="M1351" s="4">
        <v>4.1429708833592063</v>
      </c>
      <c r="N1351" s="4">
        <v>4.4968410003282795</v>
      </c>
      <c r="O1351"/>
      <c r="P1351"/>
      <c r="Q1351" s="11"/>
    </row>
    <row r="1352" spans="1:17" x14ac:dyDescent="0.35">
      <c r="A1352" s="34" t="s">
        <v>74</v>
      </c>
      <c r="B1352" s="4">
        <v>1.9118010797931944</v>
      </c>
      <c r="C1352" s="4">
        <v>2.082840612927281</v>
      </c>
      <c r="D1352" s="4">
        <v>2.2695640640003298</v>
      </c>
      <c r="E1352" s="4">
        <v>2.4792338669957199</v>
      </c>
      <c r="F1352" s="4">
        <v>2.7131935208284044</v>
      </c>
      <c r="G1352" s="4">
        <v>2.9726271939208018</v>
      </c>
      <c r="H1352" s="4">
        <v>3.2574665627498089</v>
      </c>
      <c r="I1352" s="4">
        <v>3.5668847528928858</v>
      </c>
      <c r="J1352" s="4">
        <v>3.9022173533188638</v>
      </c>
      <c r="K1352" s="4">
        <v>4.2742148462646368</v>
      </c>
      <c r="L1352" s="4">
        <v>4.6877057996258777</v>
      </c>
      <c r="M1352" s="4">
        <v>5.1417308573256166</v>
      </c>
      <c r="N1352" s="4">
        <v>5.6355129277964053</v>
      </c>
      <c r="O1352"/>
      <c r="P1352"/>
      <c r="Q1352" s="11"/>
    </row>
    <row r="1353" spans="1:17" x14ac:dyDescent="0.35">
      <c r="A1353" s="34" t="s">
        <v>75</v>
      </c>
      <c r="B1353" s="4">
        <v>1.4835917359269966</v>
      </c>
      <c r="C1353" s="4">
        <v>1.6288797839170588</v>
      </c>
      <c r="D1353" s="4">
        <v>1.7901023270515477</v>
      </c>
      <c r="E1353" s="4">
        <v>1.9698182620815323</v>
      </c>
      <c r="F1353" s="4">
        <v>2.1705548166627233</v>
      </c>
      <c r="G1353" s="4">
        <v>2.3952102082685753</v>
      </c>
      <c r="H1353" s="4">
        <v>2.6467675842329874</v>
      </c>
      <c r="I1353" s="4">
        <v>2.9265912536034202</v>
      </c>
      <c r="J1353" s="4">
        <v>3.235949887166115</v>
      </c>
      <c r="K1353" s="4">
        <v>3.5765226284393612</v>
      </c>
      <c r="L1353" s="4">
        <v>3.9499760902023975</v>
      </c>
      <c r="M1353" s="4">
        <v>4.3603087696494853</v>
      </c>
      <c r="N1353" s="4">
        <v>4.8090383135360169</v>
      </c>
      <c r="O1353"/>
      <c r="P1353"/>
      <c r="Q1353" s="11"/>
    </row>
    <row r="1354" spans="1:17" x14ac:dyDescent="0.35">
      <c r="A1354" s="3" t="s">
        <v>76</v>
      </c>
      <c r="O1354"/>
      <c r="P1354"/>
      <c r="Q1354" s="11"/>
    </row>
    <row r="1355" spans="1:17" x14ac:dyDescent="0.35">
      <c r="A1355" s="34" t="s">
        <v>77</v>
      </c>
      <c r="B1355" s="4">
        <v>2.2391185903554187</v>
      </c>
      <c r="C1355" s="4">
        <v>2.4312098763379977</v>
      </c>
      <c r="D1355" s="4">
        <v>2.6428194546422263</v>
      </c>
      <c r="E1355" s="4">
        <v>2.8708651610855256</v>
      </c>
      <c r="F1355" s="4">
        <v>3.1128469264464274</v>
      </c>
      <c r="G1355" s="4">
        <v>3.3736686197857875</v>
      </c>
      <c r="H1355" s="4">
        <v>3.6580310828593787</v>
      </c>
      <c r="I1355" s="4">
        <v>3.9773362085694961</v>
      </c>
      <c r="J1355" s="4">
        <v>4.337439436654229</v>
      </c>
      <c r="K1355" s="4">
        <v>4.7333990567036865</v>
      </c>
      <c r="L1355" s="4">
        <v>5.1690554026735418</v>
      </c>
      <c r="M1355" s="4">
        <v>5.639639978407291</v>
      </c>
      <c r="N1355" s="4">
        <v>6.1446065469471742</v>
      </c>
      <c r="O1355"/>
      <c r="P1355"/>
      <c r="Q1355" s="11"/>
    </row>
    <row r="1356" spans="1:17" x14ac:dyDescent="0.35">
      <c r="A1356" s="34" t="s">
        <v>78</v>
      </c>
      <c r="B1356" s="4">
        <v>2.0762323414484696</v>
      </c>
      <c r="C1356" s="4">
        <v>2.2165382072592719</v>
      </c>
      <c r="D1356" s="4">
        <v>2.3686476313527196</v>
      </c>
      <c r="E1356" s="4">
        <v>2.5345511137943055</v>
      </c>
      <c r="F1356" s="4">
        <v>2.7159067143492326</v>
      </c>
      <c r="G1356" s="4">
        <v>2.9145714319173699</v>
      </c>
      <c r="H1356" s="4">
        <v>3.1322094430312739</v>
      </c>
      <c r="I1356" s="4">
        <v>3.3682840932946667</v>
      </c>
      <c r="J1356" s="4">
        <v>3.6220955537299306</v>
      </c>
      <c r="K1356" s="4">
        <v>3.8933681165885985</v>
      </c>
      <c r="L1356" s="4">
        <v>4.1817313836422532</v>
      </c>
      <c r="M1356" s="4">
        <v>4.4892121337463626</v>
      </c>
      <c r="N1356" s="4">
        <v>4.814947318512643</v>
      </c>
      <c r="O1356"/>
      <c r="P1356"/>
      <c r="Q1356" s="11"/>
    </row>
    <row r="1357" spans="1:17" x14ac:dyDescent="0.35">
      <c r="A1357" s="34" t="s">
        <v>79</v>
      </c>
      <c r="B1357" s="4">
        <v>1.2683333929357796</v>
      </c>
      <c r="C1357" s="4">
        <v>1.4008541358048974</v>
      </c>
      <c r="D1357" s="4">
        <v>1.5474780128288024</v>
      </c>
      <c r="E1357" s="4">
        <v>1.7136807384574173</v>
      </c>
      <c r="F1357" s="4">
        <v>1.9011347000444627</v>
      </c>
      <c r="G1357" s="4">
        <v>2.1114730634528076</v>
      </c>
      <c r="H1357" s="4">
        <v>2.3455082628701729</v>
      </c>
      <c r="I1357" s="4">
        <v>2.6035291762905395</v>
      </c>
      <c r="J1357" s="4">
        <v>2.8873965501828738</v>
      </c>
      <c r="K1357" s="4">
        <v>3.2060172863123979</v>
      </c>
      <c r="L1357" s="4">
        <v>3.5643212079536508</v>
      </c>
      <c r="M1357" s="4">
        <v>3.9630741226912964</v>
      </c>
      <c r="N1357" s="4">
        <v>4.4031863300164176</v>
      </c>
      <c r="O1357"/>
      <c r="P1357"/>
      <c r="Q1357" s="11"/>
    </row>
    <row r="1358" spans="1:17" x14ac:dyDescent="0.35">
      <c r="A1358" s="34" t="s">
        <v>80</v>
      </c>
      <c r="B1358" s="4">
        <v>0.96266419812071324</v>
      </c>
      <c r="C1358" s="4">
        <v>1.0199274645325809</v>
      </c>
      <c r="D1358" s="4">
        <v>1.0807839696054153</v>
      </c>
      <c r="E1358" s="4">
        <v>1.1482273945637775</v>
      </c>
      <c r="F1358" s="4">
        <v>1.2221580214571548</v>
      </c>
      <c r="G1358" s="4">
        <v>1.3023784298255185</v>
      </c>
      <c r="H1358" s="4">
        <v>1.3881267326999505</v>
      </c>
      <c r="I1358" s="4">
        <v>1.4783638503427727</v>
      </c>
      <c r="J1358" s="4">
        <v>1.5730260927747857</v>
      </c>
      <c r="K1358" s="4">
        <v>1.6758214557805711</v>
      </c>
      <c r="L1358" s="4">
        <v>1.7876989980782403</v>
      </c>
      <c r="M1358" s="4">
        <v>1.9072485997958017</v>
      </c>
      <c r="N1358" s="4">
        <v>2.0332285423870036</v>
      </c>
      <c r="O1358"/>
      <c r="P1358"/>
      <c r="Q1358" s="11"/>
    </row>
    <row r="1359" spans="1:17" x14ac:dyDescent="0.35">
      <c r="A1359" s="34" t="s">
        <v>81</v>
      </c>
      <c r="B1359" s="4">
        <v>1.1110557788755386</v>
      </c>
      <c r="C1359" s="4">
        <v>1.1943071204548825</v>
      </c>
      <c r="D1359" s="4">
        <v>1.2850476588567366</v>
      </c>
      <c r="E1359" s="4">
        <v>1.3845029259528157</v>
      </c>
      <c r="F1359" s="4">
        <v>1.4937486928920778</v>
      </c>
      <c r="G1359" s="4">
        <v>1.6139975052663122</v>
      </c>
      <c r="H1359" s="4">
        <v>1.7463859362384071</v>
      </c>
      <c r="I1359" s="4">
        <v>1.890851863781208</v>
      </c>
      <c r="J1359" s="4">
        <v>2.0472369025795252</v>
      </c>
      <c r="K1359" s="4">
        <v>2.21561518852221</v>
      </c>
      <c r="L1359" s="4">
        <v>2.3960062214858802</v>
      </c>
      <c r="M1359" s="4">
        <v>2.5898007629605666</v>
      </c>
      <c r="N1359" s="4">
        <v>2.7967577814402564</v>
      </c>
      <c r="O1359"/>
      <c r="P1359"/>
      <c r="Q1359" s="11"/>
    </row>
    <row r="1360" spans="1:17" x14ac:dyDescent="0.35">
      <c r="A1360" s="2" t="s">
        <v>84</v>
      </c>
      <c r="O1360"/>
      <c r="P1360"/>
      <c r="Q1360" s="11"/>
    </row>
    <row r="1361" spans="1:17" x14ac:dyDescent="0.35">
      <c r="A1361" s="3" t="s">
        <v>85</v>
      </c>
      <c r="B1361" s="4">
        <v>6.3107330121943574</v>
      </c>
      <c r="C1361" s="4">
        <v>6.6622127968534288</v>
      </c>
      <c r="D1361" s="4">
        <v>7.0465928691788493</v>
      </c>
      <c r="E1361" s="4">
        <v>7.4508010992500271</v>
      </c>
      <c r="F1361" s="4">
        <v>7.8682612104023715</v>
      </c>
      <c r="G1361" s="4">
        <v>8.2881291180805672</v>
      </c>
      <c r="H1361" s="4">
        <v>8.7331648202966186</v>
      </c>
      <c r="I1361" s="4">
        <v>9.2195632916784245</v>
      </c>
      <c r="J1361" s="4">
        <v>9.7637838740602323</v>
      </c>
      <c r="K1361" s="4">
        <v>10.366165950036908</v>
      </c>
      <c r="L1361" s="4">
        <v>11.009167711839615</v>
      </c>
      <c r="M1361" s="4">
        <v>11.67737526856307</v>
      </c>
      <c r="N1361" s="4">
        <v>12.370896939294031</v>
      </c>
      <c r="O1361"/>
      <c r="P1361"/>
      <c r="Q1361" s="11"/>
    </row>
    <row r="1362" spans="1:17" x14ac:dyDescent="0.35">
      <c r="A1362" s="3" t="s">
        <v>86</v>
      </c>
      <c r="B1362" s="4">
        <v>17.048675003893226</v>
      </c>
      <c r="C1362" s="4">
        <v>18.090634108172488</v>
      </c>
      <c r="D1362" s="4">
        <v>19.228254059686918</v>
      </c>
      <c r="E1362" s="4">
        <v>20.445433541774211</v>
      </c>
      <c r="F1362" s="4">
        <v>21.705548166627231</v>
      </c>
      <c r="G1362" s="4">
        <v>23.031768440644807</v>
      </c>
      <c r="H1362" s="4">
        <v>24.441277433593871</v>
      </c>
      <c r="I1362" s="4">
        <v>25.97225478134218</v>
      </c>
      <c r="J1362" s="4">
        <v>27.638636001604823</v>
      </c>
      <c r="K1362" s="4">
        <v>29.444699146597962</v>
      </c>
      <c r="L1362" s="4">
        <v>31.357175179619396</v>
      </c>
      <c r="M1362" s="4">
        <v>33.344275789546842</v>
      </c>
      <c r="N1362" s="4">
        <v>35.430639580945616</v>
      </c>
      <c r="O1362"/>
      <c r="P1362"/>
      <c r="Q1362" s="11"/>
    </row>
    <row r="1363" spans="1:17" x14ac:dyDescent="0.35">
      <c r="A1363" s="3" t="s">
        <v>87</v>
      </c>
      <c r="B1363" s="4">
        <v>31.830125331172326</v>
      </c>
      <c r="C1363" s="4">
        <v>33.903260391772918</v>
      </c>
      <c r="D1363" s="4">
        <v>36.408076617517182</v>
      </c>
      <c r="E1363" s="4">
        <v>39.38526584865717</v>
      </c>
      <c r="F1363" s="4">
        <v>42.86845762908878</v>
      </c>
      <c r="G1363" s="4">
        <v>46.879376275612501</v>
      </c>
      <c r="H1363" s="4">
        <v>51.343258812682265</v>
      </c>
      <c r="I1363" s="4">
        <v>56.316076239481703</v>
      </c>
      <c r="J1363" s="4">
        <v>61.751804059095988</v>
      </c>
      <c r="K1363" s="4">
        <v>67.585725553709608</v>
      </c>
      <c r="L1363" s="4">
        <v>73.576816938087774</v>
      </c>
      <c r="M1363" s="4">
        <v>79.629082315607917</v>
      </c>
      <c r="N1363" s="4">
        <v>85.932967548588834</v>
      </c>
      <c r="O1363"/>
      <c r="P1363"/>
      <c r="Q1363" s="11"/>
    </row>
    <row r="1364" spans="1:17" x14ac:dyDescent="0.35">
      <c r="A1364" s="3" t="s">
        <v>88</v>
      </c>
      <c r="B1364" s="4">
        <v>23.789714320648805</v>
      </c>
      <c r="C1364" s="4">
        <v>25.676985504351823</v>
      </c>
      <c r="D1364" s="4">
        <v>27.61699015058981</v>
      </c>
      <c r="E1364" s="4">
        <v>29.655196927482994</v>
      </c>
      <c r="F1364" s="4">
        <v>31.880023869733744</v>
      </c>
      <c r="G1364" s="4">
        <v>34.380571310186639</v>
      </c>
      <c r="H1364" s="4">
        <v>37.226600655496739</v>
      </c>
      <c r="I1364" s="4">
        <v>40.389569265030708</v>
      </c>
      <c r="J1364" s="4">
        <v>43.79260851334039</v>
      </c>
      <c r="K1364" s="4">
        <v>47.4383873273242</v>
      </c>
      <c r="L1364" s="4">
        <v>51.383241745097301</v>
      </c>
      <c r="M1364" s="4">
        <v>55.693274297411733</v>
      </c>
      <c r="N1364" s="4">
        <v>60.345179353306719</v>
      </c>
      <c r="O1364"/>
      <c r="P1364"/>
      <c r="Q1364" s="11"/>
    </row>
    <row r="1365" spans="1:17" x14ac:dyDescent="0.35">
      <c r="A1365" s="3" t="s">
        <v>89</v>
      </c>
      <c r="B1365" s="4">
        <v>8.0884933235112157</v>
      </c>
      <c r="C1365" s="4">
        <v>8.6775091631295336</v>
      </c>
      <c r="D1365" s="4">
        <v>9.3202648787172286</v>
      </c>
      <c r="E1365" s="4">
        <v>10.003640245679355</v>
      </c>
      <c r="F1365" s="4">
        <v>10.717114407272195</v>
      </c>
      <c r="G1365" s="4">
        <v>11.476116025828139</v>
      </c>
      <c r="H1365" s="4">
        <v>12.294609300154582</v>
      </c>
      <c r="I1365" s="4">
        <v>13.208362532302958</v>
      </c>
      <c r="J1365" s="4">
        <v>14.232954410941733</v>
      </c>
      <c r="K1365" s="4">
        <v>15.347700086554536</v>
      </c>
      <c r="L1365" s="4">
        <v>16.561265038715415</v>
      </c>
      <c r="M1365" s="4">
        <v>17.854227070397847</v>
      </c>
      <c r="N1365" s="4">
        <v>19.221351186476593</v>
      </c>
      <c r="O1365"/>
      <c r="P1365"/>
      <c r="Q1365" s="11"/>
    </row>
    <row r="1366" spans="1:17" x14ac:dyDescent="0.35">
      <c r="A1366" s="3" t="s">
        <v>90</v>
      </c>
      <c r="B1366" s="4">
        <v>16.170524278216273</v>
      </c>
      <c r="C1366" s="4">
        <v>17.238768771211152</v>
      </c>
      <c r="D1366" s="4">
        <v>18.312468999844075</v>
      </c>
      <c r="E1366" s="4">
        <v>19.420967838085431</v>
      </c>
      <c r="F1366" s="4">
        <v>20.620270758295874</v>
      </c>
      <c r="G1366" s="4">
        <v>21.96401146938797</v>
      </c>
      <c r="H1366" s="4">
        <v>23.490729617261689</v>
      </c>
      <c r="I1366" s="4">
        <v>25.174899921902391</v>
      </c>
      <c r="J1366" s="4">
        <v>26.961945751233799</v>
      </c>
      <c r="K1366" s="4">
        <v>28.848765112298072</v>
      </c>
      <c r="L1366" s="4">
        <v>30.864926068727211</v>
      </c>
      <c r="M1366" s="4">
        <v>33.044296762626125</v>
      </c>
      <c r="N1366" s="4">
        <v>35.365891726252656</v>
      </c>
      <c r="O1366"/>
      <c r="P1366"/>
      <c r="Q1366" s="11"/>
    </row>
    <row r="1367" spans="1:17" x14ac:dyDescent="0.35">
      <c r="A1367" s="2" t="s">
        <v>91</v>
      </c>
      <c r="O1367"/>
      <c r="P1367"/>
      <c r="Q1367" s="11"/>
    </row>
    <row r="1368" spans="1:17" x14ac:dyDescent="0.35">
      <c r="A1368" s="3" t="s">
        <v>92</v>
      </c>
      <c r="B1368" s="4">
        <v>42.460017158476489</v>
      </c>
      <c r="C1368" s="4">
        <v>45.835998844892778</v>
      </c>
      <c r="D1368" s="4">
        <v>49.5284223654252</v>
      </c>
      <c r="E1368" s="4">
        <v>53.588462756668854</v>
      </c>
      <c r="F1368" s="4">
        <v>58.062341345727845</v>
      </c>
      <c r="G1368" s="4">
        <v>63.002348769241152</v>
      </c>
      <c r="H1368" s="4">
        <v>68.458660999421525</v>
      </c>
      <c r="I1368" s="4">
        <v>74.435274680534803</v>
      </c>
      <c r="J1368" s="4">
        <v>80.932421214405892</v>
      </c>
      <c r="K1368" s="4">
        <v>87.959486358905167</v>
      </c>
      <c r="L1368" s="4">
        <v>95.52380506611992</v>
      </c>
      <c r="M1368" s="4">
        <v>103.68746476330719</v>
      </c>
      <c r="N1368" s="4">
        <v>112.44823193724538</v>
      </c>
      <c r="O1368"/>
      <c r="P1368"/>
      <c r="Q1368" s="11"/>
    </row>
    <row r="1369" spans="1:17" x14ac:dyDescent="0.35">
      <c r="A1369" s="3" t="s">
        <v>93</v>
      </c>
      <c r="B1369" s="4">
        <v>60.778248111159712</v>
      </c>
      <c r="C1369" s="4">
        <v>64.413371890598569</v>
      </c>
      <c r="D1369" s="4">
        <v>68.404225210108862</v>
      </c>
      <c r="E1369" s="4">
        <v>72.772842744260316</v>
      </c>
      <c r="F1369" s="4">
        <v>77.597334695692354</v>
      </c>
      <c r="G1369" s="4">
        <v>83.017623870499463</v>
      </c>
      <c r="H1369" s="4">
        <v>89.070979640064238</v>
      </c>
      <c r="I1369" s="4">
        <v>95.845451351203565</v>
      </c>
      <c r="J1369" s="4">
        <v>103.20931139587107</v>
      </c>
      <c r="K1369" s="4">
        <v>111.07195681761613</v>
      </c>
      <c r="L1369" s="4">
        <v>119.22878761596679</v>
      </c>
      <c r="M1369" s="4">
        <v>127.55506674084634</v>
      </c>
      <c r="N1369" s="4">
        <v>136.21869439761906</v>
      </c>
      <c r="O1369"/>
      <c r="P1369"/>
      <c r="Q1369" s="11"/>
    </row>
    <row r="1370" spans="1:17" x14ac:dyDescent="0.35">
      <c r="A1370" s="2" t="s">
        <v>94</v>
      </c>
      <c r="O1370"/>
      <c r="P1370"/>
      <c r="Q1370" s="11"/>
    </row>
    <row r="1371" spans="1:17" x14ac:dyDescent="0.35">
      <c r="A1371" s="3" t="s">
        <v>48</v>
      </c>
      <c r="B1371" s="4">
        <v>15.675874620658909</v>
      </c>
      <c r="C1371" s="4">
        <v>16.92188442897589</v>
      </c>
      <c r="D1371" s="4">
        <v>18.284662041843738</v>
      </c>
      <c r="E1371" s="4">
        <v>19.78309209896425</v>
      </c>
      <c r="F1371" s="4">
        <v>21.43422881454439</v>
      </c>
      <c r="G1371" s="4">
        <v>23.257365424631718</v>
      </c>
      <c r="H1371" s="4">
        <v>25.271012820439474</v>
      </c>
      <c r="I1371" s="4">
        <v>27.476633485994626</v>
      </c>
      <c r="J1371" s="4">
        <v>29.874299870051694</v>
      </c>
      <c r="K1371" s="4">
        <v>32.467463500307922</v>
      </c>
      <c r="L1371" s="4">
        <v>35.258818579294449</v>
      </c>
      <c r="M1371" s="4">
        <v>38.271268741092911</v>
      </c>
      <c r="N1371" s="4">
        <v>41.503974573921823</v>
      </c>
      <c r="O1371"/>
      <c r="P1371"/>
      <c r="Q1371" s="11"/>
    </row>
    <row r="1372" spans="1:17" x14ac:dyDescent="0.35">
      <c r="A1372" s="3" t="s">
        <v>95</v>
      </c>
      <c r="B1372" s="4">
        <v>3.3845857604815763</v>
      </c>
      <c r="C1372" s="4">
        <v>3.7093078426865889</v>
      </c>
      <c r="D1372" s="4">
        <v>4.069820868710476</v>
      </c>
      <c r="E1372" s="4">
        <v>4.4623203146042725</v>
      </c>
      <c r="F1372" s="4">
        <v>4.8837483374911264</v>
      </c>
      <c r="G1372" s="4">
        <v>5.3425347618400698</v>
      </c>
      <c r="H1372" s="4">
        <v>5.8470915177766321</v>
      </c>
      <c r="I1372" s="4">
        <v>6.4168406223932832</v>
      </c>
      <c r="J1372" s="4">
        <v>7.062961640733147</v>
      </c>
      <c r="K1372" s="4">
        <v>7.7794387457027829</v>
      </c>
      <c r="L1372" s="4">
        <v>8.5744309096857663</v>
      </c>
      <c r="M1372" s="4">
        <v>9.4420900486565582</v>
      </c>
      <c r="N1372" s="4">
        <v>10.38338574321245</v>
      </c>
      <c r="O1372"/>
      <c r="P1372"/>
      <c r="Q1372" s="11"/>
    </row>
    <row r="1373" spans="1:17" x14ac:dyDescent="0.35">
      <c r="A1373" s="3" t="s">
        <v>96</v>
      </c>
      <c r="B1373" s="4">
        <v>15.683156270588768</v>
      </c>
      <c r="C1373" s="4">
        <v>16.405296878413495</v>
      </c>
      <c r="D1373" s="4">
        <v>17.297922477725294</v>
      </c>
      <c r="E1373" s="4">
        <v>18.428526016008846</v>
      </c>
      <c r="F1373" s="4">
        <v>19.941972378088806</v>
      </c>
      <c r="G1373" s="4">
        <v>21.865744888518122</v>
      </c>
      <c r="H1373" s="4">
        <v>24.156188061683082</v>
      </c>
      <c r="I1373" s="4">
        <v>26.772048847355762</v>
      </c>
      <c r="J1373" s="4">
        <v>29.566502296651123</v>
      </c>
      <c r="K1373" s="4">
        <v>32.455971969458744</v>
      </c>
      <c r="L1373" s="4">
        <v>35.273413607921213</v>
      </c>
      <c r="M1373" s="4">
        <v>38.000891217275438</v>
      </c>
      <c r="N1373" s="4">
        <v>40.750982370019074</v>
      </c>
      <c r="O1373"/>
      <c r="P1373"/>
      <c r="Q1373" s="11"/>
    </row>
    <row r="1374" spans="1:17" x14ac:dyDescent="0.35">
      <c r="A1374" s="3" t="s">
        <v>97</v>
      </c>
      <c r="B1374" s="4">
        <v>7.0445299060863835</v>
      </c>
      <c r="C1374" s="4">
        <v>7.53535560861022</v>
      </c>
      <c r="D1374" s="4">
        <v>8.0697986527844705</v>
      </c>
      <c r="E1374" s="4">
        <v>8.6360945753136615</v>
      </c>
      <c r="F1374" s="4">
        <v>9.2248579708165739</v>
      </c>
      <c r="G1374" s="4">
        <v>9.8491477214640035</v>
      </c>
      <c r="H1374" s="4">
        <v>10.52061068481261</v>
      </c>
      <c r="I1374" s="4">
        <v>11.269412284858998</v>
      </c>
      <c r="J1374" s="4">
        <v>12.108135224767201</v>
      </c>
      <c r="K1374" s="4">
        <v>13.018360992457954</v>
      </c>
      <c r="L1374" s="4">
        <v>14.006776505065645</v>
      </c>
      <c r="M1374" s="4">
        <v>15.056230419753309</v>
      </c>
      <c r="N1374" s="4">
        <v>16.161730037534898</v>
      </c>
      <c r="O1374"/>
      <c r="P1374"/>
      <c r="Q1374" s="11"/>
    </row>
    <row r="1375" spans="1:17" x14ac:dyDescent="0.35">
      <c r="A1375" s="3" t="s">
        <v>98</v>
      </c>
      <c r="B1375" s="4">
        <v>33.970549646217385</v>
      </c>
      <c r="C1375" s="4">
        <v>36.604934706319384</v>
      </c>
      <c r="D1375" s="4">
        <v>39.508322303213511</v>
      </c>
      <c r="E1375" s="4">
        <v>42.658477976808264</v>
      </c>
      <c r="F1375" s="4">
        <v>45.988630178041447</v>
      </c>
      <c r="G1375" s="4">
        <v>49.55426134428464</v>
      </c>
      <c r="H1375" s="4">
        <v>53.401200040699358</v>
      </c>
      <c r="I1375" s="4">
        <v>57.623706197598317</v>
      </c>
      <c r="J1375" s="4">
        <v>62.26773996774854</v>
      </c>
      <c r="K1375" s="4">
        <v>67.359868789844469</v>
      </c>
      <c r="L1375" s="4">
        <v>72.841872189606519</v>
      </c>
      <c r="M1375" s="4">
        <v>78.654817548234661</v>
      </c>
      <c r="N1375" s="4">
        <v>84.868763539883247</v>
      </c>
      <c r="O1375"/>
      <c r="P1375"/>
      <c r="Q1375" s="11"/>
    </row>
    <row r="1376" spans="1:17" x14ac:dyDescent="0.35">
      <c r="A1376" s="3" t="s">
        <v>99</v>
      </c>
      <c r="B1376" s="4">
        <v>18.404143110780062</v>
      </c>
      <c r="C1376" s="4">
        <v>19.419157965085219</v>
      </c>
      <c r="D1376" s="4">
        <v>20.416802843258381</v>
      </c>
      <c r="E1376" s="4">
        <v>21.429939294483834</v>
      </c>
      <c r="F1376" s="4">
        <v>22.519506222875755</v>
      </c>
      <c r="G1376" s="4">
        <v>23.741329591504975</v>
      </c>
      <c r="H1376" s="4">
        <v>25.132576336101518</v>
      </c>
      <c r="I1376" s="4">
        <v>26.660268049005257</v>
      </c>
      <c r="J1376" s="4">
        <v>28.26189531405009</v>
      </c>
      <c r="K1376" s="4">
        <v>29.931355070163765</v>
      </c>
      <c r="L1376" s="4">
        <v>31.69663066576193</v>
      </c>
      <c r="M1376" s="4">
        <v>33.588924600666196</v>
      </c>
      <c r="N1376" s="4">
        <v>35.582335621374611</v>
      </c>
      <c r="O1376"/>
      <c r="P1376"/>
      <c r="Q1376" s="11"/>
    </row>
    <row r="1377" spans="1:17" x14ac:dyDescent="0.35">
      <c r="A1377" s="3" t="s">
        <v>100</v>
      </c>
      <c r="B1377" s="4">
        <v>9.0754259548231104</v>
      </c>
      <c r="C1377" s="4">
        <v>9.6534333054005366</v>
      </c>
      <c r="D1377" s="4">
        <v>10.285318387998185</v>
      </c>
      <c r="E1377" s="4">
        <v>10.962855224746052</v>
      </c>
      <c r="F1377" s="4">
        <v>11.666732139562118</v>
      </c>
      <c r="G1377" s="4">
        <v>12.409588907497083</v>
      </c>
      <c r="H1377" s="4">
        <v>13.200961177973088</v>
      </c>
      <c r="I1377" s="4">
        <v>14.061816544532112</v>
      </c>
      <c r="J1377" s="4">
        <v>15.000198296275148</v>
      </c>
      <c r="K1377" s="4">
        <v>16.018984108585677</v>
      </c>
      <c r="L1377" s="4">
        <v>17.10065022475121</v>
      </c>
      <c r="M1377" s="4">
        <v>18.228308928474458</v>
      </c>
      <c r="N1377" s="4">
        <v>19.415754448918332</v>
      </c>
      <c r="O1377"/>
      <c r="P1377"/>
      <c r="Q1377" s="11"/>
    </row>
    <row r="1378" spans="1:17" x14ac:dyDescent="0.35">
      <c r="A1378" s="1" t="s">
        <v>45</v>
      </c>
      <c r="O1378"/>
      <c r="P1378"/>
      <c r="Q1378" s="11"/>
    </row>
    <row r="1379" spans="1:17" x14ac:dyDescent="0.35">
      <c r="A1379" s="2" t="s">
        <v>54</v>
      </c>
      <c r="O1379"/>
      <c r="P1379"/>
      <c r="Q1379" s="11"/>
    </row>
    <row r="1380" spans="1:17" x14ac:dyDescent="0.35">
      <c r="A1380" s="3" t="s">
        <v>55</v>
      </c>
      <c r="B1380" s="4">
        <v>4.8754852203552961</v>
      </c>
      <c r="C1380" s="4">
        <v>5.2957846561452548</v>
      </c>
      <c r="D1380" s="4">
        <v>5.7532875820727991</v>
      </c>
      <c r="E1380" s="4">
        <v>6.2660484833559602</v>
      </c>
      <c r="F1380" s="4">
        <v>6.8369436529205876</v>
      </c>
      <c r="G1380" s="4">
        <v>7.4684096546374352</v>
      </c>
      <c r="H1380" s="4">
        <v>8.1597028934878644</v>
      </c>
      <c r="I1380" s="4">
        <v>8.9081837139750721</v>
      </c>
      <c r="J1380" s="4">
        <v>9.7166396522864886</v>
      </c>
      <c r="K1380" s="4">
        <v>10.611263594097338</v>
      </c>
      <c r="L1380" s="4">
        <v>11.603229510836094</v>
      </c>
      <c r="M1380" s="4">
        <v>12.689245202473893</v>
      </c>
      <c r="N1380" s="4">
        <v>13.866499695079032</v>
      </c>
      <c r="O1380"/>
      <c r="P1380"/>
      <c r="Q1380" s="11"/>
    </row>
    <row r="1381" spans="1:17" x14ac:dyDescent="0.35">
      <c r="A1381" s="3" t="s">
        <v>56</v>
      </c>
      <c r="B1381" s="4">
        <v>15.575575453154329</v>
      </c>
      <c r="C1381" s="4">
        <v>16.560473815432569</v>
      </c>
      <c r="D1381" s="4">
        <v>17.640771709329524</v>
      </c>
      <c r="E1381" s="4">
        <v>18.78566097334593</v>
      </c>
      <c r="F1381" s="4">
        <v>19.979806209020364</v>
      </c>
      <c r="G1381" s="4">
        <v>21.19658000888559</v>
      </c>
      <c r="H1381" s="4">
        <v>22.4945210791786</v>
      </c>
      <c r="I1381" s="4">
        <v>23.916928683812536</v>
      </c>
      <c r="J1381" s="4">
        <v>25.509003214674589</v>
      </c>
      <c r="K1381" s="4">
        <v>27.275081135714874</v>
      </c>
      <c r="L1381" s="4">
        <v>29.172522530235852</v>
      </c>
      <c r="M1381" s="4">
        <v>31.163066243111523</v>
      </c>
      <c r="N1381" s="4">
        <v>33.248752896343234</v>
      </c>
      <c r="O1381"/>
      <c r="P1381"/>
      <c r="Q1381" s="11"/>
    </row>
    <row r="1382" spans="1:17" x14ac:dyDescent="0.35">
      <c r="A1382" s="3" t="s">
        <v>57</v>
      </c>
      <c r="B1382" s="4">
        <v>32.713647373057213</v>
      </c>
      <c r="C1382" s="4">
        <v>34.416966322233826</v>
      </c>
      <c r="D1382" s="4">
        <v>36.078974088188978</v>
      </c>
      <c r="E1382" s="4">
        <v>37.758045546422515</v>
      </c>
      <c r="F1382" s="4">
        <v>39.561343855734663</v>
      </c>
      <c r="G1382" s="4">
        <v>41.585789818813517</v>
      </c>
      <c r="H1382" s="4">
        <v>43.894479216504557</v>
      </c>
      <c r="I1382" s="4">
        <v>46.427253102872406</v>
      </c>
      <c r="J1382" s="4">
        <v>49.073213714307165</v>
      </c>
      <c r="K1382" s="4">
        <v>51.820683044071536</v>
      </c>
      <c r="L1382" s="4">
        <v>54.717126106613932</v>
      </c>
      <c r="M1382" s="4">
        <v>57.815005259096495</v>
      </c>
      <c r="N1382" s="4">
        <v>61.067872463976173</v>
      </c>
      <c r="O1382"/>
      <c r="P1382"/>
      <c r="Q1382" s="11"/>
    </row>
    <row r="1383" spans="1:17" x14ac:dyDescent="0.35">
      <c r="A1383" s="2" t="s">
        <v>47</v>
      </c>
      <c r="O1383"/>
      <c r="P1383"/>
      <c r="Q1383" s="11"/>
    </row>
    <row r="1384" spans="1:17" x14ac:dyDescent="0.35">
      <c r="A1384" s="3" t="s">
        <v>82</v>
      </c>
      <c r="B1384" s="4">
        <v>20.451060673509623</v>
      </c>
      <c r="C1384" s="4">
        <v>21.856258471577824</v>
      </c>
      <c r="D1384" s="4">
        <v>23.394059291402321</v>
      </c>
      <c r="E1384" s="4">
        <v>25.051709456701889</v>
      </c>
      <c r="F1384" s="4">
        <v>26.816749861940952</v>
      </c>
      <c r="G1384" s="4">
        <v>28.664989663523023</v>
      </c>
      <c r="H1384" s="4">
        <v>30.654223972666465</v>
      </c>
      <c r="I1384" s="4">
        <v>32.825112397787606</v>
      </c>
      <c r="J1384" s="4">
        <v>35.225642866961081</v>
      </c>
      <c r="K1384" s="4">
        <v>37.886344729812208</v>
      </c>
      <c r="L1384" s="4">
        <v>40.775752041071947</v>
      </c>
      <c r="M1384" s="4">
        <v>43.852311445585414</v>
      </c>
      <c r="N1384" s="4">
        <v>47.115252591422262</v>
      </c>
      <c r="O1384"/>
      <c r="P1384"/>
      <c r="Q1384" s="11"/>
    </row>
    <row r="1385" spans="1:17" x14ac:dyDescent="0.35">
      <c r="A1385" s="3" t="s">
        <v>83</v>
      </c>
      <c r="B1385" s="4">
        <v>32.713647373057213</v>
      </c>
      <c r="C1385" s="4">
        <v>34.416966322233826</v>
      </c>
      <c r="D1385" s="4">
        <v>36.078974088188978</v>
      </c>
      <c r="E1385" s="4">
        <v>37.758045546422515</v>
      </c>
      <c r="F1385" s="4">
        <v>39.561343855734663</v>
      </c>
      <c r="G1385" s="4">
        <v>41.585789818813517</v>
      </c>
      <c r="H1385" s="4">
        <v>43.894479216504557</v>
      </c>
      <c r="I1385" s="4">
        <v>46.427253102872406</v>
      </c>
      <c r="J1385" s="4">
        <v>49.073213714307165</v>
      </c>
      <c r="K1385" s="4">
        <v>51.820683044071536</v>
      </c>
      <c r="L1385" s="4">
        <v>54.717126106613932</v>
      </c>
      <c r="M1385" s="4">
        <v>57.815005259096495</v>
      </c>
      <c r="N1385" s="4">
        <v>61.067872463976173</v>
      </c>
      <c r="O1385"/>
      <c r="P1385"/>
      <c r="Q1385" s="11"/>
    </row>
    <row r="1386" spans="1:17" x14ac:dyDescent="0.35">
      <c r="A1386" s="2" t="s">
        <v>59</v>
      </c>
      <c r="O1386"/>
      <c r="P1386"/>
      <c r="Q1386" s="11"/>
    </row>
    <row r="1387" spans="1:17" x14ac:dyDescent="0.35">
      <c r="A1387" s="3" t="s">
        <v>60</v>
      </c>
      <c r="O1387"/>
      <c r="P1387"/>
      <c r="Q1387" s="11"/>
    </row>
    <row r="1388" spans="1:17" x14ac:dyDescent="0.35">
      <c r="A1388" s="34" t="s">
        <v>61</v>
      </c>
      <c r="B1388" s="4">
        <v>11.201638140067317</v>
      </c>
      <c r="C1388" s="4">
        <v>11.94639167151842</v>
      </c>
      <c r="D1388" s="4">
        <v>12.614864259346959</v>
      </c>
      <c r="E1388" s="4">
        <v>13.223693303800381</v>
      </c>
      <c r="F1388" s="4">
        <v>13.883642081989031</v>
      </c>
      <c r="G1388" s="4">
        <v>14.630372647098746</v>
      </c>
      <c r="H1388" s="4">
        <v>15.552303314557896</v>
      </c>
      <c r="I1388" s="4">
        <v>16.607813438854301</v>
      </c>
      <c r="J1388" s="4">
        <v>17.732262110951204</v>
      </c>
      <c r="K1388" s="4">
        <v>18.90038498646738</v>
      </c>
      <c r="L1388" s="4">
        <v>20.145234689442489</v>
      </c>
      <c r="M1388" s="4">
        <v>21.515741784665551</v>
      </c>
      <c r="N1388" s="4">
        <v>22.96405068003633</v>
      </c>
      <c r="O1388"/>
      <c r="P1388"/>
      <c r="Q1388" s="11"/>
    </row>
    <row r="1389" spans="1:17" x14ac:dyDescent="0.35">
      <c r="A1389" s="43" t="s">
        <v>62</v>
      </c>
      <c r="B1389" s="4">
        <v>1.9567555816246174</v>
      </c>
      <c r="C1389" s="4">
        <v>2.1198672095700442</v>
      </c>
      <c r="D1389" s="4">
        <v>2.300108641637912</v>
      </c>
      <c r="E1389" s="4">
        <v>2.4995085922819857</v>
      </c>
      <c r="F1389" s="4">
        <v>2.7211938480698503</v>
      </c>
      <c r="G1389" s="4">
        <v>2.9697972265853285</v>
      </c>
      <c r="H1389" s="4">
        <v>3.2480420897504656</v>
      </c>
      <c r="I1389" s="4">
        <v>3.558852225652736</v>
      </c>
      <c r="J1389" s="4">
        <v>3.9005905448760583</v>
      </c>
      <c r="K1389" s="4">
        <v>4.2725438477831146</v>
      </c>
      <c r="L1389" s="4">
        <v>4.6714208613603319</v>
      </c>
      <c r="M1389" s="4">
        <v>5.0966363339194443</v>
      </c>
      <c r="N1389" s="4">
        <v>5.5525651196921597</v>
      </c>
      <c r="O1389"/>
      <c r="P1389"/>
      <c r="Q1389" s="11"/>
    </row>
    <row r="1390" spans="1:17" x14ac:dyDescent="0.35">
      <c r="A1390" s="43" t="s">
        <v>63</v>
      </c>
      <c r="B1390" s="4">
        <v>4.207962304758694</v>
      </c>
      <c r="C1390" s="4">
        <v>4.4535314209002514</v>
      </c>
      <c r="D1390" s="4">
        <v>4.7208540616086463</v>
      </c>
      <c r="E1390" s="4">
        <v>5.0120907989438797</v>
      </c>
      <c r="F1390" s="4">
        <v>5.331318559483786</v>
      </c>
      <c r="G1390" s="4">
        <v>5.6850952758535467</v>
      </c>
      <c r="H1390" s="4">
        <v>6.0756132015055098</v>
      </c>
      <c r="I1390" s="4">
        <v>6.5051076296298662</v>
      </c>
      <c r="J1390" s="4">
        <v>6.9671320477045633</v>
      </c>
      <c r="K1390" s="4">
        <v>7.4573269349096716</v>
      </c>
      <c r="L1390" s="4">
        <v>7.9670963993657056</v>
      </c>
      <c r="M1390" s="4">
        <v>8.493122896484417</v>
      </c>
      <c r="N1390" s="4">
        <v>9.0405624346906439</v>
      </c>
      <c r="O1390"/>
      <c r="P1390"/>
      <c r="Q1390" s="11"/>
    </row>
    <row r="1391" spans="1:17" x14ac:dyDescent="0.35">
      <c r="A1391" s="43" t="s">
        <v>64</v>
      </c>
      <c r="B1391" s="4">
        <v>5.0369202536840056</v>
      </c>
      <c r="C1391" s="4">
        <v>5.3729930410481241</v>
      </c>
      <c r="D1391" s="4">
        <v>5.5939015561004002</v>
      </c>
      <c r="E1391" s="4">
        <v>5.7120939125745158</v>
      </c>
      <c r="F1391" s="4">
        <v>5.8311296744353953</v>
      </c>
      <c r="G1391" s="4">
        <v>5.9754801446598709</v>
      </c>
      <c r="H1391" s="4">
        <v>6.2286480233019219</v>
      </c>
      <c r="I1391" s="4">
        <v>6.543853583571698</v>
      </c>
      <c r="J1391" s="4">
        <v>6.8645395183705826</v>
      </c>
      <c r="K1391" s="4">
        <v>7.1705142037745944</v>
      </c>
      <c r="L1391" s="4">
        <v>7.5067174287164526</v>
      </c>
      <c r="M1391" s="4">
        <v>7.9259825542616902</v>
      </c>
      <c r="N1391" s="4">
        <v>8.3709231256535261</v>
      </c>
      <c r="O1391"/>
      <c r="P1391"/>
      <c r="Q1391" s="11"/>
    </row>
    <row r="1392" spans="1:17" x14ac:dyDescent="0.35">
      <c r="A1392" s="34" t="s">
        <v>65</v>
      </c>
      <c r="B1392" s="4">
        <v>9.60334885415201</v>
      </c>
      <c r="C1392" s="4">
        <v>10.124765861160183</v>
      </c>
      <c r="D1392" s="4">
        <v>10.676349534138168</v>
      </c>
      <c r="E1392" s="4">
        <v>11.287180796225238</v>
      </c>
      <c r="F1392" s="4">
        <v>11.955358459490554</v>
      </c>
      <c r="G1392" s="4">
        <v>12.678053943892463</v>
      </c>
      <c r="H1392" s="4">
        <v>13.446989975782689</v>
      </c>
      <c r="I1392" s="4">
        <v>14.251356284582126</v>
      </c>
      <c r="J1392" s="4">
        <v>15.089947963745937</v>
      </c>
      <c r="K1392" s="4">
        <v>15.997758830633581</v>
      </c>
      <c r="L1392" s="4">
        <v>16.982756812706093</v>
      </c>
      <c r="M1392" s="4">
        <v>18.030331838948523</v>
      </c>
      <c r="N1392" s="4">
        <v>19.127737394820592</v>
      </c>
      <c r="O1392"/>
      <c r="P1392"/>
      <c r="Q1392" s="11"/>
    </row>
    <row r="1393" spans="1:17" x14ac:dyDescent="0.35">
      <c r="A1393" s="34" t="s">
        <v>66</v>
      </c>
      <c r="B1393" s="4">
        <v>6.1896568947963004</v>
      </c>
      <c r="C1393" s="4">
        <v>6.4808957711022703</v>
      </c>
      <c r="D1393" s="4">
        <v>6.7926276766208309</v>
      </c>
      <c r="E1393" s="4">
        <v>7.1289768153939468</v>
      </c>
      <c r="F1393" s="4">
        <v>7.4927592188512238</v>
      </c>
      <c r="G1393" s="4">
        <v>7.8870576995798238</v>
      </c>
      <c r="H1393" s="4">
        <v>8.3141240919149801</v>
      </c>
      <c r="I1393" s="4">
        <v>8.770115257865406</v>
      </c>
      <c r="J1393" s="4">
        <v>9.2509692569133009</v>
      </c>
      <c r="K1393" s="4">
        <v>9.753936813920884</v>
      </c>
      <c r="L1393" s="4">
        <v>10.276168468181321</v>
      </c>
      <c r="M1393" s="4">
        <v>10.820855629631188</v>
      </c>
      <c r="N1393" s="4">
        <v>11.383917775552574</v>
      </c>
      <c r="O1393"/>
      <c r="P1393"/>
      <c r="Q1393" s="11"/>
    </row>
    <row r="1394" spans="1:17" x14ac:dyDescent="0.35">
      <c r="A1394" s="34" t="s">
        <v>67</v>
      </c>
      <c r="B1394" s="4">
        <v>3.9330691961668003</v>
      </c>
      <c r="C1394" s="4">
        <v>4.0974714978375877</v>
      </c>
      <c r="D1394" s="4">
        <v>4.2532689615976196</v>
      </c>
      <c r="E1394" s="4">
        <v>4.407540338551347</v>
      </c>
      <c r="F1394" s="4">
        <v>4.5727868762106736</v>
      </c>
      <c r="G1394" s="4">
        <v>4.7598357801888183</v>
      </c>
      <c r="H1394" s="4">
        <v>4.9752125110246412</v>
      </c>
      <c r="I1394" s="4">
        <v>5.2112061974219426</v>
      </c>
      <c r="J1394" s="4">
        <v>5.4546946343852536</v>
      </c>
      <c r="K1394" s="4">
        <v>5.7040811856650055</v>
      </c>
      <c r="L1394" s="4">
        <v>5.9643358218481008</v>
      </c>
      <c r="M1394" s="4">
        <v>6.2407752147313147</v>
      </c>
      <c r="N1394" s="4">
        <v>6.5278249209031998</v>
      </c>
      <c r="O1394"/>
      <c r="P1394"/>
      <c r="Q1394" s="11"/>
    </row>
    <row r="1395" spans="1:17" x14ac:dyDescent="0.35">
      <c r="A1395" s="34" t="s">
        <v>68</v>
      </c>
      <c r="B1395" s="4">
        <v>6.5225719229961632</v>
      </c>
      <c r="C1395" s="4">
        <v>6.9921791537020512</v>
      </c>
      <c r="D1395" s="4">
        <v>7.5079572396519962</v>
      </c>
      <c r="E1395" s="4">
        <v>8.0649135756805599</v>
      </c>
      <c r="F1395" s="4">
        <v>8.6497293923503094</v>
      </c>
      <c r="G1395" s="4">
        <v>9.2723459758336126</v>
      </c>
      <c r="H1395" s="4">
        <v>9.9406873832648373</v>
      </c>
      <c r="I1395" s="4">
        <v>10.671522096180166</v>
      </c>
      <c r="J1395" s="4">
        <v>11.472319304023646</v>
      </c>
      <c r="K1395" s="4">
        <v>12.346809738025947</v>
      </c>
      <c r="L1395" s="4">
        <v>13.283092795299712</v>
      </c>
      <c r="M1395" s="4">
        <v>14.269367930630121</v>
      </c>
      <c r="N1395" s="4">
        <v>15.317465868206275</v>
      </c>
      <c r="O1395"/>
      <c r="P1395"/>
      <c r="Q1395" s="11"/>
    </row>
    <row r="1396" spans="1:17" x14ac:dyDescent="0.35">
      <c r="A1396" s="34" t="s">
        <v>69</v>
      </c>
      <c r="B1396" s="4">
        <v>7.3405710486069378</v>
      </c>
      <c r="C1396" s="4">
        <v>7.615330054287182</v>
      </c>
      <c r="D1396" s="4">
        <v>7.9138353451405692</v>
      </c>
      <c r="E1396" s="4">
        <v>8.2273426188967527</v>
      </c>
      <c r="F1396" s="4">
        <v>8.5395417567789682</v>
      </c>
      <c r="G1396" s="4">
        <v>8.8590401231203408</v>
      </c>
      <c r="H1396" s="4">
        <v>9.1913599460248303</v>
      </c>
      <c r="I1396" s="4">
        <v>9.5493862244390382</v>
      </c>
      <c r="J1396" s="4">
        <v>9.9358835622912185</v>
      </c>
      <c r="K1396" s="4">
        <v>10.349803237488125</v>
      </c>
      <c r="L1396" s="4">
        <v>10.776887132278315</v>
      </c>
      <c r="M1396" s="4">
        <v>11.204550227592748</v>
      </c>
      <c r="N1396" s="4">
        <v>11.640226256362572</v>
      </c>
      <c r="O1396"/>
      <c r="P1396"/>
      <c r="Q1396" s="11"/>
    </row>
    <row r="1397" spans="1:17" x14ac:dyDescent="0.35">
      <c r="A1397" s="3" t="s">
        <v>70</v>
      </c>
      <c r="O1397"/>
      <c r="P1397"/>
      <c r="Q1397" s="11"/>
    </row>
    <row r="1398" spans="1:17" x14ac:dyDescent="0.35">
      <c r="A1398" s="34" t="s">
        <v>71</v>
      </c>
      <c r="B1398" s="4">
        <v>1.1014369822384209</v>
      </c>
      <c r="C1398" s="4">
        <v>1.20710374107595</v>
      </c>
      <c r="D1398" s="4">
        <v>1.3250415369882127</v>
      </c>
      <c r="E1398" s="4">
        <v>1.4550549527281487</v>
      </c>
      <c r="F1398" s="4">
        <v>1.5953974825043333</v>
      </c>
      <c r="G1398" s="4">
        <v>1.7484266756062647</v>
      </c>
      <c r="H1398" s="4">
        <v>1.9163055601007666</v>
      </c>
      <c r="I1398" s="4">
        <v>2.1030641994625565</v>
      </c>
      <c r="J1398" s="4">
        <v>2.3112227527721005</v>
      </c>
      <c r="K1398" s="4">
        <v>2.542724624616115</v>
      </c>
      <c r="L1398" s="4">
        <v>2.7964125117535841</v>
      </c>
      <c r="M1398" s="4">
        <v>3.0709881463138857</v>
      </c>
      <c r="N1398" s="4">
        <v>3.3700686662116732</v>
      </c>
      <c r="O1398"/>
      <c r="P1398"/>
      <c r="Q1398" s="11"/>
    </row>
    <row r="1399" spans="1:17" x14ac:dyDescent="0.35">
      <c r="A1399" s="34" t="s">
        <v>72</v>
      </c>
      <c r="B1399" s="4">
        <v>0.83668396953344326</v>
      </c>
      <c r="C1399" s="4">
        <v>0.9262403189645374</v>
      </c>
      <c r="D1399" s="4">
        <v>1.0272350142054445</v>
      </c>
      <c r="E1399" s="4">
        <v>1.1388994813929187</v>
      </c>
      <c r="F1399" s="4">
        <v>1.2611837806358368</v>
      </c>
      <c r="G1399" s="4">
        <v>1.3932346594114582</v>
      </c>
      <c r="H1399" s="4">
        <v>1.5395761936652872</v>
      </c>
      <c r="I1399" s="4">
        <v>1.7043681923127181</v>
      </c>
      <c r="J1399" s="4">
        <v>1.8924803002731476</v>
      </c>
      <c r="K1399" s="4">
        <v>2.1064010650535563</v>
      </c>
      <c r="L1399" s="4">
        <v>2.345204978034134</v>
      </c>
      <c r="M1399" s="4">
        <v>2.6079552894508931</v>
      </c>
      <c r="N1399" s="4">
        <v>2.8967391162607359</v>
      </c>
      <c r="O1399"/>
      <c r="P1399"/>
      <c r="Q1399" s="11"/>
    </row>
    <row r="1400" spans="1:17" x14ac:dyDescent="0.35">
      <c r="A1400" s="34" t="s">
        <v>73</v>
      </c>
      <c r="B1400" s="4">
        <v>0.85859550928276707</v>
      </c>
      <c r="C1400" s="4">
        <v>0.91841419849398021</v>
      </c>
      <c r="D1400" s="4">
        <v>0.98402400645423604</v>
      </c>
      <c r="E1400" s="4">
        <v>1.0547313346925453</v>
      </c>
      <c r="F1400" s="4">
        <v>1.1287594836690737</v>
      </c>
      <c r="G1400" s="4">
        <v>1.2073823172672591</v>
      </c>
      <c r="H1400" s="4">
        <v>1.2915998246571223</v>
      </c>
      <c r="I1400" s="4">
        <v>1.3835522810410084</v>
      </c>
      <c r="J1400" s="4">
        <v>1.4841555249321474</v>
      </c>
      <c r="K1400" s="4">
        <v>1.5938335373728585</v>
      </c>
      <c r="L1400" s="4">
        <v>1.7109884787445531</v>
      </c>
      <c r="M1400" s="4">
        <v>1.8340488637013403</v>
      </c>
      <c r="N1400" s="4">
        <v>1.9644938452662264</v>
      </c>
      <c r="O1400"/>
      <c r="P1400"/>
      <c r="Q1400" s="11"/>
    </row>
    <row r="1401" spans="1:17" x14ac:dyDescent="0.35">
      <c r="A1401" s="34" t="s">
        <v>74</v>
      </c>
      <c r="B1401" s="4">
        <v>0.93990663351285952</v>
      </c>
      <c r="C1401" s="4">
        <v>1.009719426909409</v>
      </c>
      <c r="D1401" s="4">
        <v>1.0849027669818043</v>
      </c>
      <c r="E1401" s="4">
        <v>1.1686512607289552</v>
      </c>
      <c r="F1401" s="4">
        <v>1.2611837806358368</v>
      </c>
      <c r="G1401" s="4">
        <v>1.3626213963399589</v>
      </c>
      <c r="H1401" s="4">
        <v>1.4724921849536172</v>
      </c>
      <c r="I1401" s="4">
        <v>1.5899949244336824</v>
      </c>
      <c r="J1401" s="4">
        <v>1.7153245473396725</v>
      </c>
      <c r="K1401" s="4">
        <v>1.852792284065065</v>
      </c>
      <c r="L1401" s="4">
        <v>2.0038911518737748</v>
      </c>
      <c r="M1401" s="4">
        <v>2.1675401309039608</v>
      </c>
      <c r="N1401" s="4">
        <v>2.3427757539108764</v>
      </c>
      <c r="O1401"/>
      <c r="P1401"/>
      <c r="Q1401" s="11"/>
    </row>
    <row r="1402" spans="1:17" x14ac:dyDescent="0.35">
      <c r="A1402" s="34" t="s">
        <v>75</v>
      </c>
      <c r="B1402" s="4">
        <v>0.76180264329224412</v>
      </c>
      <c r="C1402" s="4">
        <v>0.8272208312611059</v>
      </c>
      <c r="D1402" s="4">
        <v>0.89929069355999069</v>
      </c>
      <c r="E1402" s="4">
        <v>0.97696502189777878</v>
      </c>
      <c r="F1402" s="4">
        <v>1.0593943757341029</v>
      </c>
      <c r="G1402" s="4">
        <v>1.1482488344702284</v>
      </c>
      <c r="H1402" s="4">
        <v>1.2451298970950031</v>
      </c>
      <c r="I1402" s="4">
        <v>1.3539204838090619</v>
      </c>
      <c r="J1402" s="4">
        <v>1.4766166591160819</v>
      </c>
      <c r="K1402" s="4">
        <v>1.6115393778494429</v>
      </c>
      <c r="L1402" s="4">
        <v>1.7599990286809983</v>
      </c>
      <c r="M1402" s="4">
        <v>1.9203752112767101</v>
      </c>
      <c r="N1402" s="4">
        <v>2.0924847709070806</v>
      </c>
      <c r="O1402"/>
      <c r="P1402"/>
      <c r="Q1402" s="11"/>
    </row>
    <row r="1403" spans="1:17" x14ac:dyDescent="0.35">
      <c r="A1403" s="3" t="s">
        <v>76</v>
      </c>
      <c r="O1403"/>
      <c r="P1403"/>
      <c r="Q1403" s="11"/>
    </row>
    <row r="1404" spans="1:17" x14ac:dyDescent="0.35">
      <c r="A1404" s="34" t="s">
        <v>77</v>
      </c>
      <c r="B1404" s="4">
        <v>1.1275777330984436</v>
      </c>
      <c r="C1404" s="4">
        <v>1.2063765486396223</v>
      </c>
      <c r="D1404" s="4">
        <v>1.2861253911392159</v>
      </c>
      <c r="E1404" s="4">
        <v>1.368893364704735</v>
      </c>
      <c r="F1404" s="4">
        <v>1.4586586094459211</v>
      </c>
      <c r="G1404" s="4">
        <v>1.5592886344357968</v>
      </c>
      <c r="H1404" s="4">
        <v>1.6736344476227518</v>
      </c>
      <c r="I1404" s="4">
        <v>1.8000225598083406</v>
      </c>
      <c r="J1404" s="4">
        <v>1.9346773367443524</v>
      </c>
      <c r="K1404" s="4">
        <v>2.0774620994445852</v>
      </c>
      <c r="L1404" s="4">
        <v>2.2305903857092275</v>
      </c>
      <c r="M1404" s="4">
        <v>2.3966176777059265</v>
      </c>
      <c r="N1404" s="4">
        <v>2.5741569719636246</v>
      </c>
      <c r="O1404"/>
      <c r="P1404"/>
      <c r="Q1404" s="11"/>
    </row>
    <row r="1405" spans="1:17" x14ac:dyDescent="0.35">
      <c r="A1405" s="34" t="s">
        <v>78</v>
      </c>
      <c r="B1405" s="4">
        <v>1.0649966878510073</v>
      </c>
      <c r="C1405" s="4">
        <v>1.1246038795508</v>
      </c>
      <c r="D1405" s="4">
        <v>1.1897964558662677</v>
      </c>
      <c r="E1405" s="4">
        <v>1.258371605820126</v>
      </c>
      <c r="F1405" s="4">
        <v>1.3292213266964541</v>
      </c>
      <c r="G1405" s="4">
        <v>1.4005154880528643</v>
      </c>
      <c r="H1405" s="4">
        <v>1.4761004240259579</v>
      </c>
      <c r="I1405" s="4">
        <v>1.5587168320831533</v>
      </c>
      <c r="J1405" s="4">
        <v>1.65115295107166</v>
      </c>
      <c r="K1405" s="4">
        <v>1.7534738561669181</v>
      </c>
      <c r="L1405" s="4">
        <v>1.862720014384752</v>
      </c>
      <c r="M1405" s="4">
        <v>1.9762888767002762</v>
      </c>
      <c r="N1405" s="4">
        <v>2.0942022030620095</v>
      </c>
      <c r="O1405"/>
      <c r="P1405"/>
      <c r="Q1405" s="11"/>
    </row>
    <row r="1406" spans="1:17" x14ac:dyDescent="0.35">
      <c r="A1406" s="34" t="s">
        <v>79</v>
      </c>
      <c r="B1406" s="4">
        <v>0.60724556035254351</v>
      </c>
      <c r="C1406" s="4">
        <v>0.66146975380563289</v>
      </c>
      <c r="D1406" s="4">
        <v>0.72065718074851459</v>
      </c>
      <c r="E1406" s="4">
        <v>0.78711149750150367</v>
      </c>
      <c r="F1406" s="4">
        <v>0.86125576598684095</v>
      </c>
      <c r="G1406" s="4">
        <v>0.9434622013348557</v>
      </c>
      <c r="H1406" s="4">
        <v>1.0337052583754156</v>
      </c>
      <c r="I1406" s="4">
        <v>1.1317186825019085</v>
      </c>
      <c r="J1406" s="4">
        <v>1.2379224890460343</v>
      </c>
      <c r="K1406" s="4">
        <v>1.3557231600749398</v>
      </c>
      <c r="L1406" s="4">
        <v>1.4866466990878888</v>
      </c>
      <c r="M1406" s="4">
        <v>1.6303825812669037</v>
      </c>
      <c r="N1406" s="4">
        <v>1.7866782496891449</v>
      </c>
      <c r="O1406"/>
      <c r="P1406"/>
      <c r="Q1406" s="11"/>
    </row>
    <row r="1407" spans="1:17" x14ac:dyDescent="0.35">
      <c r="A1407" s="34" t="s">
        <v>80</v>
      </c>
      <c r="B1407" s="4">
        <v>0.50529557617998555</v>
      </c>
      <c r="C1407" s="4">
        <v>0.52861808812203637</v>
      </c>
      <c r="D1407" s="4">
        <v>0.55102039662062696</v>
      </c>
      <c r="E1407" s="4">
        <v>0.57340693551077726</v>
      </c>
      <c r="F1407" s="4">
        <v>0.59740284345908046</v>
      </c>
      <c r="G1407" s="4">
        <v>0.62444187453796551</v>
      </c>
      <c r="H1407" s="4">
        <v>0.65541728117076403</v>
      </c>
      <c r="I1407" s="4">
        <v>0.6893613848395671</v>
      </c>
      <c r="J1407" s="4">
        <v>0.72457408972539838</v>
      </c>
      <c r="K1407" s="4">
        <v>0.76085771094696864</v>
      </c>
      <c r="L1407" s="4">
        <v>0.79888706418239452</v>
      </c>
      <c r="M1407" s="4">
        <v>0.83939455672009955</v>
      </c>
      <c r="N1407" s="4">
        <v>0.88165976461451312</v>
      </c>
      <c r="O1407"/>
      <c r="P1407"/>
      <c r="Q1407" s="11"/>
    </row>
    <row r="1408" spans="1:17" x14ac:dyDescent="0.35">
      <c r="A1408" s="34" t="s">
        <v>81</v>
      </c>
      <c r="B1408" s="4">
        <v>0.57031069443958915</v>
      </c>
      <c r="C1408" s="4">
        <v>0.60642399738088515</v>
      </c>
      <c r="D1408" s="4">
        <v>0.64603692053083472</v>
      </c>
      <c r="E1408" s="4">
        <v>0.68802209959869376</v>
      </c>
      <c r="F1408" s="4">
        <v>0.73181848323737353</v>
      </c>
      <c r="G1408" s="4">
        <v>0.77645123116609061</v>
      </c>
      <c r="H1408" s="4">
        <v>0.82406489493446311</v>
      </c>
      <c r="I1408" s="4">
        <v>0.87624646102502823</v>
      </c>
      <c r="J1408" s="4">
        <v>0.93465309793708029</v>
      </c>
      <c r="K1408" s="4">
        <v>0.9994452660923705</v>
      </c>
      <c r="L1408" s="4">
        <v>1.0690621154785263</v>
      </c>
      <c r="M1408" s="4">
        <v>1.1421027444424623</v>
      </c>
      <c r="N1408" s="4">
        <v>1.2186428176310018</v>
      </c>
      <c r="O1408"/>
      <c r="P1408"/>
      <c r="Q1408" s="11"/>
    </row>
    <row r="1409" spans="1:17" x14ac:dyDescent="0.35">
      <c r="A1409" s="2" t="s">
        <v>84</v>
      </c>
      <c r="O1409"/>
      <c r="P1409"/>
      <c r="Q1409" s="11"/>
    </row>
    <row r="1410" spans="1:17" x14ac:dyDescent="0.35">
      <c r="A1410" s="3" t="s">
        <v>85</v>
      </c>
      <c r="B1410" s="4">
        <v>3.3601448113450174</v>
      </c>
      <c r="C1410" s="4">
        <v>3.4845871899668062</v>
      </c>
      <c r="D1410" s="4">
        <v>3.6142770941388118</v>
      </c>
      <c r="E1410" s="4">
        <v>3.7586782671878933</v>
      </c>
      <c r="F1410" s="4">
        <v>3.9163075293428609</v>
      </c>
      <c r="G1410" s="4">
        <v>4.0854489291077352</v>
      </c>
      <c r="H1410" s="4">
        <v>4.2627183806147233</v>
      </c>
      <c r="I1410" s="4">
        <v>4.4441271772117172</v>
      </c>
      <c r="J1410" s="4">
        <v>4.6289247985432933</v>
      </c>
      <c r="K1410" s="4">
        <v>4.8275032104733917</v>
      </c>
      <c r="L1410" s="4">
        <v>5.0414122583774734</v>
      </c>
      <c r="M1410" s="4">
        <v>5.2653725727302065</v>
      </c>
      <c r="N1410" s="4">
        <v>5.4949633907989242</v>
      </c>
      <c r="O1410"/>
      <c r="P1410"/>
      <c r="Q1410" s="11"/>
    </row>
    <row r="1411" spans="1:17" x14ac:dyDescent="0.35">
      <c r="A1411" s="3" t="s">
        <v>86</v>
      </c>
      <c r="B1411" s="4">
        <v>10.099086310629129</v>
      </c>
      <c r="C1411" s="4">
        <v>10.51371219819363</v>
      </c>
      <c r="D1411" s="4">
        <v>10.956375241035079</v>
      </c>
      <c r="E1411" s="4">
        <v>11.433197435159668</v>
      </c>
      <c r="F1411" s="4">
        <v>11.94805686918161</v>
      </c>
      <c r="G1411" s="4">
        <v>12.505161434628693</v>
      </c>
      <c r="H1411" s="4">
        <v>13.107297716138097</v>
      </c>
      <c r="I1411" s="4">
        <v>13.747571374483288</v>
      </c>
      <c r="J1411" s="4">
        <v>14.418892403629279</v>
      </c>
      <c r="K1411" s="4">
        <v>15.116369538532886</v>
      </c>
      <c r="L1411" s="4">
        <v>15.835060358547667</v>
      </c>
      <c r="M1411" s="4">
        <v>16.579437458745744</v>
      </c>
      <c r="N1411" s="4">
        <v>17.342724507457504</v>
      </c>
      <c r="O1411"/>
      <c r="P1411"/>
      <c r="Q1411" s="11"/>
    </row>
    <row r="1412" spans="1:17" x14ac:dyDescent="0.35">
      <c r="A1412" s="3" t="s">
        <v>87</v>
      </c>
      <c r="B1412" s="4">
        <v>17.825127116138596</v>
      </c>
      <c r="C1412" s="4">
        <v>19.113497246289732</v>
      </c>
      <c r="D1412" s="4">
        <v>20.416369284422252</v>
      </c>
      <c r="E1412" s="4">
        <v>21.747211241527417</v>
      </c>
      <c r="F1412" s="4">
        <v>23.165954707468785</v>
      </c>
      <c r="G1412" s="4">
        <v>24.717306372688213</v>
      </c>
      <c r="H1412" s="4">
        <v>26.47422678892022</v>
      </c>
      <c r="I1412" s="4">
        <v>28.43402364479946</v>
      </c>
      <c r="J1412" s="4">
        <v>30.564929033841047</v>
      </c>
      <c r="K1412" s="4">
        <v>32.871453738073427</v>
      </c>
      <c r="L1412" s="4">
        <v>35.368771416486155</v>
      </c>
      <c r="M1412" s="4">
        <v>38.066644992355847</v>
      </c>
      <c r="N1412" s="4">
        <v>40.949193434403057</v>
      </c>
      <c r="O1412"/>
      <c r="P1412"/>
      <c r="Q1412" s="11"/>
    </row>
    <row r="1413" spans="1:17" x14ac:dyDescent="0.35">
      <c r="A1413" s="3" t="s">
        <v>88</v>
      </c>
      <c r="B1413" s="4">
        <v>11.764431615768592</v>
      </c>
      <c r="C1413" s="4">
        <v>12.513796361363589</v>
      </c>
      <c r="D1413" s="4">
        <v>13.263626998187327</v>
      </c>
      <c r="E1413" s="4">
        <v>14.035155399946602</v>
      </c>
      <c r="F1413" s="4">
        <v>14.868692992759337</v>
      </c>
      <c r="G1413" s="4">
        <v>15.802480809072327</v>
      </c>
      <c r="H1413" s="4">
        <v>16.863558284919971</v>
      </c>
      <c r="I1413" s="4">
        <v>18.032731996270503</v>
      </c>
      <c r="J1413" s="4">
        <v>19.270164995619076</v>
      </c>
      <c r="K1413" s="4">
        <v>20.573157732657197</v>
      </c>
      <c r="L1413" s="4">
        <v>21.962329882664328</v>
      </c>
      <c r="M1413" s="4">
        <v>23.461175799452448</v>
      </c>
      <c r="N1413" s="4">
        <v>25.054033085561386</v>
      </c>
      <c r="O1413"/>
      <c r="P1413"/>
      <c r="Q1413" s="11"/>
    </row>
    <row r="1414" spans="1:17" x14ac:dyDescent="0.35">
      <c r="A1414" s="3" t="s">
        <v>89</v>
      </c>
      <c r="B1414" s="4">
        <v>3.248607854234673</v>
      </c>
      <c r="C1414" s="4">
        <v>3.4260143237587704</v>
      </c>
      <c r="D1414" s="4">
        <v>3.6137370459241689</v>
      </c>
      <c r="E1414" s="4">
        <v>3.8216286935892896</v>
      </c>
      <c r="F1414" s="4">
        <v>4.0490637167782122</v>
      </c>
      <c r="G1414" s="4">
        <v>4.2951017157095066</v>
      </c>
      <c r="H1414" s="4">
        <v>4.5569552477642583</v>
      </c>
      <c r="I1414" s="4">
        <v>4.8309751763179509</v>
      </c>
      <c r="J1414" s="4">
        <v>5.1167640997218884</v>
      </c>
      <c r="K1414" s="4">
        <v>5.426198568779955</v>
      </c>
      <c r="L1414" s="4">
        <v>5.7620024779241854</v>
      </c>
      <c r="M1414" s="4">
        <v>6.1192425664910086</v>
      </c>
      <c r="N1414" s="4">
        <v>6.4936121950248795</v>
      </c>
      <c r="O1414"/>
      <c r="P1414"/>
      <c r="Q1414" s="11"/>
    </row>
    <row r="1415" spans="1:17" x14ac:dyDescent="0.35">
      <c r="A1415" s="3" t="s">
        <v>90</v>
      </c>
      <c r="B1415" s="4">
        <v>6.8673103384508272</v>
      </c>
      <c r="C1415" s="4">
        <v>7.2216174742391201</v>
      </c>
      <c r="D1415" s="4">
        <v>7.6086477158836656</v>
      </c>
      <c r="E1415" s="4">
        <v>8.0138839657135392</v>
      </c>
      <c r="F1415" s="4">
        <v>8.4300179021448027</v>
      </c>
      <c r="G1415" s="4">
        <v>8.8452802211300696</v>
      </c>
      <c r="H1415" s="4">
        <v>9.2839467708137526</v>
      </c>
      <c r="I1415" s="4">
        <v>9.7629361315770851</v>
      </c>
      <c r="J1415" s="4">
        <v>10.299181249913651</v>
      </c>
      <c r="K1415" s="4">
        <v>10.892344985366879</v>
      </c>
      <c r="L1415" s="4">
        <v>11.523301753686065</v>
      </c>
      <c r="M1415" s="4">
        <v>12.175443314906651</v>
      </c>
      <c r="N1415" s="4">
        <v>12.84859844215269</v>
      </c>
      <c r="O1415"/>
      <c r="P1415"/>
      <c r="Q1415" s="11"/>
    </row>
    <row r="1416" spans="1:17" x14ac:dyDescent="0.35">
      <c r="A1416" s="2" t="s">
        <v>91</v>
      </c>
      <c r="O1416"/>
      <c r="P1416"/>
      <c r="Q1416" s="11"/>
    </row>
    <row r="1417" spans="1:17" x14ac:dyDescent="0.35">
      <c r="A1417" s="3" t="s">
        <v>92</v>
      </c>
      <c r="B1417" s="4">
        <v>22.415012508811582</v>
      </c>
      <c r="C1417" s="4">
        <v>23.91958929521012</v>
      </c>
      <c r="D1417" s="4">
        <v>25.555058208998197</v>
      </c>
      <c r="E1417" s="4">
        <v>27.283183759488235</v>
      </c>
      <c r="F1417" s="4">
        <v>29.073605048341918</v>
      </c>
      <c r="G1417" s="4">
        <v>30.966983461327466</v>
      </c>
      <c r="H1417" s="4">
        <v>32.999149022704039</v>
      </c>
      <c r="I1417" s="4">
        <v>35.263670092130099</v>
      </c>
      <c r="J1417" s="4">
        <v>37.798197723156633</v>
      </c>
      <c r="K1417" s="4">
        <v>40.543239678811943</v>
      </c>
      <c r="L1417" s="4">
        <v>43.51804394864434</v>
      </c>
      <c r="M1417" s="4">
        <v>46.667602333189308</v>
      </c>
      <c r="N1417" s="4">
        <v>49.975104256552299</v>
      </c>
      <c r="O1417"/>
      <c r="P1417"/>
      <c r="Q1417" s="11"/>
    </row>
    <row r="1418" spans="1:17" x14ac:dyDescent="0.35">
      <c r="A1418" s="3" t="s">
        <v>93</v>
      </c>
      <c r="B1418" s="4">
        <v>30.749695537755255</v>
      </c>
      <c r="C1418" s="4">
        <v>32.353635498601534</v>
      </c>
      <c r="D1418" s="4">
        <v>33.917975170593103</v>
      </c>
      <c r="E1418" s="4">
        <v>35.52657124363617</v>
      </c>
      <c r="F1418" s="4">
        <v>37.304488669333693</v>
      </c>
      <c r="G1418" s="4">
        <v>39.283796021009074</v>
      </c>
      <c r="H1418" s="4">
        <v>41.549554166466983</v>
      </c>
      <c r="I1418" s="4">
        <v>43.988695408529907</v>
      </c>
      <c r="J1418" s="4">
        <v>46.500658858111606</v>
      </c>
      <c r="K1418" s="4">
        <v>49.163788095071794</v>
      </c>
      <c r="L1418" s="4">
        <v>51.974834199041531</v>
      </c>
      <c r="M1418" s="4">
        <v>54.999714371492601</v>
      </c>
      <c r="N1418" s="4">
        <v>58.208020798846135</v>
      </c>
      <c r="O1418"/>
      <c r="P1418"/>
      <c r="Q1418" s="11"/>
    </row>
    <row r="1419" spans="1:17" x14ac:dyDescent="0.35">
      <c r="A1419" s="2" t="s">
        <v>94</v>
      </c>
      <c r="O1419"/>
      <c r="P1419"/>
      <c r="Q1419" s="11"/>
    </row>
    <row r="1420" spans="1:17" x14ac:dyDescent="0.35">
      <c r="A1420" s="3" t="s">
        <v>48</v>
      </c>
      <c r="B1420" s="4">
        <v>9.2166729266699452</v>
      </c>
      <c r="C1420" s="4">
        <v>9.8065559537782381</v>
      </c>
      <c r="D1420" s="4">
        <v>10.446450711018612</v>
      </c>
      <c r="E1420" s="4">
        <v>11.120264871192036</v>
      </c>
      <c r="F1420" s="4">
        <v>11.815300681746258</v>
      </c>
      <c r="G1420" s="4">
        <v>12.547869783659136</v>
      </c>
      <c r="H1420" s="4">
        <v>13.332133373315836</v>
      </c>
      <c r="I1420" s="4">
        <v>14.205411195494777</v>
      </c>
      <c r="J1420" s="4">
        <v>15.182057813599627</v>
      </c>
      <c r="K1420" s="4">
        <v>16.237237121242984</v>
      </c>
      <c r="L1420" s="4">
        <v>17.377931145781083</v>
      </c>
      <c r="M1420" s="4">
        <v>18.581382969649034</v>
      </c>
      <c r="N1420" s="4">
        <v>19.840303841790043</v>
      </c>
      <c r="O1420"/>
      <c r="P1420"/>
      <c r="Q1420" s="11"/>
    </row>
    <row r="1421" spans="1:17" x14ac:dyDescent="0.35">
      <c r="A1421" s="3" t="s">
        <v>95</v>
      </c>
      <c r="B1421" s="4">
        <v>5.2744284205049272</v>
      </c>
      <c r="C1421" s="4">
        <v>5.6891085375740467</v>
      </c>
      <c r="D1421" s="4">
        <v>6.1464480868821312</v>
      </c>
      <c r="E1421" s="4">
        <v>6.6431164669505947</v>
      </c>
      <c r="F1421" s="4">
        <v>7.1688341215089659</v>
      </c>
      <c r="G1421" s="4">
        <v>7.7323379103948486</v>
      </c>
      <c r="H1421" s="4">
        <v>8.3408931101847958</v>
      </c>
      <c r="I1421" s="4">
        <v>9.0093585583668361</v>
      </c>
      <c r="J1421" s="4">
        <v>9.7451005742658428</v>
      </c>
      <c r="K1421" s="4">
        <v>10.552479615180893</v>
      </c>
      <c r="L1421" s="4">
        <v>11.422590626445468</v>
      </c>
      <c r="M1421" s="4">
        <v>12.346381550606116</v>
      </c>
      <c r="N1421" s="4">
        <v>13.335012085246763</v>
      </c>
      <c r="O1421"/>
      <c r="P1421"/>
      <c r="Q1421" s="11"/>
    </row>
    <row r="1422" spans="1:17" x14ac:dyDescent="0.35">
      <c r="A1422" s="3" t="s">
        <v>96</v>
      </c>
      <c r="B1422" s="4">
        <v>7.7460256950992914</v>
      </c>
      <c r="C1422" s="4">
        <v>8.3724052773442494</v>
      </c>
      <c r="D1422" s="4">
        <v>8.8967888187206796</v>
      </c>
      <c r="E1422" s="4">
        <v>9.3681507651491813</v>
      </c>
      <c r="F1422" s="4">
        <v>9.8903359639336657</v>
      </c>
      <c r="G1422" s="4">
        <v>10.494752425734127</v>
      </c>
      <c r="H1422" s="4">
        <v>11.254409943335617</v>
      </c>
      <c r="I1422" s="4">
        <v>12.090287324386182</v>
      </c>
      <c r="J1422" s="4">
        <v>12.939149492342338</v>
      </c>
      <c r="K1422" s="4">
        <v>13.839828444283597</v>
      </c>
      <c r="L1422" s="4">
        <v>14.852258479575269</v>
      </c>
      <c r="M1422" s="4">
        <v>16.052497681276819</v>
      </c>
      <c r="N1422" s="4">
        <v>17.385448862211632</v>
      </c>
      <c r="O1422"/>
      <c r="P1422"/>
      <c r="Q1422" s="11"/>
    </row>
    <row r="1423" spans="1:17" x14ac:dyDescent="0.35">
      <c r="A1423" s="3" t="s">
        <v>97</v>
      </c>
      <c r="B1423" s="4">
        <v>6.2745339179649058</v>
      </c>
      <c r="C1423" s="4">
        <v>6.5977235157257113</v>
      </c>
      <c r="D1423" s="4">
        <v>6.9507554569195849</v>
      </c>
      <c r="E1423" s="4">
        <v>7.32036056364029</v>
      </c>
      <c r="F1423" s="4">
        <v>7.6998588712503713</v>
      </c>
      <c r="G1423" s="4">
        <v>8.0784979748539119</v>
      </c>
      <c r="H1423" s="4">
        <v>8.4784494174177283</v>
      </c>
      <c r="I1423" s="4">
        <v>8.9151586125031415</v>
      </c>
      <c r="J1423" s="4">
        <v>9.4040790831523733</v>
      </c>
      <c r="K1423" s="4">
        <v>9.9448902190243125</v>
      </c>
      <c r="L1423" s="4">
        <v>10.520117363082944</v>
      </c>
      <c r="M1423" s="4">
        <v>11.114589671913691</v>
      </c>
      <c r="N1423" s="4">
        <v>11.728146027188677</v>
      </c>
      <c r="O1423"/>
      <c r="P1423"/>
      <c r="Q1423" s="11"/>
    </row>
    <row r="1424" spans="1:17" x14ac:dyDescent="0.35">
      <c r="A1424" s="3" t="s">
        <v>98</v>
      </c>
      <c r="B1424" s="4">
        <v>15.453644084612554</v>
      </c>
      <c r="C1424" s="4">
        <v>16.243685076429024</v>
      </c>
      <c r="D1424" s="4">
        <v>17.101188364475753</v>
      </c>
      <c r="E1424" s="4">
        <v>18.032461186985561</v>
      </c>
      <c r="F1424" s="4">
        <v>19.050512896972897</v>
      </c>
      <c r="G1424" s="4">
        <v>20.176841727632414</v>
      </c>
      <c r="H1424" s="4">
        <v>21.416842111814322</v>
      </c>
      <c r="I1424" s="4">
        <v>22.775882405828771</v>
      </c>
      <c r="J1424" s="4">
        <v>24.22875475669256</v>
      </c>
      <c r="K1424" s="4">
        <v>25.758153255876866</v>
      </c>
      <c r="L1424" s="4">
        <v>27.332576100051995</v>
      </c>
      <c r="M1424" s="4">
        <v>28.939456823530097</v>
      </c>
      <c r="N1424" s="4">
        <v>30.59542696073834</v>
      </c>
      <c r="O1424"/>
      <c r="P1424"/>
      <c r="Q1424" s="11"/>
    </row>
    <row r="1425" spans="1:17" x14ac:dyDescent="0.35">
      <c r="A1425" s="3" t="s">
        <v>99</v>
      </c>
      <c r="B1425" s="4">
        <v>3.1462895354809186</v>
      </c>
      <c r="C1425" s="4">
        <v>3.2612410294070253</v>
      </c>
      <c r="D1425" s="4">
        <v>3.3680740739192294</v>
      </c>
      <c r="E1425" s="4">
        <v>3.4725073419142523</v>
      </c>
      <c r="F1425" s="4">
        <v>3.584417060754483</v>
      </c>
      <c r="G1425" s="4">
        <v>3.7121669942221898</v>
      </c>
      <c r="H1425" s="4">
        <v>3.8605955600662294</v>
      </c>
      <c r="I1425" s="4">
        <v>4.0233947988372636</v>
      </c>
      <c r="J1425" s="4">
        <v>4.1902030532597871</v>
      </c>
      <c r="K1425" s="4">
        <v>4.3597185092737156</v>
      </c>
      <c r="L1425" s="4">
        <v>4.5356837741878957</v>
      </c>
      <c r="M1425" s="4">
        <v>4.722029175910504</v>
      </c>
      <c r="N1425" s="4">
        <v>4.914364095721286</v>
      </c>
      <c r="O1425"/>
      <c r="P1425"/>
      <c r="Q1425" s="11"/>
    </row>
    <row r="1426" spans="1:17" x14ac:dyDescent="0.35">
      <c r="A1426" s="3" t="s">
        <v>100</v>
      </c>
      <c r="B1426" s="4">
        <v>6.0531134662342918</v>
      </c>
      <c r="C1426" s="4">
        <v>6.3025054035533561</v>
      </c>
      <c r="D1426" s="4">
        <v>6.5633278676553104</v>
      </c>
      <c r="E1426" s="4">
        <v>6.8528938072924985</v>
      </c>
      <c r="F1426" s="4">
        <v>7.1688341215089721</v>
      </c>
      <c r="G1426" s="4">
        <v>7.5083126658399184</v>
      </c>
      <c r="H1426" s="4">
        <v>7.8653796730364949</v>
      </c>
      <c r="I1426" s="4">
        <v>8.2328726052430437</v>
      </c>
      <c r="J1426" s="4">
        <v>8.6095118079557178</v>
      </c>
      <c r="K1426" s="4">
        <v>9.0147206090013796</v>
      </c>
      <c r="L1426" s="4">
        <v>9.4517206585612019</v>
      </c>
      <c r="M1426" s="4">
        <v>9.910978831795628</v>
      </c>
      <c r="N1426" s="4">
        <v>10.38442318250169</v>
      </c>
      <c r="O1426"/>
      <c r="P1426"/>
      <c r="Q1426" s="11"/>
    </row>
    <row r="1427" spans="1:17" x14ac:dyDescent="0.35">
      <c r="A1427" s="1" t="s">
        <v>51</v>
      </c>
      <c r="O1427"/>
      <c r="P1427"/>
      <c r="Q1427" s="11"/>
    </row>
    <row r="1428" spans="1:17" x14ac:dyDescent="0.35">
      <c r="A1428" s="2" t="s">
        <v>54</v>
      </c>
      <c r="O1428"/>
      <c r="P1428"/>
      <c r="Q1428" s="11"/>
    </row>
    <row r="1429" spans="1:17" x14ac:dyDescent="0.35">
      <c r="A1429" s="3" t="s">
        <v>55</v>
      </c>
      <c r="B1429" s="4">
        <v>7.1597377988502933</v>
      </c>
      <c r="C1429" s="4">
        <v>7.8104066872572755</v>
      </c>
      <c r="D1429" s="4">
        <v>8.5332249741700217</v>
      </c>
      <c r="E1429" s="4">
        <v>9.3371589097637315</v>
      </c>
      <c r="F1429" s="4">
        <v>10.235507551454036</v>
      </c>
      <c r="G1429" s="4">
        <v>11.247582983099308</v>
      </c>
      <c r="H1429" s="4">
        <v>12.385975651170003</v>
      </c>
      <c r="I1429" s="4">
        <v>13.664359501969418</v>
      </c>
      <c r="J1429" s="4">
        <v>15.079242954600234</v>
      </c>
      <c r="K1429" s="4">
        <v>16.630578446549858</v>
      </c>
      <c r="L1429" s="4">
        <v>18.30825242568854</v>
      </c>
      <c r="M1429" s="4">
        <v>20.112449006227457</v>
      </c>
      <c r="N1429" s="4">
        <v>22.062903432419215</v>
      </c>
      <c r="O1429"/>
      <c r="P1429"/>
      <c r="Q1429" s="11"/>
    </row>
    <row r="1430" spans="1:17" x14ac:dyDescent="0.35">
      <c r="A1430" s="3" t="s">
        <v>56</v>
      </c>
      <c r="B1430" s="4">
        <v>22.947476249363991</v>
      </c>
      <c r="C1430" s="4">
        <v>24.615501150647546</v>
      </c>
      <c r="D1430" s="4">
        <v>26.448286868334041</v>
      </c>
      <c r="E1430" s="4">
        <v>28.428568196168968</v>
      </c>
      <c r="F1430" s="4">
        <v>30.509685970680309</v>
      </c>
      <c r="G1430" s="4">
        <v>32.726904671469804</v>
      </c>
      <c r="H1430" s="4">
        <v>35.108460069443787</v>
      </c>
      <c r="I1430" s="4">
        <v>37.713897633726823</v>
      </c>
      <c r="J1430" s="4">
        <v>40.57005213524554</v>
      </c>
      <c r="K1430" s="4">
        <v>43.690606935497094</v>
      </c>
      <c r="L1430" s="4">
        <v>47.03396731913967</v>
      </c>
      <c r="M1430" s="4">
        <v>50.558786066575692</v>
      </c>
      <c r="N1430" s="4">
        <v>54.307339349048647</v>
      </c>
      <c r="O1430"/>
      <c r="P1430"/>
      <c r="Q1430" s="11"/>
    </row>
    <row r="1431" spans="1:17" x14ac:dyDescent="0.35">
      <c r="A1431" s="3" t="s">
        <v>57</v>
      </c>
      <c r="B1431" s="4">
        <v>45.659657964940465</v>
      </c>
      <c r="C1431" s="4">
        <v>48.319871079893929</v>
      </c>
      <c r="D1431" s="4">
        <v>51.18569377319767</v>
      </c>
      <c r="E1431" s="4">
        <v>54.293999764924216</v>
      </c>
      <c r="F1431" s="4">
        <v>57.673148318769861</v>
      </c>
      <c r="G1431" s="4">
        <v>61.35461063622769</v>
      </c>
      <c r="H1431" s="4">
        <v>65.364565259184147</v>
      </c>
      <c r="I1431" s="4">
        <v>69.682198139488449</v>
      </c>
      <c r="J1431" s="4">
        <v>74.283869338908602</v>
      </c>
      <c r="K1431" s="4">
        <v>79.155290375416044</v>
      </c>
      <c r="L1431" s="4">
        <v>84.280585842426163</v>
      </c>
      <c r="M1431" s="4">
        <v>89.692593256466509</v>
      </c>
      <c r="N1431" s="4">
        <v>95.365127486706882</v>
      </c>
      <c r="O1431"/>
      <c r="P1431"/>
      <c r="Q1431" s="11"/>
    </row>
    <row r="1432" spans="1:17" x14ac:dyDescent="0.35">
      <c r="A1432" s="2" t="s">
        <v>47</v>
      </c>
      <c r="O1432"/>
      <c r="P1432"/>
      <c r="Q1432" s="11"/>
    </row>
    <row r="1433" spans="1:17" x14ac:dyDescent="0.35">
      <c r="A1433" s="3" t="s">
        <v>82</v>
      </c>
      <c r="B1433" s="4">
        <v>30.107214048214285</v>
      </c>
      <c r="C1433" s="4">
        <v>32.425907837904823</v>
      </c>
      <c r="D1433" s="4">
        <v>34.981511842504062</v>
      </c>
      <c r="E1433" s="4">
        <v>37.765727105932697</v>
      </c>
      <c r="F1433" s="4">
        <v>40.745193522134343</v>
      </c>
      <c r="G1433" s="4">
        <v>43.97448765456911</v>
      </c>
      <c r="H1433" s="4">
        <v>47.494435720613794</v>
      </c>
      <c r="I1433" s="4">
        <v>51.378257135696245</v>
      </c>
      <c r="J1433" s="4">
        <v>55.649295089845772</v>
      </c>
      <c r="K1433" s="4">
        <v>60.321185382046949</v>
      </c>
      <c r="L1433" s="4">
        <v>65.342219744828213</v>
      </c>
      <c r="M1433" s="4">
        <v>70.671235072803142</v>
      </c>
      <c r="N1433" s="4">
        <v>76.370242781467866</v>
      </c>
      <c r="O1433"/>
      <c r="P1433"/>
      <c r="Q1433" s="11"/>
    </row>
    <row r="1434" spans="1:17" x14ac:dyDescent="0.35">
      <c r="A1434" s="3" t="s">
        <v>83</v>
      </c>
      <c r="B1434" s="4">
        <v>45.659657964940465</v>
      </c>
      <c r="C1434" s="4">
        <v>48.319871079893929</v>
      </c>
      <c r="D1434" s="4">
        <v>51.18569377319767</v>
      </c>
      <c r="E1434" s="4">
        <v>54.293999764924216</v>
      </c>
      <c r="F1434" s="4">
        <v>57.673148318769861</v>
      </c>
      <c r="G1434" s="4">
        <v>61.35461063622769</v>
      </c>
      <c r="H1434" s="4">
        <v>65.364565259184147</v>
      </c>
      <c r="I1434" s="4">
        <v>69.682198139488449</v>
      </c>
      <c r="J1434" s="4">
        <v>74.283869338908602</v>
      </c>
      <c r="K1434" s="4">
        <v>79.155290375416044</v>
      </c>
      <c r="L1434" s="4">
        <v>84.280585842426163</v>
      </c>
      <c r="M1434" s="4">
        <v>89.692593256466509</v>
      </c>
      <c r="N1434" s="4">
        <v>95.365127486706882</v>
      </c>
      <c r="O1434"/>
      <c r="P1434"/>
      <c r="Q1434" s="11"/>
    </row>
    <row r="1435" spans="1:17" x14ac:dyDescent="0.35">
      <c r="A1435" s="2" t="s">
        <v>59</v>
      </c>
      <c r="O1435"/>
      <c r="P1435"/>
      <c r="Q1435" s="11"/>
    </row>
    <row r="1436" spans="1:17" x14ac:dyDescent="0.35">
      <c r="A1436" s="3" t="s">
        <v>60</v>
      </c>
      <c r="O1436"/>
      <c r="P1436"/>
      <c r="Q1436" s="11"/>
    </row>
    <row r="1437" spans="1:17" x14ac:dyDescent="0.35">
      <c r="A1437" s="34" t="s">
        <v>61</v>
      </c>
      <c r="B1437" s="4">
        <v>15.330934218202472</v>
      </c>
      <c r="C1437" s="4">
        <v>16.444438704542947</v>
      </c>
      <c r="D1437" s="4">
        <v>17.706000808003104</v>
      </c>
      <c r="E1437" s="4">
        <v>19.149062724401936</v>
      </c>
      <c r="F1437" s="4">
        <v>20.741567124628723</v>
      </c>
      <c r="G1437" s="4">
        <v>22.502981651662836</v>
      </c>
      <c r="H1437" s="4">
        <v>24.385780537244543</v>
      </c>
      <c r="I1437" s="4">
        <v>26.356808583972935</v>
      </c>
      <c r="J1437" s="4">
        <v>28.402625496668946</v>
      </c>
      <c r="K1437" s="4">
        <v>30.550292300684816</v>
      </c>
      <c r="L1437" s="4">
        <v>32.747416596063729</v>
      </c>
      <c r="M1437" s="4">
        <v>35.027715665426243</v>
      </c>
      <c r="N1437" s="4">
        <v>37.432595695756447</v>
      </c>
      <c r="O1437"/>
      <c r="P1437"/>
      <c r="Q1437" s="11"/>
    </row>
    <row r="1438" spans="1:17" x14ac:dyDescent="0.35">
      <c r="A1438" s="43" t="s">
        <v>62</v>
      </c>
      <c r="B1438" s="4">
        <v>2.7465122179502419</v>
      </c>
      <c r="C1438" s="4">
        <v>3.0189239910252335</v>
      </c>
      <c r="D1438" s="4">
        <v>3.324392670517502</v>
      </c>
      <c r="E1438" s="4">
        <v>3.6596619516442157</v>
      </c>
      <c r="F1438" s="4">
        <v>4.023864022177972</v>
      </c>
      <c r="G1438" s="4">
        <v>4.4135804336317452</v>
      </c>
      <c r="H1438" s="4">
        <v>4.8425125747900939</v>
      </c>
      <c r="I1438" s="4">
        <v>5.3228153486190113</v>
      </c>
      <c r="J1438" s="4">
        <v>5.8684994888056714</v>
      </c>
      <c r="K1438" s="4">
        <v>6.4857753826601465</v>
      </c>
      <c r="L1438" s="4">
        <v>7.1701411325145665</v>
      </c>
      <c r="M1438" s="4">
        <v>7.9171595680494438</v>
      </c>
      <c r="N1438" s="4">
        <v>8.7316711356010508</v>
      </c>
      <c r="O1438"/>
      <c r="P1438"/>
      <c r="Q1438" s="11"/>
    </row>
    <row r="1439" spans="1:17" x14ac:dyDescent="0.35">
      <c r="A1439" s="43" t="s">
        <v>63</v>
      </c>
      <c r="B1439" s="4">
        <v>6.1087376502423059</v>
      </c>
      <c r="C1439" s="4">
        <v>6.5670799803476081</v>
      </c>
      <c r="D1439" s="4">
        <v>7.0714209740399774</v>
      </c>
      <c r="E1439" s="4">
        <v>7.6174443134381686</v>
      </c>
      <c r="F1439" s="4">
        <v>8.1929190142283463</v>
      </c>
      <c r="G1439" s="4">
        <v>8.8075060183300433</v>
      </c>
      <c r="H1439" s="4">
        <v>9.4690586040237044</v>
      </c>
      <c r="I1439" s="4">
        <v>10.193942495267214</v>
      </c>
      <c r="J1439" s="4">
        <v>10.989823796777829</v>
      </c>
      <c r="K1439" s="4">
        <v>11.860871610472733</v>
      </c>
      <c r="L1439" s="4">
        <v>12.79628336390404</v>
      </c>
      <c r="M1439" s="4">
        <v>13.785228490058605</v>
      </c>
      <c r="N1439" s="4">
        <v>14.839581572900613</v>
      </c>
      <c r="O1439"/>
      <c r="P1439"/>
      <c r="Q1439" s="11"/>
    </row>
    <row r="1440" spans="1:17" x14ac:dyDescent="0.35">
      <c r="A1440" s="43" t="s">
        <v>64</v>
      </c>
      <c r="B1440" s="4">
        <v>6.4756843500099244</v>
      </c>
      <c r="C1440" s="4">
        <v>6.858434733170105</v>
      </c>
      <c r="D1440" s="4">
        <v>7.3101871634456241</v>
      </c>
      <c r="E1440" s="4">
        <v>7.8719564593195521</v>
      </c>
      <c r="F1440" s="4">
        <v>8.524784088222404</v>
      </c>
      <c r="G1440" s="4">
        <v>9.2818951997010473</v>
      </c>
      <c r="H1440" s="4">
        <v>10.074209358430744</v>
      </c>
      <c r="I1440" s="4">
        <v>10.84005074008671</v>
      </c>
      <c r="J1440" s="4">
        <v>11.544302211085444</v>
      </c>
      <c r="K1440" s="4">
        <v>12.203645307551938</v>
      </c>
      <c r="L1440" s="4">
        <v>12.780992099645122</v>
      </c>
      <c r="M1440" s="4">
        <v>13.325327607318194</v>
      </c>
      <c r="N1440" s="4">
        <v>13.861342987254783</v>
      </c>
      <c r="O1440"/>
      <c r="P1440"/>
      <c r="Q1440" s="11"/>
    </row>
    <row r="1441" spans="1:17" x14ac:dyDescent="0.35">
      <c r="A1441" s="34" t="s">
        <v>65</v>
      </c>
      <c r="B1441" s="4">
        <v>13.652654973623507</v>
      </c>
      <c r="C1441" s="4">
        <v>14.556250767034905</v>
      </c>
      <c r="D1441" s="4">
        <v>15.548763206994526</v>
      </c>
      <c r="E1441" s="4">
        <v>16.603766810320785</v>
      </c>
      <c r="F1441" s="4">
        <v>17.70821541075021</v>
      </c>
      <c r="G1441" s="4">
        <v>18.838907764850088</v>
      </c>
      <c r="H1441" s="4">
        <v>20.0480759174981</v>
      </c>
      <c r="I1441" s="4">
        <v>21.374950221436926</v>
      </c>
      <c r="J1441" s="4">
        <v>22.860893032206548</v>
      </c>
      <c r="K1441" s="4">
        <v>24.511097928675561</v>
      </c>
      <c r="L1441" s="4">
        <v>26.288592605943922</v>
      </c>
      <c r="M1441" s="4">
        <v>28.159936104021913</v>
      </c>
      <c r="N1441" s="4">
        <v>30.127731778063744</v>
      </c>
      <c r="O1441"/>
      <c r="P1441"/>
      <c r="Q1441" s="11"/>
    </row>
    <row r="1442" spans="1:17" x14ac:dyDescent="0.35">
      <c r="A1442" s="34" t="s">
        <v>66</v>
      </c>
      <c r="B1442" s="4">
        <v>9.0689317629533779</v>
      </c>
      <c r="C1442" s="4">
        <v>9.5979228574484114</v>
      </c>
      <c r="D1442" s="4">
        <v>10.121517015031131</v>
      </c>
      <c r="E1442" s="4">
        <v>10.655946070008541</v>
      </c>
      <c r="F1442" s="4">
        <v>11.23159958922583</v>
      </c>
      <c r="G1442" s="4">
        <v>11.876684545941607</v>
      </c>
      <c r="H1442" s="4">
        <v>12.610411920860765</v>
      </c>
      <c r="I1442" s="4">
        <v>13.417023324545207</v>
      </c>
      <c r="J1442" s="4">
        <v>14.265704236537731</v>
      </c>
      <c r="K1442" s="4">
        <v>15.153739311830536</v>
      </c>
      <c r="L1442" s="4">
        <v>16.095636211750275</v>
      </c>
      <c r="M1442" s="4">
        <v>17.107709884305322</v>
      </c>
      <c r="N1442" s="4">
        <v>18.177384371585713</v>
      </c>
      <c r="O1442"/>
      <c r="P1442"/>
      <c r="Q1442" s="11"/>
    </row>
    <row r="1443" spans="1:17" x14ac:dyDescent="0.35">
      <c r="A1443" s="34" t="s">
        <v>67</v>
      </c>
      <c r="B1443" s="4">
        <v>5.5955931142470394</v>
      </c>
      <c r="C1443" s="4">
        <v>5.8655659625193053</v>
      </c>
      <c r="D1443" s="4">
        <v>6.1547091788203847</v>
      </c>
      <c r="E1443" s="4">
        <v>6.4668248883143891</v>
      </c>
      <c r="F1443" s="4">
        <v>6.8045457365382758</v>
      </c>
      <c r="G1443" s="4">
        <v>7.1707584523682186</v>
      </c>
      <c r="H1443" s="4">
        <v>7.5676071794960986</v>
      </c>
      <c r="I1443" s="4">
        <v>7.9916978710817004</v>
      </c>
      <c r="J1443" s="4">
        <v>8.4394215213129833</v>
      </c>
      <c r="K1443" s="4">
        <v>8.9083501451682281</v>
      </c>
      <c r="L1443" s="4">
        <v>9.3959531483699248</v>
      </c>
      <c r="M1443" s="4">
        <v>9.905211799633566</v>
      </c>
      <c r="N1443" s="4">
        <v>10.432464226547308</v>
      </c>
      <c r="O1443"/>
      <c r="P1443"/>
      <c r="Q1443" s="11"/>
    </row>
    <row r="1444" spans="1:17" x14ac:dyDescent="0.35">
      <c r="A1444" s="34" t="s">
        <v>68</v>
      </c>
      <c r="B1444" s="4">
        <v>9.4135088711768606</v>
      </c>
      <c r="C1444" s="4">
        <v>10.162489488234725</v>
      </c>
      <c r="D1444" s="4">
        <v>10.983765444918877</v>
      </c>
      <c r="E1444" s="4">
        <v>11.863174538867771</v>
      </c>
      <c r="F1444" s="4">
        <v>12.78926668554182</v>
      </c>
      <c r="G1444" s="4">
        <v>13.781259069130753</v>
      </c>
      <c r="H1444" s="4">
        <v>14.857085421797786</v>
      </c>
      <c r="I1444" s="4">
        <v>16.061466818806977</v>
      </c>
      <c r="J1444" s="4">
        <v>17.41568049354586</v>
      </c>
      <c r="K1444" s="4">
        <v>18.897135704234454</v>
      </c>
      <c r="L1444" s="4">
        <v>20.518782933284449</v>
      </c>
      <c r="M1444" s="4">
        <v>22.259072137763933</v>
      </c>
      <c r="N1444" s="4">
        <v>24.113574398573849</v>
      </c>
      <c r="O1444"/>
      <c r="P1444"/>
      <c r="Q1444" s="11"/>
    </row>
    <row r="1445" spans="1:17" x14ac:dyDescent="0.35">
      <c r="A1445" s="34" t="s">
        <v>69</v>
      </c>
      <c r="B1445" s="4">
        <v>10.817894586060989</v>
      </c>
      <c r="C1445" s="4">
        <v>11.234196525748859</v>
      </c>
      <c r="D1445" s="4">
        <v>11.68524255465133</v>
      </c>
      <c r="E1445" s="4">
        <v>12.173873206367807</v>
      </c>
      <c r="F1445" s="4">
        <v>12.707284206788346</v>
      </c>
      <c r="G1445" s="4">
        <v>13.297953259884647</v>
      </c>
      <c r="H1445" s="4">
        <v>13.947106771046336</v>
      </c>
      <c r="I1445" s="4">
        <v>14.655843604052578</v>
      </c>
      <c r="J1445" s="4">
        <v>15.405480922467433</v>
      </c>
      <c r="K1445" s="4">
        <v>16.183191404569016</v>
      </c>
      <c r="L1445" s="4">
        <v>16.967796439434625</v>
      </c>
      <c r="M1445" s="4">
        <v>17.750849730511277</v>
      </c>
      <c r="N1445" s="4">
        <v>18.542205916095877</v>
      </c>
      <c r="O1445"/>
      <c r="P1445"/>
      <c r="Q1445" s="11"/>
    </row>
    <row r="1446" spans="1:17" x14ac:dyDescent="0.35">
      <c r="A1446" s="3" t="s">
        <v>70</v>
      </c>
      <c r="O1446"/>
      <c r="P1446"/>
      <c r="Q1446" s="11"/>
    </row>
    <row r="1447" spans="1:17" x14ac:dyDescent="0.35">
      <c r="A1447" s="34" t="s">
        <v>71</v>
      </c>
      <c r="B1447" s="4">
        <v>1.5228870172593836</v>
      </c>
      <c r="C1447" s="4">
        <v>1.680509725851324</v>
      </c>
      <c r="D1447" s="4">
        <v>1.8565474258384727</v>
      </c>
      <c r="E1447" s="4">
        <v>2.0496331154158232</v>
      </c>
      <c r="F1447" s="4">
        <v>2.2587009452487523</v>
      </c>
      <c r="G1447" s="4">
        <v>2.4879648789756463</v>
      </c>
      <c r="H1447" s="4">
        <v>2.7417436718902297</v>
      </c>
      <c r="I1447" s="4">
        <v>3.0296337829905324</v>
      </c>
      <c r="J1447" s="4">
        <v>3.3575994032520309</v>
      </c>
      <c r="K1447" s="4">
        <v>3.7235863418512811</v>
      </c>
      <c r="L1447" s="4">
        <v>4.1322594843335656</v>
      </c>
      <c r="M1447" s="4">
        <v>4.581653291919082</v>
      </c>
      <c r="N1447" s="4">
        <v>5.0730473476860141</v>
      </c>
      <c r="O1447"/>
      <c r="P1447"/>
      <c r="Q1447" s="11"/>
    </row>
    <row r="1448" spans="1:17" x14ac:dyDescent="0.35">
      <c r="A1448" s="34" t="s">
        <v>72</v>
      </c>
      <c r="B1448" s="4">
        <v>1.160602736768537</v>
      </c>
      <c r="C1448" s="4">
        <v>1.2870338763049503</v>
      </c>
      <c r="D1448" s="4">
        <v>1.4293829443950241</v>
      </c>
      <c r="E1448" s="4">
        <v>1.5898584695543598</v>
      </c>
      <c r="F1448" s="4">
        <v>1.7715301531362755</v>
      </c>
      <c r="G1448" s="4">
        <v>1.97868537543528</v>
      </c>
      <c r="H1448" s="4">
        <v>2.2146813833396863</v>
      </c>
      <c r="I1448" s="4">
        <v>2.4832537835679926</v>
      </c>
      <c r="J1448" s="4">
        <v>2.785223466145351</v>
      </c>
      <c r="K1448" s="4">
        <v>3.1220565788300769</v>
      </c>
      <c r="L1448" s="4">
        <v>3.4933807463535196</v>
      </c>
      <c r="M1448" s="4">
        <v>3.9007174136778415</v>
      </c>
      <c r="N1448" s="4">
        <v>4.3494339363034786</v>
      </c>
      <c r="O1448"/>
      <c r="P1448"/>
      <c r="Q1448" s="11"/>
    </row>
    <row r="1449" spans="1:17" x14ac:dyDescent="0.35">
      <c r="A1449" s="34" t="s">
        <v>73</v>
      </c>
      <c r="B1449" s="4">
        <v>1.1036296989297842</v>
      </c>
      <c r="C1449" s="4">
        <v>1.1854150908495371</v>
      </c>
      <c r="D1449" s="4">
        <v>1.2745031203306028</v>
      </c>
      <c r="E1449" s="4">
        <v>1.3720919683464752</v>
      </c>
      <c r="F1449" s="4">
        <v>1.4792276778687901</v>
      </c>
      <c r="G1449" s="4">
        <v>1.5970884801143896</v>
      </c>
      <c r="H1449" s="4">
        <v>1.7267737662991838</v>
      </c>
      <c r="I1449" s="4">
        <v>1.8681942661641753</v>
      </c>
      <c r="J1449" s="4">
        <v>2.0211657823563716</v>
      </c>
      <c r="K1449" s="4">
        <v>2.185734141163294</v>
      </c>
      <c r="L1449" s="4">
        <v>2.3618910293195707</v>
      </c>
      <c r="M1449" s="4">
        <v>2.5509797933163751</v>
      </c>
      <c r="N1449" s="4">
        <v>2.7527322457573864</v>
      </c>
      <c r="O1449"/>
      <c r="P1449"/>
      <c r="Q1449" s="11"/>
    </row>
    <row r="1450" spans="1:17" x14ac:dyDescent="0.35">
      <c r="A1450" s="34" t="s">
        <v>74</v>
      </c>
      <c r="B1450" s="4">
        <v>1.2944679237749999</v>
      </c>
      <c r="C1450" s="4">
        <v>1.4044972012928834</v>
      </c>
      <c r="D1450" s="4">
        <v>1.5185738977726746</v>
      </c>
      <c r="E1450" s="4">
        <v>1.6392562764538561</v>
      </c>
      <c r="F1450" s="4">
        <v>1.7715301531362755</v>
      </c>
      <c r="G1450" s="4">
        <v>1.9205236482906261</v>
      </c>
      <c r="H1450" s="4">
        <v>2.0903908689304052</v>
      </c>
      <c r="I1450" s="4">
        <v>2.2798503205348446</v>
      </c>
      <c r="J1450" s="4">
        <v>2.4848627186962049</v>
      </c>
      <c r="K1450" s="4">
        <v>2.705814802749134</v>
      </c>
      <c r="L1450" s="4">
        <v>2.9461605734073184</v>
      </c>
      <c r="M1450" s="4">
        <v>3.2099843764130407</v>
      </c>
      <c r="N1450" s="4">
        <v>3.4963003957868053</v>
      </c>
      <c r="O1450"/>
      <c r="P1450"/>
      <c r="Q1450" s="11"/>
    </row>
    <row r="1451" spans="1:17" x14ac:dyDescent="0.35">
      <c r="A1451" s="34" t="s">
        <v>75</v>
      </c>
      <c r="B1451" s="4">
        <v>1.0974975312653783</v>
      </c>
      <c r="C1451" s="4">
        <v>1.2014693394848133</v>
      </c>
      <c r="D1451" s="4">
        <v>1.3167927895913369</v>
      </c>
      <c r="E1451" s="4">
        <v>1.4421980063514352</v>
      </c>
      <c r="F1451" s="4">
        <v>1.5766618362912852</v>
      </c>
      <c r="G1451" s="4">
        <v>1.7228741170048698</v>
      </c>
      <c r="H1451" s="4">
        <v>1.8835068811998439</v>
      </c>
      <c r="I1451" s="4">
        <v>2.0647668173667082</v>
      </c>
      <c r="J1451" s="4">
        <v>2.2701808583399909</v>
      </c>
      <c r="K1451" s="4">
        <v>2.4977332218704724</v>
      </c>
      <c r="L1451" s="4">
        <v>2.7499676751801037</v>
      </c>
      <c r="M1451" s="4">
        <v>3.0249241443231716</v>
      </c>
      <c r="N1451" s="4">
        <v>3.3228348449171046</v>
      </c>
      <c r="O1451"/>
      <c r="P1451"/>
      <c r="Q1451" s="11"/>
    </row>
    <row r="1452" spans="1:17" x14ac:dyDescent="0.35">
      <c r="A1452" s="3" t="s">
        <v>76</v>
      </c>
      <c r="O1452"/>
      <c r="P1452"/>
      <c r="Q1452" s="11"/>
    </row>
    <row r="1453" spans="1:17" x14ac:dyDescent="0.35">
      <c r="A1453" s="34" t="s">
        <v>77</v>
      </c>
      <c r="B1453" s="4">
        <v>1.6945500813305661</v>
      </c>
      <c r="C1453" s="4">
        <v>1.8279886667889642</v>
      </c>
      <c r="D1453" s="4">
        <v>1.9650303436872067</v>
      </c>
      <c r="E1453" s="4">
        <v>2.1089039268253811</v>
      </c>
      <c r="F1453" s="4">
        <v>2.2658854842031371</v>
      </c>
      <c r="G1453" s="4">
        <v>2.4422858535890284</v>
      </c>
      <c r="H1453" s="4">
        <v>2.6430283241193009</v>
      </c>
      <c r="I1453" s="4">
        <v>2.8660460489058885</v>
      </c>
      <c r="J1453" s="4">
        <v>3.1058473663163442</v>
      </c>
      <c r="K1453" s="4">
        <v>3.3625933144370772</v>
      </c>
      <c r="L1453" s="4">
        <v>3.6402485927105133</v>
      </c>
      <c r="M1453" s="4">
        <v>3.943461131199979</v>
      </c>
      <c r="N1453" s="4">
        <v>4.270537989675784</v>
      </c>
      <c r="O1453"/>
      <c r="P1453"/>
      <c r="Q1453" s="11"/>
    </row>
    <row r="1454" spans="1:17" x14ac:dyDescent="0.35">
      <c r="A1454" s="34" t="s">
        <v>78</v>
      </c>
      <c r="B1454" s="4">
        <v>1.5384858501681464</v>
      </c>
      <c r="C1454" s="4">
        <v>1.6335719798817001</v>
      </c>
      <c r="D1454" s="4">
        <v>1.7348343886629032</v>
      </c>
      <c r="E1454" s="4">
        <v>1.8471183707491285</v>
      </c>
      <c r="F1454" s="4">
        <v>1.9703352036549022</v>
      </c>
      <c r="G1454" s="4">
        <v>2.1042375684432311</v>
      </c>
      <c r="H1454" s="4">
        <v>2.2476637218604898</v>
      </c>
      <c r="I1454" s="4">
        <v>2.3989927385419398</v>
      </c>
      <c r="J1454" s="4">
        <v>2.5581721794892127</v>
      </c>
      <c r="K1454" s="4">
        <v>2.7312827947909164</v>
      </c>
      <c r="L1454" s="4">
        <v>2.9199616530978938</v>
      </c>
      <c r="M1454" s="4">
        <v>3.122006366804488</v>
      </c>
      <c r="N1454" s="4">
        <v>3.3354707078952246</v>
      </c>
      <c r="O1454"/>
      <c r="P1454"/>
      <c r="Q1454" s="11"/>
    </row>
    <row r="1455" spans="1:17" x14ac:dyDescent="0.35">
      <c r="A1455" s="34" t="s">
        <v>79</v>
      </c>
      <c r="B1455" s="4">
        <v>0.87424852985942658</v>
      </c>
      <c r="C1455" s="4">
        <v>0.96006283853112806</v>
      </c>
      <c r="D1455" s="4">
        <v>1.0544764973491947</v>
      </c>
      <c r="E1455" s="4">
        <v>1.1610587203062757</v>
      </c>
      <c r="F1455" s="4">
        <v>1.2807178823756866</v>
      </c>
      <c r="G1455" s="4">
        <v>1.414312085366241</v>
      </c>
      <c r="H1455" s="4">
        <v>1.5621266724558731</v>
      </c>
      <c r="I1455" s="4">
        <v>1.7240880250337478</v>
      </c>
      <c r="J1455" s="4">
        <v>1.9011611802918544</v>
      </c>
      <c r="K1455" s="4">
        <v>2.098924601073854</v>
      </c>
      <c r="L1455" s="4">
        <v>2.320221490094859</v>
      </c>
      <c r="M1455" s="4">
        <v>2.5651141210891422</v>
      </c>
      <c r="N1455" s="4">
        <v>2.8337505124893148</v>
      </c>
      <c r="O1455"/>
      <c r="P1455"/>
      <c r="Q1455" s="11"/>
    </row>
    <row r="1456" spans="1:17" x14ac:dyDescent="0.35">
      <c r="A1456" s="34" t="s">
        <v>80</v>
      </c>
      <c r="B1456" s="4">
        <v>0.7797792340591515</v>
      </c>
      <c r="C1456" s="4">
        <v>0.82425052172495716</v>
      </c>
      <c r="D1456" s="4">
        <v>0.87271510329400537</v>
      </c>
      <c r="E1456" s="4">
        <v>0.92439336858765631</v>
      </c>
      <c r="F1456" s="4">
        <v>0.97758938950570151</v>
      </c>
      <c r="G1456" s="4">
        <v>1.0333260739269523</v>
      </c>
      <c r="H1456" s="4">
        <v>1.0923417673501679</v>
      </c>
      <c r="I1456" s="4">
        <v>1.1563015450238785</v>
      </c>
      <c r="J1456" s="4">
        <v>1.2257651399668732</v>
      </c>
      <c r="K1456" s="4">
        <v>1.3008548855579798</v>
      </c>
      <c r="L1456" s="4">
        <v>1.3800318693610929</v>
      </c>
      <c r="M1456" s="4">
        <v>1.4618453727075127</v>
      </c>
      <c r="N1456" s="4">
        <v>1.5473403263503982</v>
      </c>
      <c r="O1456"/>
      <c r="P1456"/>
      <c r="Q1456" s="11"/>
    </row>
    <row r="1457" spans="1:17" x14ac:dyDescent="0.35">
      <c r="A1457" s="34" t="s">
        <v>81</v>
      </c>
      <c r="B1457" s="4">
        <v>0.82120588347513446</v>
      </c>
      <c r="C1457" s="4">
        <v>0.88011537155934971</v>
      </c>
      <c r="D1457" s="4">
        <v>0.94435089636094982</v>
      </c>
      <c r="E1457" s="4">
        <v>1.012566409985272</v>
      </c>
      <c r="F1457" s="4">
        <v>1.0836843620101961</v>
      </c>
      <c r="G1457" s="4">
        <v>1.1592554658123813</v>
      </c>
      <c r="H1457" s="4">
        <v>1.240676174409139</v>
      </c>
      <c r="I1457" s="4">
        <v>1.3315375231586608</v>
      </c>
      <c r="J1457" s="4">
        <v>1.433380631160627</v>
      </c>
      <c r="K1457" s="4">
        <v>1.5440882799762978</v>
      </c>
      <c r="L1457" s="4">
        <v>1.6645045385490407</v>
      </c>
      <c r="M1457" s="4">
        <v>1.7926469961567895</v>
      </c>
      <c r="N1457" s="4">
        <v>1.9279655746902806</v>
      </c>
      <c r="O1457"/>
      <c r="P1457"/>
      <c r="Q1457" s="11"/>
    </row>
    <row r="1458" spans="1:17" x14ac:dyDescent="0.35">
      <c r="A1458" s="2" t="s">
        <v>84</v>
      </c>
      <c r="O1458"/>
      <c r="P1458"/>
      <c r="Q1458" s="11"/>
    </row>
    <row r="1459" spans="1:17" x14ac:dyDescent="0.35">
      <c r="A1459" s="3" t="s">
        <v>85</v>
      </c>
      <c r="B1459" s="4">
        <v>4.2820296509468703</v>
      </c>
      <c r="C1459" s="4">
        <v>4.4937952900079887</v>
      </c>
      <c r="D1459" s="4">
        <v>4.7239776010367223</v>
      </c>
      <c r="E1459" s="4">
        <v>4.9679209351355409</v>
      </c>
      <c r="F1459" s="4">
        <v>5.2161721175679228</v>
      </c>
      <c r="G1459" s="4">
        <v>5.4740508003009793</v>
      </c>
      <c r="H1459" s="4">
        <v>5.7452147522116785</v>
      </c>
      <c r="I1459" s="4">
        <v>6.0380873431415285</v>
      </c>
      <c r="J1459" s="4">
        <v>6.3550738412408432</v>
      </c>
      <c r="K1459" s="4">
        <v>6.696235663026723</v>
      </c>
      <c r="L1459" s="4">
        <v>7.0530729374074097</v>
      </c>
      <c r="M1459" s="4">
        <v>7.4177708785610559</v>
      </c>
      <c r="N1459" s="4">
        <v>7.7953959003738653</v>
      </c>
      <c r="O1459"/>
      <c r="P1459"/>
      <c r="Q1459" s="11"/>
    </row>
    <row r="1460" spans="1:17" x14ac:dyDescent="0.35">
      <c r="A1460" s="3" t="s">
        <v>86</v>
      </c>
      <c r="B1460" s="4">
        <v>13.895141427771913</v>
      </c>
      <c r="C1460" s="4">
        <v>14.645891377366203</v>
      </c>
      <c r="D1460" s="4">
        <v>15.463094380276841</v>
      </c>
      <c r="E1460" s="4">
        <v>16.332345502971229</v>
      </c>
      <c r="F1460" s="4">
        <v>17.223209822158235</v>
      </c>
      <c r="G1460" s="4">
        <v>18.153495190879141</v>
      </c>
      <c r="H1460" s="4">
        <v>19.135806644806458</v>
      </c>
      <c r="I1460" s="4">
        <v>20.198838203778255</v>
      </c>
      <c r="J1460" s="4">
        <v>21.351646593595198</v>
      </c>
      <c r="K1460" s="4">
        <v>22.595562538472631</v>
      </c>
      <c r="L1460" s="4">
        <v>23.903041366917705</v>
      </c>
      <c r="M1460" s="4">
        <v>25.248372383424972</v>
      </c>
      <c r="N1460" s="4">
        <v>26.649236065016826</v>
      </c>
      <c r="O1460"/>
      <c r="P1460"/>
      <c r="Q1460" s="11"/>
    </row>
    <row r="1461" spans="1:17" x14ac:dyDescent="0.35">
      <c r="A1461" s="3" t="s">
        <v>87</v>
      </c>
      <c r="B1461" s="4">
        <v>25.497464422110134</v>
      </c>
      <c r="C1461" s="4">
        <v>27.415724992726524</v>
      </c>
      <c r="D1461" s="4">
        <v>29.523171254825513</v>
      </c>
      <c r="E1461" s="4">
        <v>31.823243575349942</v>
      </c>
      <c r="F1461" s="4">
        <v>34.348001302475566</v>
      </c>
      <c r="G1461" s="4">
        <v>37.139656127157153</v>
      </c>
      <c r="H1461" s="4">
        <v>40.237181188509922</v>
      </c>
      <c r="I1461" s="4">
        <v>43.658853912189571</v>
      </c>
      <c r="J1461" s="4">
        <v>47.393957380455902</v>
      </c>
      <c r="K1461" s="4">
        <v>51.401607861685008</v>
      </c>
      <c r="L1461" s="4">
        <v>55.652304655370145</v>
      </c>
      <c r="M1461" s="4">
        <v>60.177383955959755</v>
      </c>
      <c r="N1461" s="4">
        <v>65.001562441581569</v>
      </c>
      <c r="O1461"/>
      <c r="P1461"/>
      <c r="Q1461" s="11"/>
    </row>
    <row r="1462" spans="1:17" x14ac:dyDescent="0.35">
      <c r="A1462" s="3" t="s">
        <v>88</v>
      </c>
      <c r="B1462" s="4">
        <v>17.08512564816979</v>
      </c>
      <c r="C1462" s="4">
        <v>18.278167744006758</v>
      </c>
      <c r="D1462" s="4">
        <v>19.57366767219553</v>
      </c>
      <c r="E1462" s="4">
        <v>20.988717986090432</v>
      </c>
      <c r="F1462" s="4">
        <v>22.537800281567065</v>
      </c>
      <c r="G1462" s="4">
        <v>24.237166488889006</v>
      </c>
      <c r="H1462" s="4">
        <v>26.101598944763719</v>
      </c>
      <c r="I1462" s="4">
        <v>28.127660949403733</v>
      </c>
      <c r="J1462" s="4">
        <v>30.310521431149212</v>
      </c>
      <c r="K1462" s="4">
        <v>32.648855430629283</v>
      </c>
      <c r="L1462" s="4">
        <v>35.140530521343614</v>
      </c>
      <c r="M1462" s="4">
        <v>37.803538441382656</v>
      </c>
      <c r="N1462" s="4">
        <v>40.631684566041102</v>
      </c>
      <c r="O1462"/>
      <c r="P1462"/>
      <c r="Q1462" s="11"/>
    </row>
    <row r="1463" spans="1:17" x14ac:dyDescent="0.35">
      <c r="A1463" s="3" t="s">
        <v>89</v>
      </c>
      <c r="B1463" s="4">
        <v>4.8387440897275846</v>
      </c>
      <c r="C1463" s="4">
        <v>5.1630835244762956</v>
      </c>
      <c r="D1463" s="4">
        <v>5.5182903679909803</v>
      </c>
      <c r="E1463" s="4">
        <v>5.900236434838841</v>
      </c>
      <c r="F1463" s="4">
        <v>6.2987738778178688</v>
      </c>
      <c r="G1463" s="4">
        <v>6.720876587361718</v>
      </c>
      <c r="H1463" s="4">
        <v>7.1719241777345317</v>
      </c>
      <c r="I1463" s="4">
        <v>7.6635736347178609</v>
      </c>
      <c r="J1463" s="4">
        <v>8.2005832668307121</v>
      </c>
      <c r="K1463" s="4">
        <v>8.7849449296787601</v>
      </c>
      <c r="L1463" s="4">
        <v>9.4074848431632248</v>
      </c>
      <c r="M1463" s="4">
        <v>10.059262096083598</v>
      </c>
      <c r="N1463" s="4">
        <v>10.748153823789286</v>
      </c>
      <c r="O1463"/>
      <c r="P1463"/>
      <c r="Q1463" s="11"/>
    </row>
    <row r="1464" spans="1:17" x14ac:dyDescent="0.35">
      <c r="A1464" s="3" t="s">
        <v>90</v>
      </c>
      <c r="B1464" s="4">
        <v>10.168366774428462</v>
      </c>
      <c r="C1464" s="4">
        <v>10.749115989214987</v>
      </c>
      <c r="D1464" s="4">
        <v>11.365004339376149</v>
      </c>
      <c r="E1464" s="4">
        <v>12.047262436470923</v>
      </c>
      <c r="F1464" s="4">
        <v>12.794384439317557</v>
      </c>
      <c r="G1464" s="4">
        <v>13.603853096208793</v>
      </c>
      <c r="H1464" s="4">
        <v>14.467275271771628</v>
      </c>
      <c r="I1464" s="4">
        <v>15.373441231953738</v>
      </c>
      <c r="J1464" s="4">
        <v>16.321381915482512</v>
      </c>
      <c r="K1464" s="4">
        <v>17.349269333970586</v>
      </c>
      <c r="L1464" s="4">
        <v>18.466371263052299</v>
      </c>
      <c r="M1464" s="4">
        <v>19.657500573857629</v>
      </c>
      <c r="N1464" s="4">
        <v>20.909337471372091</v>
      </c>
      <c r="O1464"/>
      <c r="P1464"/>
      <c r="Q1464" s="11"/>
    </row>
    <row r="1465" spans="1:17" x14ac:dyDescent="0.35">
      <c r="A1465" s="2" t="s">
        <v>91</v>
      </c>
      <c r="O1465"/>
      <c r="P1465"/>
      <c r="Q1465" s="11"/>
    </row>
    <row r="1466" spans="1:17" x14ac:dyDescent="0.35">
      <c r="A1466" s="3" t="s">
        <v>92</v>
      </c>
      <c r="B1466" s="4">
        <v>33.71812024069046</v>
      </c>
      <c r="C1466" s="4">
        <v>36.049876487049012</v>
      </c>
      <c r="D1466" s="4">
        <v>38.602967056196412</v>
      </c>
      <c r="E1466" s="4">
        <v>41.40120849148137</v>
      </c>
      <c r="F1466" s="4">
        <v>44.485090512088703</v>
      </c>
      <c r="G1466" s="4">
        <v>47.917310810602459</v>
      </c>
      <c r="H1466" s="4">
        <v>51.726149052443162</v>
      </c>
      <c r="I1466" s="4">
        <v>55.941195496405349</v>
      </c>
      <c r="J1466" s="4">
        <v>60.518363570143357</v>
      </c>
      <c r="K1466" s="4">
        <v>65.429694824896117</v>
      </c>
      <c r="L1466" s="4">
        <v>70.608742812533421</v>
      </c>
      <c r="M1466" s="4">
        <v>76.032981483311346</v>
      </c>
      <c r="N1466" s="4">
        <v>81.754691090817829</v>
      </c>
      <c r="O1466"/>
      <c r="P1466"/>
      <c r="Q1466" s="11"/>
    </row>
    <row r="1467" spans="1:17" x14ac:dyDescent="0.35">
      <c r="A1467" s="3" t="s">
        <v>93</v>
      </c>
      <c r="B1467" s="4">
        <v>42.048751772464293</v>
      </c>
      <c r="C1467" s="4">
        <v>44.695902430749747</v>
      </c>
      <c r="D1467" s="4">
        <v>47.56423855950532</v>
      </c>
      <c r="E1467" s="4">
        <v>50.658518379375536</v>
      </c>
      <c r="F1467" s="4">
        <v>53.933251328815501</v>
      </c>
      <c r="G1467" s="4">
        <v>57.411787480194334</v>
      </c>
      <c r="H1467" s="4">
        <v>61.132851927354778</v>
      </c>
      <c r="I1467" s="4">
        <v>65.119259778779337</v>
      </c>
      <c r="J1467" s="4">
        <v>69.414800858611017</v>
      </c>
      <c r="K1467" s="4">
        <v>74.046780932566875</v>
      </c>
      <c r="L1467" s="4">
        <v>79.014062774720969</v>
      </c>
      <c r="M1467" s="4">
        <v>84.33084684595832</v>
      </c>
      <c r="N1467" s="4">
        <v>89.980679177356905</v>
      </c>
      <c r="O1467"/>
      <c r="P1467"/>
      <c r="Q1467" s="11"/>
    </row>
    <row r="1468" spans="1:17" x14ac:dyDescent="0.35">
      <c r="A1468" s="2" t="s">
        <v>94</v>
      </c>
      <c r="O1468"/>
      <c r="P1468"/>
      <c r="Q1468" s="11"/>
    </row>
    <row r="1469" spans="1:17" x14ac:dyDescent="0.35">
      <c r="A1469" s="3" t="s">
        <v>48</v>
      </c>
      <c r="B1469" s="4">
        <v>11.073177454437346</v>
      </c>
      <c r="C1469" s="4">
        <v>11.906018509569352</v>
      </c>
      <c r="D1469" s="4">
        <v>12.822546467518906</v>
      </c>
      <c r="E1469" s="4">
        <v>13.814977767680622</v>
      </c>
      <c r="F1469" s="4">
        <v>14.861169617976534</v>
      </c>
      <c r="G1469" s="4">
        <v>15.978674167999563</v>
      </c>
      <c r="H1469" s="4">
        <v>17.181776011428759</v>
      </c>
      <c r="I1469" s="4">
        <v>18.500215453886238</v>
      </c>
      <c r="J1469" s="4">
        <v>19.947964691982143</v>
      </c>
      <c r="K1469" s="4">
        <v>21.532657900625285</v>
      </c>
      <c r="L1469" s="4">
        <v>23.23475435509598</v>
      </c>
      <c r="M1469" s="4">
        <v>25.034649422049558</v>
      </c>
      <c r="N1469" s="4">
        <v>26.953958999374031</v>
      </c>
      <c r="O1469"/>
      <c r="P1469"/>
      <c r="Q1469" s="11"/>
    </row>
    <row r="1470" spans="1:17" x14ac:dyDescent="0.35">
      <c r="A1470" s="3" t="s">
        <v>95</v>
      </c>
      <c r="B1470" s="4">
        <v>9.5992215260589315</v>
      </c>
      <c r="C1470" s="4">
        <v>10.411925412233904</v>
      </c>
      <c r="D1470" s="4">
        <v>11.295344471699348</v>
      </c>
      <c r="E1470" s="4">
        <v>12.284609753091331</v>
      </c>
      <c r="F1470" s="4">
        <v>13.384894490362973</v>
      </c>
      <c r="G1470" s="4">
        <v>14.600479724215301</v>
      </c>
      <c r="H1470" s="4">
        <v>15.929402836564877</v>
      </c>
      <c r="I1470" s="4">
        <v>17.366008175096365</v>
      </c>
      <c r="J1470" s="4">
        <v>18.915249342315839</v>
      </c>
      <c r="K1470" s="4">
        <v>20.627612105591304</v>
      </c>
      <c r="L1470" s="4">
        <v>22.524097999467038</v>
      </c>
      <c r="M1470" s="4">
        <v>24.597504657823734</v>
      </c>
      <c r="N1470" s="4">
        <v>26.841599000615812</v>
      </c>
      <c r="O1470"/>
      <c r="P1470"/>
      <c r="Q1470" s="11"/>
    </row>
    <row r="1471" spans="1:17" x14ac:dyDescent="0.35">
      <c r="A1471" s="3" t="s">
        <v>96</v>
      </c>
      <c r="B1471" s="4">
        <v>7.6926410695964904</v>
      </c>
      <c r="C1471" s="4">
        <v>8.3453846260893982</v>
      </c>
      <c r="D1471" s="4">
        <v>9.0665003215722493</v>
      </c>
      <c r="E1471" s="4">
        <v>9.823840816687067</v>
      </c>
      <c r="F1471" s="4">
        <v>10.629180918817653</v>
      </c>
      <c r="G1471" s="4">
        <v>11.498593511288448</v>
      </c>
      <c r="H1471" s="4">
        <v>12.469398674347843</v>
      </c>
      <c r="I1471" s="4">
        <v>13.548976509401271</v>
      </c>
      <c r="J1471" s="4">
        <v>14.746840490749463</v>
      </c>
      <c r="K1471" s="4">
        <v>15.995571796023214</v>
      </c>
      <c r="L1471" s="4">
        <v>17.286159519470374</v>
      </c>
      <c r="M1471" s="4">
        <v>18.681846558358785</v>
      </c>
      <c r="N1471" s="4">
        <v>20.177899001586809</v>
      </c>
      <c r="O1471"/>
      <c r="P1471"/>
      <c r="Q1471" s="11"/>
    </row>
    <row r="1472" spans="1:17" x14ac:dyDescent="0.35">
      <c r="A1472" s="3" t="s">
        <v>97</v>
      </c>
      <c r="B1472" s="4">
        <v>10.159806426507956</v>
      </c>
      <c r="C1472" s="4">
        <v>10.79245361129886</v>
      </c>
      <c r="D1472" s="4">
        <v>11.483573852760667</v>
      </c>
      <c r="E1472" s="4">
        <v>12.223741884982593</v>
      </c>
      <c r="F1472" s="4">
        <v>12.991221122999356</v>
      </c>
      <c r="G1472" s="4">
        <v>13.799968929803644</v>
      </c>
      <c r="H1472" s="4">
        <v>14.660415757368014</v>
      </c>
      <c r="I1472" s="4">
        <v>15.595631483771596</v>
      </c>
      <c r="J1472" s="4">
        <v>16.614228054485125</v>
      </c>
      <c r="K1472" s="4">
        <v>17.719049061907683</v>
      </c>
      <c r="L1472" s="4">
        <v>18.890355176618403</v>
      </c>
      <c r="M1472" s="4">
        <v>20.10921332154696</v>
      </c>
      <c r="N1472" s="4">
        <v>21.390638014290424</v>
      </c>
      <c r="O1472"/>
      <c r="P1472"/>
      <c r="Q1472" s="11"/>
    </row>
    <row r="1473" spans="1:17" x14ac:dyDescent="0.35">
      <c r="A1473" s="3" t="s">
        <v>98</v>
      </c>
      <c r="B1473" s="4">
        <v>20.840059033820602</v>
      </c>
      <c r="C1473" s="4">
        <v>22.11211029214553</v>
      </c>
      <c r="D1473" s="4">
        <v>23.498659492775616</v>
      </c>
      <c r="E1473" s="4">
        <v>25.011317278232248</v>
      </c>
      <c r="F1473" s="4">
        <v>26.67137063888504</v>
      </c>
      <c r="G1473" s="4">
        <v>28.512728862927812</v>
      </c>
      <c r="H1473" s="4">
        <v>30.547741867016061</v>
      </c>
      <c r="I1473" s="4">
        <v>32.789093482801192</v>
      </c>
      <c r="J1473" s="4">
        <v>35.205827445236615</v>
      </c>
      <c r="K1473" s="4">
        <v>37.777217251889098</v>
      </c>
      <c r="L1473" s="4">
        <v>40.460863734230898</v>
      </c>
      <c r="M1473" s="4">
        <v>43.240744439591523</v>
      </c>
      <c r="N1473" s="4">
        <v>46.143813617326806</v>
      </c>
      <c r="O1473"/>
      <c r="P1473"/>
      <c r="Q1473" s="11"/>
    </row>
    <row r="1474" spans="1:17" x14ac:dyDescent="0.35">
      <c r="A1474" s="3" t="s">
        <v>99</v>
      </c>
      <c r="B1474" s="4">
        <v>8.9412342176862527</v>
      </c>
      <c r="C1474" s="4">
        <v>9.3399256597018763</v>
      </c>
      <c r="D1474" s="4">
        <v>9.758107107131563</v>
      </c>
      <c r="E1474" s="4">
        <v>10.221698823194998</v>
      </c>
      <c r="F1474" s="4">
        <v>10.727599260658558</v>
      </c>
      <c r="G1474" s="4">
        <v>11.271964576263397</v>
      </c>
      <c r="H1474" s="4">
        <v>11.846224080162198</v>
      </c>
      <c r="I1474" s="4">
        <v>12.439867324788736</v>
      </c>
      <c r="J1474" s="4">
        <v>13.05113515366868</v>
      </c>
      <c r="K1474" s="4">
        <v>13.709628146054207</v>
      </c>
      <c r="L1474" s="4">
        <v>14.420689927911541</v>
      </c>
      <c r="M1474" s="4">
        <v>15.170270156987975</v>
      </c>
      <c r="N1474" s="4">
        <v>15.946370309847572</v>
      </c>
      <c r="O1474"/>
      <c r="P1474"/>
      <c r="Q1474" s="11"/>
    </row>
    <row r="1475" spans="1:17" x14ac:dyDescent="0.35">
      <c r="A1475" s="3" t="s">
        <v>100</v>
      </c>
      <c r="B1475" s="4">
        <v>7.4607322850471798</v>
      </c>
      <c r="C1475" s="4">
        <v>7.8379608067598356</v>
      </c>
      <c r="D1475" s="4">
        <v>8.2424739022433897</v>
      </c>
      <c r="E1475" s="4">
        <v>8.6795405469880436</v>
      </c>
      <c r="F1475" s="4">
        <v>9.1529057912040876</v>
      </c>
      <c r="G1475" s="4">
        <v>9.6666885182986277</v>
      </c>
      <c r="H1475" s="4">
        <v>10.224041752910191</v>
      </c>
      <c r="I1475" s="4">
        <v>10.820662845439305</v>
      </c>
      <c r="J1475" s="4">
        <v>11.451919250316498</v>
      </c>
      <c r="K1475" s="4">
        <v>12.114739495372204</v>
      </c>
      <c r="L1475" s="4">
        <v>12.805884874460135</v>
      </c>
      <c r="M1475" s="4">
        <v>13.529599772911123</v>
      </c>
      <c r="N1475" s="4">
        <v>14.281091325133289</v>
      </c>
      <c r="O1475"/>
      <c r="P1475"/>
      <c r="Q1475" s="11"/>
    </row>
    <row r="1476" spans="1:17" x14ac:dyDescent="0.35">
      <c r="B1476"/>
      <c r="C1476"/>
      <c r="D1476"/>
      <c r="E1476"/>
      <c r="F1476"/>
      <c r="G1476"/>
      <c r="H1476"/>
      <c r="I1476"/>
      <c r="J1476"/>
      <c r="K1476"/>
      <c r="L1476"/>
      <c r="M1476"/>
      <c r="N1476"/>
      <c r="O1476"/>
      <c r="P1476"/>
      <c r="Q1476" s="11"/>
    </row>
    <row r="1477" spans="1:17" x14ac:dyDescent="0.35">
      <c r="B1477"/>
      <c r="C1477"/>
      <c r="D1477"/>
      <c r="E1477"/>
      <c r="F1477"/>
      <c r="G1477"/>
      <c r="H1477"/>
      <c r="I1477"/>
      <c r="J1477"/>
      <c r="K1477"/>
      <c r="L1477"/>
      <c r="M1477"/>
      <c r="N1477"/>
      <c r="O1477"/>
      <c r="P1477"/>
      <c r="Q1477" s="11"/>
    </row>
    <row r="1478" spans="1:17" x14ac:dyDescent="0.35">
      <c r="B1478"/>
      <c r="C1478"/>
      <c r="D1478"/>
      <c r="E1478"/>
      <c r="F1478"/>
      <c r="G1478"/>
      <c r="H1478"/>
      <c r="I1478"/>
      <c r="J1478"/>
      <c r="K1478"/>
      <c r="L1478"/>
      <c r="M1478"/>
      <c r="N1478"/>
      <c r="O1478"/>
      <c r="P1478"/>
      <c r="Q1478" s="11"/>
    </row>
    <row r="1479" spans="1:17" x14ac:dyDescent="0.35">
      <c r="B1479"/>
      <c r="C1479"/>
      <c r="D1479"/>
      <c r="E1479"/>
      <c r="F1479"/>
      <c r="G1479"/>
      <c r="H1479"/>
      <c r="I1479"/>
      <c r="J1479"/>
      <c r="K1479"/>
      <c r="L1479"/>
      <c r="M1479"/>
      <c r="N1479"/>
      <c r="O1479"/>
      <c r="P1479"/>
      <c r="Q1479" s="11"/>
    </row>
    <row r="1480" spans="1:17" x14ac:dyDescent="0.35">
      <c r="B1480"/>
      <c r="C1480"/>
      <c r="D1480"/>
      <c r="E1480"/>
      <c r="F1480"/>
      <c r="G1480"/>
      <c r="H1480"/>
      <c r="I1480"/>
      <c r="J1480"/>
      <c r="K1480"/>
      <c r="L1480"/>
      <c r="M1480"/>
      <c r="N1480"/>
      <c r="O1480"/>
      <c r="P1480"/>
      <c r="Q1480" s="11"/>
    </row>
    <row r="1481" spans="1:17" x14ac:dyDescent="0.35">
      <c r="B1481"/>
      <c r="C1481"/>
      <c r="D1481"/>
      <c r="E1481"/>
      <c r="F1481"/>
      <c r="G1481"/>
      <c r="H1481"/>
      <c r="I1481"/>
      <c r="J1481"/>
      <c r="K1481"/>
      <c r="L1481"/>
      <c r="M1481"/>
      <c r="N1481"/>
      <c r="O1481"/>
      <c r="P1481"/>
      <c r="Q1481" s="11"/>
    </row>
    <row r="1482" spans="1:17" x14ac:dyDescent="0.35">
      <c r="B1482"/>
      <c r="C1482"/>
      <c r="D1482"/>
      <c r="E1482"/>
      <c r="F1482"/>
      <c r="G1482"/>
      <c r="H1482"/>
      <c r="I1482"/>
      <c r="J1482"/>
      <c r="K1482"/>
      <c r="L1482"/>
      <c r="M1482"/>
      <c r="N1482"/>
      <c r="O1482"/>
      <c r="P1482"/>
      <c r="Q1482" s="11"/>
    </row>
    <row r="1483" spans="1:17" x14ac:dyDescent="0.35">
      <c r="B1483"/>
      <c r="C1483"/>
      <c r="D1483"/>
      <c r="E1483"/>
      <c r="F1483"/>
      <c r="G1483"/>
      <c r="H1483"/>
      <c r="I1483"/>
      <c r="J1483"/>
      <c r="K1483"/>
      <c r="L1483"/>
      <c r="M1483"/>
      <c r="N1483"/>
      <c r="O1483"/>
      <c r="P1483"/>
      <c r="Q1483" s="11"/>
    </row>
    <row r="1484" spans="1:17" x14ac:dyDescent="0.35">
      <c r="B1484"/>
      <c r="C1484"/>
      <c r="D1484"/>
      <c r="E1484"/>
      <c r="F1484"/>
      <c r="G1484"/>
      <c r="H1484"/>
      <c r="I1484"/>
      <c r="J1484"/>
      <c r="K1484"/>
      <c r="L1484"/>
      <c r="M1484"/>
      <c r="N1484"/>
      <c r="O1484"/>
      <c r="P1484"/>
      <c r="Q1484" s="11"/>
    </row>
    <row r="1485" spans="1:17" x14ac:dyDescent="0.35">
      <c r="B1485"/>
      <c r="C1485"/>
      <c r="D1485"/>
      <c r="E1485"/>
      <c r="F1485"/>
      <c r="G1485"/>
      <c r="H1485"/>
      <c r="I1485"/>
      <c r="J1485"/>
      <c r="K1485"/>
      <c r="L1485"/>
      <c r="M1485"/>
      <c r="N1485"/>
      <c r="O1485"/>
      <c r="P1485"/>
      <c r="Q1485" s="11"/>
    </row>
    <row r="1486" spans="1:17" x14ac:dyDescent="0.35">
      <c r="B1486"/>
      <c r="C1486"/>
      <c r="D1486"/>
      <c r="E1486"/>
      <c r="F1486"/>
      <c r="G1486"/>
      <c r="H1486"/>
      <c r="I1486"/>
      <c r="J1486"/>
      <c r="K1486"/>
      <c r="L1486"/>
      <c r="M1486"/>
      <c r="N1486"/>
      <c r="O1486"/>
      <c r="P1486"/>
      <c r="Q1486" s="11"/>
    </row>
    <row r="1487" spans="1:17" x14ac:dyDescent="0.35">
      <c r="B1487"/>
      <c r="C1487"/>
      <c r="D1487"/>
      <c r="E1487"/>
      <c r="F1487"/>
      <c r="G1487"/>
      <c r="H1487"/>
      <c r="I1487"/>
      <c r="J1487"/>
      <c r="K1487"/>
      <c r="L1487"/>
      <c r="M1487"/>
      <c r="N1487"/>
      <c r="O1487"/>
      <c r="P1487"/>
      <c r="Q1487" s="11"/>
    </row>
    <row r="1488" spans="1:17" x14ac:dyDescent="0.35">
      <c r="B1488"/>
      <c r="C1488"/>
      <c r="D1488"/>
      <c r="E1488"/>
      <c r="F1488"/>
      <c r="G1488"/>
      <c r="H1488"/>
      <c r="I1488"/>
      <c r="J1488"/>
      <c r="K1488"/>
      <c r="L1488"/>
      <c r="M1488"/>
      <c r="N1488"/>
      <c r="O1488"/>
      <c r="P1488"/>
      <c r="Q1488" s="11"/>
    </row>
    <row r="1489" spans="2:17" x14ac:dyDescent="0.35">
      <c r="B1489"/>
      <c r="C1489"/>
      <c r="D1489"/>
      <c r="E1489"/>
      <c r="F1489"/>
      <c r="G1489"/>
      <c r="H1489"/>
      <c r="I1489"/>
      <c r="J1489"/>
      <c r="K1489"/>
      <c r="L1489"/>
      <c r="M1489"/>
      <c r="N1489"/>
      <c r="O1489"/>
      <c r="P1489"/>
      <c r="Q1489" s="11"/>
    </row>
    <row r="1490" spans="2:17" x14ac:dyDescent="0.35">
      <c r="B1490"/>
      <c r="C1490"/>
      <c r="D1490"/>
      <c r="E1490"/>
      <c r="F1490"/>
      <c r="G1490"/>
      <c r="H1490"/>
      <c r="I1490"/>
      <c r="J1490"/>
      <c r="K1490"/>
      <c r="L1490"/>
      <c r="M1490"/>
      <c r="N1490"/>
      <c r="O1490"/>
      <c r="P1490"/>
      <c r="Q1490" s="11"/>
    </row>
    <row r="1491" spans="2:17" x14ac:dyDescent="0.35">
      <c r="B1491"/>
      <c r="C1491"/>
      <c r="D1491"/>
      <c r="E1491"/>
      <c r="F1491"/>
      <c r="G1491"/>
      <c r="H1491"/>
      <c r="I1491"/>
      <c r="J1491"/>
      <c r="K1491"/>
      <c r="L1491"/>
      <c r="M1491"/>
      <c r="N1491"/>
      <c r="O1491"/>
      <c r="P1491"/>
      <c r="Q1491" s="11"/>
    </row>
    <row r="1492" spans="2:17" x14ac:dyDescent="0.35">
      <c r="B1492"/>
      <c r="C1492"/>
      <c r="D1492"/>
      <c r="E1492"/>
      <c r="F1492"/>
      <c r="G1492"/>
      <c r="H1492"/>
      <c r="I1492"/>
      <c r="J1492"/>
      <c r="K1492"/>
      <c r="L1492"/>
      <c r="M1492"/>
      <c r="N1492"/>
      <c r="O1492"/>
      <c r="P1492"/>
      <c r="Q1492" s="11"/>
    </row>
    <row r="1493" spans="2:17" x14ac:dyDescent="0.35">
      <c r="B1493"/>
      <c r="C1493"/>
      <c r="D1493"/>
      <c r="E1493"/>
      <c r="F1493"/>
      <c r="G1493"/>
      <c r="H1493"/>
      <c r="I1493"/>
      <c r="J1493"/>
      <c r="K1493"/>
      <c r="L1493"/>
      <c r="M1493"/>
      <c r="N1493"/>
      <c r="O1493"/>
      <c r="P1493"/>
      <c r="Q1493" s="11"/>
    </row>
    <row r="1494" spans="2:17" x14ac:dyDescent="0.35">
      <c r="B1494"/>
      <c r="C1494"/>
      <c r="D1494"/>
      <c r="E1494"/>
      <c r="F1494"/>
      <c r="G1494"/>
      <c r="H1494"/>
      <c r="I1494"/>
      <c r="J1494"/>
      <c r="K1494"/>
      <c r="L1494"/>
      <c r="M1494"/>
      <c r="N1494"/>
      <c r="O1494"/>
      <c r="P1494"/>
      <c r="Q1494" s="11"/>
    </row>
    <row r="1495" spans="2:17" x14ac:dyDescent="0.35">
      <c r="B1495"/>
      <c r="C1495"/>
      <c r="D1495"/>
      <c r="E1495"/>
      <c r="F1495"/>
      <c r="G1495"/>
      <c r="H1495"/>
      <c r="I1495"/>
      <c r="J1495"/>
      <c r="K1495"/>
      <c r="L1495"/>
      <c r="M1495"/>
      <c r="N1495"/>
      <c r="O1495"/>
      <c r="P1495"/>
      <c r="Q1495" s="11"/>
    </row>
    <row r="1496" spans="2:17" x14ac:dyDescent="0.35">
      <c r="B1496"/>
      <c r="C1496"/>
      <c r="D1496"/>
      <c r="E1496"/>
      <c r="F1496"/>
      <c r="G1496"/>
      <c r="H1496"/>
      <c r="I1496"/>
      <c r="J1496"/>
      <c r="K1496"/>
      <c r="L1496"/>
      <c r="M1496"/>
      <c r="N1496"/>
      <c r="O1496"/>
      <c r="P1496"/>
      <c r="Q1496" s="11"/>
    </row>
    <row r="1497" spans="2:17" x14ac:dyDescent="0.35">
      <c r="B1497"/>
      <c r="C1497"/>
      <c r="D1497"/>
      <c r="E1497"/>
      <c r="F1497"/>
      <c r="G1497"/>
      <c r="H1497"/>
      <c r="I1497"/>
      <c r="J1497"/>
      <c r="K1497"/>
      <c r="L1497"/>
      <c r="M1497"/>
      <c r="N1497"/>
      <c r="O1497"/>
      <c r="P1497"/>
      <c r="Q1497" s="11"/>
    </row>
    <row r="1498" spans="2:17" x14ac:dyDescent="0.35">
      <c r="B1498"/>
      <c r="C1498"/>
      <c r="D1498"/>
      <c r="E1498"/>
      <c r="F1498"/>
      <c r="G1498"/>
      <c r="H1498"/>
      <c r="I1498"/>
      <c r="J1498"/>
      <c r="K1498"/>
      <c r="L1498"/>
      <c r="M1498"/>
      <c r="N1498"/>
      <c r="O1498"/>
      <c r="P1498"/>
      <c r="Q1498" s="11"/>
    </row>
    <row r="1499" spans="2:17" x14ac:dyDescent="0.35">
      <c r="B1499"/>
      <c r="C1499"/>
      <c r="D1499"/>
      <c r="E1499"/>
      <c r="F1499"/>
      <c r="G1499"/>
      <c r="H1499"/>
      <c r="I1499"/>
      <c r="J1499"/>
      <c r="K1499"/>
      <c r="L1499"/>
      <c r="M1499"/>
      <c r="N1499"/>
      <c r="O1499"/>
      <c r="P1499"/>
      <c r="Q1499" s="11"/>
    </row>
    <row r="1500" spans="2:17" x14ac:dyDescent="0.35">
      <c r="B1500"/>
      <c r="C1500"/>
      <c r="D1500"/>
      <c r="E1500"/>
      <c r="F1500"/>
      <c r="G1500"/>
      <c r="H1500"/>
      <c r="I1500"/>
      <c r="J1500"/>
      <c r="K1500"/>
      <c r="L1500"/>
      <c r="M1500"/>
      <c r="N1500"/>
      <c r="O1500"/>
      <c r="P1500"/>
      <c r="Q1500" s="11"/>
    </row>
    <row r="1501" spans="2:17" x14ac:dyDescent="0.35">
      <c r="B1501"/>
      <c r="C1501"/>
      <c r="D1501"/>
      <c r="E1501"/>
      <c r="F1501"/>
      <c r="G1501"/>
      <c r="H1501"/>
      <c r="I1501"/>
      <c r="J1501"/>
      <c r="K1501"/>
      <c r="L1501"/>
      <c r="M1501"/>
      <c r="N1501"/>
      <c r="O1501"/>
      <c r="P1501"/>
      <c r="Q1501" s="11"/>
    </row>
    <row r="1502" spans="2:17" x14ac:dyDescent="0.35">
      <c r="B1502"/>
      <c r="C1502"/>
      <c r="D1502"/>
      <c r="E1502"/>
      <c r="F1502"/>
      <c r="G1502"/>
      <c r="H1502"/>
      <c r="I1502"/>
      <c r="J1502"/>
      <c r="K1502"/>
      <c r="L1502"/>
      <c r="M1502"/>
      <c r="N1502"/>
      <c r="O1502"/>
      <c r="P1502"/>
      <c r="Q1502" s="11"/>
    </row>
    <row r="1503" spans="2:17" x14ac:dyDescent="0.35">
      <c r="B1503"/>
      <c r="C1503"/>
      <c r="D1503"/>
      <c r="E1503"/>
      <c r="F1503"/>
      <c r="G1503"/>
      <c r="H1503"/>
      <c r="I1503"/>
      <c r="J1503"/>
      <c r="K1503"/>
      <c r="L1503"/>
      <c r="M1503"/>
      <c r="N1503"/>
      <c r="O1503"/>
      <c r="P1503"/>
      <c r="Q1503" s="11"/>
    </row>
    <row r="1504" spans="2:17" x14ac:dyDescent="0.35">
      <c r="B1504"/>
      <c r="C1504"/>
      <c r="D1504"/>
      <c r="E1504"/>
      <c r="F1504"/>
      <c r="G1504"/>
      <c r="H1504"/>
      <c r="I1504"/>
      <c r="J1504"/>
      <c r="K1504"/>
      <c r="L1504"/>
      <c r="M1504"/>
      <c r="N1504"/>
      <c r="O1504"/>
      <c r="P1504"/>
      <c r="Q1504" s="11"/>
    </row>
    <row r="1505" spans="2:17" x14ac:dyDescent="0.35">
      <c r="B1505"/>
      <c r="C1505"/>
      <c r="D1505"/>
      <c r="E1505"/>
      <c r="F1505"/>
      <c r="G1505"/>
      <c r="H1505"/>
      <c r="I1505"/>
      <c r="J1505"/>
      <c r="K1505"/>
      <c r="L1505"/>
      <c r="M1505"/>
      <c r="N1505"/>
      <c r="O1505"/>
      <c r="P1505"/>
      <c r="Q1505" s="11"/>
    </row>
    <row r="1506" spans="2:17" x14ac:dyDescent="0.35">
      <c r="B1506"/>
      <c r="C1506"/>
      <c r="D1506"/>
      <c r="E1506"/>
      <c r="F1506"/>
      <c r="G1506"/>
      <c r="H1506"/>
      <c r="I1506"/>
      <c r="J1506"/>
      <c r="K1506"/>
      <c r="L1506"/>
      <c r="M1506"/>
      <c r="N1506"/>
      <c r="O1506"/>
      <c r="P1506"/>
      <c r="Q1506" s="11"/>
    </row>
    <row r="1507" spans="2:17" x14ac:dyDescent="0.35">
      <c r="B1507"/>
      <c r="C1507"/>
      <c r="D1507"/>
      <c r="E1507"/>
      <c r="F1507"/>
      <c r="G1507"/>
      <c r="H1507"/>
      <c r="I1507"/>
      <c r="J1507"/>
      <c r="K1507"/>
      <c r="L1507"/>
      <c r="M1507"/>
      <c r="N1507"/>
      <c r="O1507"/>
      <c r="P1507"/>
      <c r="Q1507" s="11"/>
    </row>
    <row r="1508" spans="2:17" x14ac:dyDescent="0.35">
      <c r="B1508"/>
      <c r="C1508"/>
      <c r="D1508"/>
      <c r="E1508"/>
      <c r="F1508"/>
      <c r="G1508"/>
      <c r="H1508"/>
      <c r="I1508"/>
      <c r="J1508"/>
      <c r="K1508"/>
      <c r="L1508"/>
      <c r="M1508"/>
      <c r="N1508"/>
      <c r="O1508"/>
      <c r="P1508"/>
      <c r="Q1508" s="11"/>
    </row>
    <row r="1509" spans="2:17" x14ac:dyDescent="0.35">
      <c r="B1509"/>
      <c r="C1509"/>
      <c r="D1509"/>
      <c r="E1509"/>
      <c r="F1509"/>
      <c r="G1509"/>
      <c r="H1509"/>
      <c r="I1509"/>
      <c r="J1509"/>
      <c r="K1509"/>
      <c r="L1509"/>
      <c r="M1509"/>
      <c r="N1509"/>
      <c r="O1509"/>
      <c r="P1509"/>
      <c r="Q1509" s="11"/>
    </row>
    <row r="1510" spans="2:17" x14ac:dyDescent="0.35">
      <c r="B1510"/>
      <c r="C1510"/>
      <c r="D1510"/>
      <c r="E1510"/>
      <c r="F1510"/>
      <c r="G1510"/>
      <c r="H1510"/>
      <c r="I1510"/>
      <c r="J1510"/>
      <c r="K1510"/>
      <c r="L1510"/>
      <c r="M1510"/>
      <c r="N1510"/>
      <c r="O1510"/>
      <c r="P1510"/>
      <c r="Q1510" s="11"/>
    </row>
    <row r="1511" spans="2:17" x14ac:dyDescent="0.35">
      <c r="B1511"/>
      <c r="C1511"/>
      <c r="D1511"/>
      <c r="E1511"/>
      <c r="F1511"/>
      <c r="G1511"/>
      <c r="H1511"/>
      <c r="I1511"/>
      <c r="J1511"/>
      <c r="K1511"/>
      <c r="L1511"/>
      <c r="M1511"/>
      <c r="N1511"/>
      <c r="O1511"/>
      <c r="P1511"/>
      <c r="Q1511" s="11"/>
    </row>
    <row r="1512" spans="2:17" x14ac:dyDescent="0.35">
      <c r="B1512"/>
      <c r="C1512"/>
      <c r="D1512"/>
      <c r="E1512"/>
      <c r="F1512"/>
      <c r="G1512"/>
      <c r="H1512"/>
      <c r="I1512"/>
      <c r="J1512"/>
      <c r="K1512"/>
      <c r="L1512"/>
      <c r="M1512"/>
      <c r="N1512"/>
      <c r="O1512"/>
      <c r="P1512"/>
      <c r="Q1512" s="11"/>
    </row>
    <row r="1513" spans="2:17" x14ac:dyDescent="0.35">
      <c r="B1513"/>
      <c r="C1513"/>
      <c r="D1513"/>
      <c r="E1513"/>
      <c r="F1513"/>
      <c r="G1513"/>
      <c r="H1513"/>
      <c r="I1513"/>
      <c r="J1513"/>
      <c r="K1513"/>
      <c r="L1513"/>
      <c r="M1513"/>
      <c r="N1513"/>
      <c r="O1513"/>
      <c r="P1513"/>
      <c r="Q1513" s="11"/>
    </row>
    <row r="1514" spans="2:17" x14ac:dyDescent="0.35">
      <c r="B1514"/>
      <c r="C1514"/>
      <c r="D1514"/>
      <c r="E1514"/>
      <c r="F1514"/>
      <c r="G1514"/>
      <c r="H1514"/>
      <c r="I1514"/>
      <c r="J1514"/>
      <c r="K1514"/>
      <c r="L1514"/>
      <c r="M1514"/>
      <c r="N1514"/>
      <c r="O1514"/>
      <c r="P1514"/>
      <c r="Q1514" s="11"/>
    </row>
    <row r="1515" spans="2:17" x14ac:dyDescent="0.35">
      <c r="B1515"/>
      <c r="C1515"/>
      <c r="D1515"/>
      <c r="E1515"/>
      <c r="F1515"/>
      <c r="G1515"/>
      <c r="H1515"/>
      <c r="I1515"/>
      <c r="J1515"/>
      <c r="K1515"/>
      <c r="L1515"/>
      <c r="M1515"/>
      <c r="N1515"/>
      <c r="O1515"/>
      <c r="P1515"/>
      <c r="Q1515" s="11"/>
    </row>
    <row r="1516" spans="2:17" x14ac:dyDescent="0.35">
      <c r="B1516"/>
      <c r="C1516"/>
      <c r="D1516"/>
      <c r="E1516"/>
      <c r="F1516"/>
      <c r="G1516"/>
      <c r="H1516"/>
      <c r="I1516"/>
      <c r="J1516"/>
      <c r="K1516"/>
      <c r="L1516"/>
      <c r="M1516"/>
      <c r="N1516"/>
      <c r="O1516"/>
      <c r="P1516"/>
      <c r="Q1516" s="11"/>
    </row>
    <row r="1517" spans="2:17" x14ac:dyDescent="0.35">
      <c r="B1517"/>
      <c r="C1517"/>
      <c r="D1517"/>
      <c r="E1517"/>
      <c r="F1517"/>
      <c r="G1517"/>
      <c r="H1517"/>
      <c r="I1517"/>
      <c r="J1517"/>
      <c r="K1517"/>
      <c r="L1517"/>
      <c r="M1517"/>
      <c r="N1517"/>
      <c r="O1517"/>
      <c r="P1517"/>
      <c r="Q1517" s="11"/>
    </row>
    <row r="1518" spans="2:17" x14ac:dyDescent="0.35">
      <c r="B1518"/>
      <c r="C1518"/>
      <c r="D1518"/>
      <c r="E1518"/>
      <c r="F1518"/>
      <c r="G1518"/>
      <c r="H1518"/>
      <c r="I1518"/>
      <c r="J1518"/>
      <c r="K1518"/>
      <c r="L1518"/>
      <c r="M1518"/>
      <c r="N1518"/>
      <c r="O1518"/>
      <c r="P1518"/>
      <c r="Q1518" s="11"/>
    </row>
    <row r="1519" spans="2:17" x14ac:dyDescent="0.35">
      <c r="B1519"/>
      <c r="C1519"/>
      <c r="D1519"/>
      <c r="E1519"/>
      <c r="F1519"/>
      <c r="G1519"/>
      <c r="H1519"/>
      <c r="I1519"/>
      <c r="J1519"/>
      <c r="K1519"/>
      <c r="L1519"/>
      <c r="M1519"/>
      <c r="N1519"/>
      <c r="O1519"/>
      <c r="P1519"/>
      <c r="Q1519" s="11"/>
    </row>
    <row r="1520" spans="2:17" x14ac:dyDescent="0.35">
      <c r="B1520"/>
      <c r="C1520"/>
      <c r="D1520"/>
      <c r="E1520"/>
      <c r="F1520"/>
      <c r="G1520"/>
      <c r="H1520"/>
      <c r="I1520"/>
      <c r="J1520"/>
      <c r="K1520"/>
      <c r="L1520"/>
      <c r="M1520"/>
      <c r="N1520"/>
      <c r="O1520"/>
      <c r="P1520"/>
      <c r="Q1520" s="11"/>
    </row>
    <row r="1521" spans="2:17" x14ac:dyDescent="0.35">
      <c r="B1521"/>
      <c r="C1521"/>
      <c r="D1521"/>
      <c r="E1521"/>
      <c r="F1521"/>
      <c r="G1521"/>
      <c r="H1521"/>
      <c r="I1521"/>
      <c r="J1521"/>
      <c r="K1521"/>
      <c r="L1521"/>
      <c r="M1521"/>
      <c r="N1521"/>
      <c r="O1521"/>
      <c r="P1521"/>
      <c r="Q1521" s="11"/>
    </row>
    <row r="1522" spans="2:17" x14ac:dyDescent="0.35">
      <c r="B1522"/>
      <c r="C1522"/>
      <c r="D1522"/>
      <c r="E1522"/>
      <c r="F1522"/>
      <c r="G1522"/>
      <c r="H1522"/>
      <c r="I1522"/>
      <c r="J1522"/>
      <c r="K1522"/>
      <c r="L1522"/>
      <c r="M1522"/>
      <c r="N1522"/>
      <c r="O1522"/>
      <c r="P1522"/>
      <c r="Q1522" s="11"/>
    </row>
    <row r="1523" spans="2:17" x14ac:dyDescent="0.35">
      <c r="B1523"/>
      <c r="C1523"/>
      <c r="D1523"/>
      <c r="E1523"/>
      <c r="F1523"/>
      <c r="G1523"/>
      <c r="H1523"/>
      <c r="I1523"/>
      <c r="J1523"/>
      <c r="K1523"/>
      <c r="L1523"/>
      <c r="M1523"/>
      <c r="N1523"/>
      <c r="O1523"/>
      <c r="P1523"/>
      <c r="Q1523" s="11"/>
    </row>
    <row r="1524" spans="2:17" x14ac:dyDescent="0.35">
      <c r="B1524"/>
      <c r="C1524"/>
      <c r="D1524"/>
      <c r="E1524"/>
      <c r="F1524"/>
      <c r="G1524"/>
      <c r="H1524"/>
      <c r="I1524"/>
      <c r="J1524"/>
      <c r="K1524"/>
      <c r="L1524"/>
      <c r="M1524"/>
      <c r="N1524"/>
      <c r="O1524"/>
      <c r="P1524"/>
      <c r="Q1524" s="11"/>
    </row>
    <row r="1525" spans="2:17" x14ac:dyDescent="0.35">
      <c r="B1525"/>
      <c r="C1525"/>
      <c r="D1525"/>
      <c r="E1525"/>
      <c r="F1525"/>
      <c r="G1525"/>
      <c r="H1525"/>
      <c r="I1525"/>
      <c r="J1525"/>
      <c r="K1525"/>
      <c r="L1525"/>
      <c r="M1525"/>
      <c r="N1525"/>
      <c r="O1525"/>
      <c r="P1525"/>
      <c r="Q1525" s="11"/>
    </row>
    <row r="1526" spans="2:17" x14ac:dyDescent="0.35">
      <c r="B1526"/>
      <c r="C1526"/>
      <c r="D1526"/>
      <c r="E1526"/>
      <c r="F1526"/>
      <c r="G1526"/>
      <c r="H1526"/>
      <c r="I1526"/>
      <c r="J1526"/>
      <c r="K1526"/>
      <c r="L1526"/>
      <c r="M1526"/>
      <c r="N1526"/>
      <c r="O1526"/>
      <c r="P1526"/>
      <c r="Q1526" s="11"/>
    </row>
    <row r="1527" spans="2:17" x14ac:dyDescent="0.35">
      <c r="B1527"/>
      <c r="C1527"/>
      <c r="D1527"/>
      <c r="E1527"/>
      <c r="F1527"/>
      <c r="G1527"/>
      <c r="H1527"/>
      <c r="I1527"/>
      <c r="J1527"/>
      <c r="K1527"/>
      <c r="L1527"/>
      <c r="M1527"/>
      <c r="N1527"/>
      <c r="O1527"/>
      <c r="P1527"/>
      <c r="Q1527" s="11"/>
    </row>
    <row r="1528" spans="2:17" x14ac:dyDescent="0.35">
      <c r="B1528"/>
      <c r="C1528"/>
      <c r="D1528"/>
      <c r="E1528"/>
      <c r="F1528"/>
      <c r="G1528"/>
      <c r="H1528"/>
      <c r="I1528"/>
      <c r="J1528"/>
      <c r="K1528"/>
      <c r="L1528"/>
      <c r="M1528"/>
      <c r="N1528"/>
      <c r="O1528"/>
      <c r="P1528"/>
      <c r="Q1528" s="11"/>
    </row>
    <row r="1529" spans="2:17" x14ac:dyDescent="0.35">
      <c r="B1529"/>
      <c r="C1529"/>
      <c r="D1529"/>
      <c r="E1529"/>
      <c r="F1529"/>
      <c r="G1529"/>
      <c r="H1529"/>
      <c r="I1529"/>
      <c r="J1529"/>
      <c r="K1529"/>
      <c r="L1529"/>
      <c r="M1529"/>
      <c r="N1529"/>
      <c r="O1529"/>
      <c r="P1529"/>
      <c r="Q1529" s="11"/>
    </row>
    <row r="1530" spans="2:17" x14ac:dyDescent="0.35">
      <c r="B1530"/>
      <c r="C1530"/>
      <c r="D1530"/>
      <c r="E1530"/>
      <c r="F1530"/>
      <c r="G1530"/>
      <c r="H1530"/>
      <c r="I1530"/>
      <c r="J1530"/>
      <c r="K1530"/>
      <c r="L1530"/>
      <c r="M1530"/>
      <c r="N1530"/>
      <c r="O1530"/>
      <c r="P1530"/>
      <c r="Q1530" s="11"/>
    </row>
    <row r="1531" spans="2:17" x14ac:dyDescent="0.35">
      <c r="B1531"/>
      <c r="C1531"/>
      <c r="D1531"/>
      <c r="E1531"/>
      <c r="F1531"/>
      <c r="G1531"/>
      <c r="H1531"/>
      <c r="I1531"/>
      <c r="J1531"/>
      <c r="K1531"/>
      <c r="L1531"/>
      <c r="M1531"/>
      <c r="N1531"/>
      <c r="O1531"/>
      <c r="P1531"/>
      <c r="Q1531" s="11"/>
    </row>
    <row r="1532" spans="2:17" x14ac:dyDescent="0.35">
      <c r="B1532"/>
      <c r="C1532"/>
      <c r="D1532"/>
      <c r="E1532"/>
      <c r="F1532"/>
      <c r="G1532"/>
      <c r="H1532"/>
      <c r="I1532"/>
      <c r="J1532"/>
      <c r="K1532"/>
      <c r="L1532"/>
      <c r="M1532"/>
      <c r="N1532"/>
      <c r="O1532"/>
      <c r="P1532"/>
      <c r="Q1532" s="11"/>
    </row>
    <row r="1533" spans="2:17" x14ac:dyDescent="0.35">
      <c r="B1533"/>
      <c r="C1533"/>
      <c r="D1533"/>
      <c r="E1533"/>
      <c r="F1533"/>
      <c r="G1533"/>
      <c r="H1533"/>
      <c r="I1533"/>
      <c r="J1533"/>
      <c r="K1533"/>
      <c r="L1533"/>
      <c r="M1533"/>
      <c r="N1533"/>
      <c r="O1533"/>
      <c r="P1533"/>
      <c r="Q1533" s="11"/>
    </row>
    <row r="1534" spans="2:17" x14ac:dyDescent="0.35">
      <c r="B1534"/>
      <c r="C1534"/>
      <c r="D1534"/>
      <c r="E1534"/>
      <c r="F1534"/>
      <c r="G1534"/>
      <c r="H1534"/>
      <c r="I1534"/>
      <c r="J1534"/>
      <c r="K1534"/>
      <c r="L1534"/>
      <c r="M1534"/>
      <c r="N1534"/>
      <c r="O1534"/>
      <c r="P1534"/>
      <c r="Q1534" s="11"/>
    </row>
    <row r="1535" spans="2:17" x14ac:dyDescent="0.35">
      <c r="B1535"/>
      <c r="C1535"/>
      <c r="D1535"/>
      <c r="E1535"/>
      <c r="F1535"/>
      <c r="G1535"/>
      <c r="H1535"/>
      <c r="I1535"/>
      <c r="J1535"/>
      <c r="K1535"/>
      <c r="L1535"/>
      <c r="M1535"/>
      <c r="N1535"/>
      <c r="O1535"/>
      <c r="P1535"/>
      <c r="Q1535" s="11"/>
    </row>
    <row r="1536" spans="2:17" x14ac:dyDescent="0.35">
      <c r="B1536"/>
      <c r="C1536"/>
      <c r="D1536"/>
      <c r="E1536"/>
      <c r="F1536"/>
      <c r="G1536"/>
      <c r="H1536"/>
      <c r="I1536"/>
      <c r="J1536"/>
      <c r="K1536"/>
      <c r="L1536"/>
      <c r="M1536"/>
      <c r="N1536"/>
      <c r="O1536"/>
      <c r="P1536"/>
      <c r="Q1536" s="11"/>
    </row>
    <row r="1537" spans="2:17" x14ac:dyDescent="0.35">
      <c r="B1537"/>
      <c r="C1537"/>
      <c r="D1537"/>
      <c r="E1537"/>
      <c r="F1537"/>
      <c r="G1537"/>
      <c r="H1537"/>
      <c r="I1537"/>
      <c r="J1537"/>
      <c r="K1537"/>
      <c r="L1537"/>
      <c r="M1537"/>
      <c r="N1537"/>
      <c r="O1537"/>
      <c r="P1537"/>
      <c r="Q1537" s="11"/>
    </row>
    <row r="1538" spans="2:17" x14ac:dyDescent="0.35">
      <c r="B1538"/>
      <c r="C1538"/>
      <c r="D1538"/>
      <c r="E1538"/>
      <c r="F1538"/>
      <c r="G1538"/>
      <c r="H1538"/>
      <c r="I1538"/>
      <c r="J1538"/>
      <c r="K1538"/>
      <c r="L1538"/>
      <c r="M1538"/>
      <c r="N1538"/>
      <c r="O1538"/>
      <c r="P1538"/>
      <c r="Q1538" s="11"/>
    </row>
    <row r="1539" spans="2:17" x14ac:dyDescent="0.35">
      <c r="B1539"/>
      <c r="C1539"/>
      <c r="D1539"/>
      <c r="E1539"/>
      <c r="F1539"/>
      <c r="G1539"/>
      <c r="H1539"/>
      <c r="I1539"/>
      <c r="J1539"/>
      <c r="K1539"/>
      <c r="L1539"/>
      <c r="M1539"/>
      <c r="N1539"/>
      <c r="O1539"/>
      <c r="P1539"/>
      <c r="Q1539" s="11"/>
    </row>
    <row r="1540" spans="2:17" x14ac:dyDescent="0.35">
      <c r="B1540"/>
      <c r="C1540"/>
      <c r="D1540"/>
      <c r="E1540"/>
      <c r="F1540"/>
      <c r="G1540"/>
      <c r="H1540"/>
      <c r="I1540"/>
      <c r="J1540"/>
      <c r="K1540"/>
      <c r="L1540"/>
      <c r="M1540"/>
      <c r="N1540"/>
      <c r="O1540"/>
      <c r="P1540"/>
      <c r="Q1540" s="11"/>
    </row>
    <row r="1541" spans="2:17" x14ac:dyDescent="0.35">
      <c r="B1541"/>
      <c r="C1541"/>
      <c r="D1541"/>
      <c r="E1541"/>
      <c r="F1541"/>
      <c r="G1541"/>
      <c r="H1541"/>
      <c r="I1541"/>
      <c r="J1541"/>
      <c r="K1541"/>
      <c r="L1541"/>
      <c r="M1541"/>
      <c r="N1541"/>
      <c r="O1541"/>
      <c r="P1541"/>
      <c r="Q1541" s="11"/>
    </row>
    <row r="1542" spans="2:17" x14ac:dyDescent="0.35">
      <c r="B1542"/>
      <c r="C1542"/>
      <c r="D1542"/>
      <c r="E1542"/>
      <c r="F1542"/>
      <c r="G1542"/>
      <c r="H1542"/>
      <c r="I1542"/>
      <c r="J1542"/>
      <c r="K1542"/>
      <c r="L1542"/>
      <c r="M1542"/>
      <c r="N1542"/>
      <c r="O1542"/>
      <c r="P1542"/>
      <c r="Q1542" s="11"/>
    </row>
    <row r="1543" spans="2:17" x14ac:dyDescent="0.35">
      <c r="B1543"/>
      <c r="C1543"/>
      <c r="D1543"/>
      <c r="E1543"/>
      <c r="F1543"/>
      <c r="G1543"/>
      <c r="H1543"/>
      <c r="I1543"/>
      <c r="J1543"/>
      <c r="K1543"/>
      <c r="L1543"/>
      <c r="M1543"/>
      <c r="N1543"/>
      <c r="O1543"/>
      <c r="P1543"/>
      <c r="Q1543" s="11"/>
    </row>
    <row r="1544" spans="2:17" x14ac:dyDescent="0.35">
      <c r="B1544"/>
      <c r="C1544"/>
      <c r="D1544"/>
      <c r="E1544"/>
      <c r="F1544"/>
      <c r="G1544"/>
      <c r="H1544"/>
      <c r="I1544"/>
      <c r="J1544"/>
      <c r="K1544"/>
      <c r="L1544"/>
      <c r="M1544"/>
      <c r="N1544"/>
      <c r="O1544"/>
      <c r="P1544"/>
      <c r="Q1544" s="11"/>
    </row>
    <row r="1545" spans="2:17" x14ac:dyDescent="0.35">
      <c r="B1545"/>
      <c r="C1545"/>
      <c r="D1545"/>
      <c r="E1545"/>
      <c r="F1545"/>
      <c r="G1545"/>
      <c r="H1545"/>
      <c r="I1545"/>
      <c r="J1545"/>
      <c r="K1545"/>
      <c r="L1545"/>
      <c r="M1545"/>
      <c r="N1545"/>
      <c r="O1545"/>
      <c r="P1545"/>
      <c r="Q1545" s="11"/>
    </row>
    <row r="1546" spans="2:17" x14ac:dyDescent="0.35">
      <c r="B1546"/>
      <c r="C1546"/>
      <c r="D1546"/>
      <c r="E1546"/>
      <c r="F1546"/>
      <c r="G1546"/>
      <c r="H1546"/>
      <c r="I1546"/>
      <c r="J1546"/>
      <c r="K1546"/>
      <c r="L1546"/>
      <c r="M1546"/>
      <c r="N1546"/>
      <c r="O1546"/>
      <c r="P1546"/>
      <c r="Q1546" s="11"/>
    </row>
    <row r="1547" spans="2:17" x14ac:dyDescent="0.35">
      <c r="B1547"/>
      <c r="C1547"/>
      <c r="D1547"/>
      <c r="E1547"/>
      <c r="F1547"/>
      <c r="G1547"/>
      <c r="H1547"/>
      <c r="I1547"/>
      <c r="J1547"/>
      <c r="K1547"/>
      <c r="L1547"/>
      <c r="M1547"/>
      <c r="N1547"/>
      <c r="O1547"/>
      <c r="P1547"/>
      <c r="Q1547" s="11"/>
    </row>
    <row r="1548" spans="2:17" x14ac:dyDescent="0.35">
      <c r="B1548"/>
      <c r="C1548"/>
      <c r="D1548"/>
      <c r="E1548"/>
      <c r="F1548"/>
      <c r="G1548"/>
      <c r="H1548"/>
      <c r="I1548"/>
      <c r="J1548"/>
      <c r="K1548"/>
      <c r="L1548"/>
      <c r="M1548"/>
      <c r="N1548"/>
      <c r="O1548"/>
      <c r="P1548"/>
      <c r="Q1548" s="11"/>
    </row>
    <row r="1549" spans="2:17" x14ac:dyDescent="0.35">
      <c r="B1549"/>
      <c r="C1549"/>
      <c r="D1549"/>
      <c r="E1549"/>
      <c r="F1549"/>
      <c r="G1549"/>
      <c r="H1549"/>
      <c r="I1549"/>
      <c r="J1549"/>
      <c r="K1549"/>
      <c r="L1549"/>
      <c r="M1549"/>
      <c r="N1549"/>
      <c r="O1549"/>
      <c r="P1549"/>
      <c r="Q1549" s="11"/>
    </row>
    <row r="1550" spans="2:17" x14ac:dyDescent="0.35">
      <c r="B1550"/>
      <c r="C1550"/>
      <c r="D1550"/>
      <c r="E1550"/>
      <c r="F1550"/>
      <c r="G1550"/>
      <c r="H1550"/>
      <c r="I1550"/>
      <c r="J1550"/>
      <c r="K1550"/>
      <c r="L1550"/>
      <c r="M1550"/>
      <c r="N1550"/>
      <c r="O1550"/>
      <c r="P1550"/>
      <c r="Q1550" s="11"/>
    </row>
    <row r="1551" spans="2:17" x14ac:dyDescent="0.35">
      <c r="B1551"/>
      <c r="C1551"/>
      <c r="D1551"/>
      <c r="E1551"/>
      <c r="F1551"/>
      <c r="G1551"/>
      <c r="H1551"/>
      <c r="I1551"/>
      <c r="J1551"/>
      <c r="K1551"/>
      <c r="L1551"/>
      <c r="M1551"/>
      <c r="N1551"/>
      <c r="O1551"/>
      <c r="P1551"/>
      <c r="Q1551" s="11"/>
    </row>
    <row r="1552" spans="2:17" x14ac:dyDescent="0.35">
      <c r="B1552"/>
      <c r="C1552"/>
      <c r="D1552"/>
      <c r="E1552"/>
      <c r="F1552"/>
      <c r="G1552"/>
      <c r="H1552"/>
      <c r="I1552"/>
      <c r="J1552"/>
      <c r="K1552"/>
      <c r="L1552"/>
      <c r="M1552"/>
      <c r="N1552"/>
      <c r="O1552"/>
      <c r="P1552"/>
      <c r="Q1552" s="11"/>
    </row>
    <row r="1553" spans="2:17" x14ac:dyDescent="0.35">
      <c r="B1553"/>
      <c r="C1553"/>
      <c r="D1553"/>
      <c r="E1553"/>
      <c r="F1553"/>
      <c r="G1553"/>
      <c r="H1553"/>
      <c r="I1553"/>
      <c r="J1553"/>
      <c r="K1553"/>
      <c r="L1553"/>
      <c r="M1553"/>
      <c r="N1553"/>
      <c r="O1553"/>
      <c r="P1553"/>
      <c r="Q1553" s="11"/>
    </row>
    <row r="1554" spans="2:17" x14ac:dyDescent="0.35">
      <c r="B1554"/>
      <c r="C1554"/>
      <c r="D1554"/>
      <c r="E1554"/>
      <c r="F1554"/>
      <c r="G1554"/>
      <c r="H1554"/>
      <c r="I1554"/>
      <c r="J1554"/>
      <c r="K1554"/>
      <c r="L1554"/>
      <c r="M1554"/>
      <c r="N1554"/>
      <c r="O1554"/>
      <c r="P1554"/>
      <c r="Q1554" s="11"/>
    </row>
    <row r="1555" spans="2:17" x14ac:dyDescent="0.35">
      <c r="B1555"/>
      <c r="C1555"/>
      <c r="D1555"/>
      <c r="E1555"/>
      <c r="F1555"/>
      <c r="G1555"/>
      <c r="H1555"/>
      <c r="I1555"/>
      <c r="J1555"/>
      <c r="K1555"/>
      <c r="L1555"/>
      <c r="M1555"/>
      <c r="N1555"/>
      <c r="O1555"/>
      <c r="P1555"/>
      <c r="Q1555" s="11"/>
    </row>
    <row r="1556" spans="2:17" x14ac:dyDescent="0.35">
      <c r="B1556"/>
      <c r="C1556"/>
      <c r="D1556"/>
      <c r="E1556"/>
      <c r="F1556"/>
      <c r="G1556"/>
      <c r="H1556"/>
      <c r="I1556"/>
      <c r="J1556"/>
      <c r="K1556"/>
      <c r="L1556"/>
      <c r="M1556"/>
      <c r="N1556"/>
      <c r="O1556"/>
      <c r="P1556"/>
      <c r="Q1556" s="11"/>
    </row>
    <row r="1557" spans="2:17" x14ac:dyDescent="0.35">
      <c r="B1557"/>
      <c r="C1557"/>
      <c r="D1557"/>
      <c r="E1557"/>
      <c r="F1557"/>
      <c r="G1557"/>
      <c r="H1557"/>
      <c r="I1557"/>
      <c r="J1557"/>
      <c r="K1557"/>
      <c r="L1557"/>
      <c r="M1557"/>
      <c r="N1557"/>
      <c r="O1557"/>
      <c r="P1557"/>
      <c r="Q1557" s="11"/>
    </row>
    <row r="1558" spans="2:17" x14ac:dyDescent="0.35">
      <c r="B1558"/>
      <c r="C1558"/>
      <c r="D1558"/>
      <c r="E1558"/>
      <c r="F1558"/>
      <c r="G1558"/>
      <c r="H1558"/>
      <c r="I1558"/>
      <c r="J1558"/>
      <c r="K1558"/>
      <c r="L1558"/>
      <c r="M1558"/>
      <c r="N1558"/>
      <c r="O1558"/>
      <c r="P1558"/>
      <c r="Q1558" s="11"/>
    </row>
    <row r="1559" spans="2:17" x14ac:dyDescent="0.35">
      <c r="B1559"/>
      <c r="C1559"/>
      <c r="D1559"/>
      <c r="E1559"/>
      <c r="F1559"/>
      <c r="G1559"/>
      <c r="H1559"/>
      <c r="I1559"/>
      <c r="J1559"/>
      <c r="K1559"/>
      <c r="L1559"/>
      <c r="M1559"/>
      <c r="N1559"/>
      <c r="O1559"/>
      <c r="P1559"/>
      <c r="Q1559" s="11"/>
    </row>
    <row r="1560" spans="2:17" x14ac:dyDescent="0.35">
      <c r="B1560"/>
      <c r="C1560"/>
      <c r="D1560"/>
      <c r="E1560"/>
      <c r="F1560"/>
      <c r="G1560"/>
      <c r="H1560"/>
      <c r="I1560"/>
      <c r="J1560"/>
      <c r="K1560"/>
      <c r="L1560"/>
      <c r="M1560"/>
      <c r="N1560"/>
      <c r="O1560"/>
      <c r="P1560"/>
      <c r="Q1560" s="11"/>
    </row>
    <row r="1561" spans="2:17" x14ac:dyDescent="0.35">
      <c r="B1561"/>
      <c r="C1561"/>
      <c r="D1561"/>
      <c r="E1561"/>
      <c r="F1561"/>
      <c r="G1561"/>
      <c r="H1561"/>
      <c r="I1561"/>
      <c r="J1561"/>
      <c r="K1561"/>
      <c r="L1561"/>
      <c r="M1561"/>
      <c r="N1561"/>
      <c r="O1561"/>
      <c r="P1561"/>
      <c r="Q1561" s="11"/>
    </row>
    <row r="1562" spans="2:17" x14ac:dyDescent="0.35">
      <c r="B1562"/>
      <c r="C1562"/>
      <c r="D1562"/>
      <c r="E1562"/>
      <c r="F1562"/>
      <c r="G1562"/>
      <c r="H1562"/>
      <c r="I1562"/>
      <c r="J1562"/>
      <c r="K1562"/>
      <c r="L1562"/>
      <c r="M1562"/>
      <c r="N1562"/>
      <c r="O1562"/>
      <c r="P1562"/>
      <c r="Q1562" s="11"/>
    </row>
    <row r="1563" spans="2:17" x14ac:dyDescent="0.35">
      <c r="B1563"/>
      <c r="C1563"/>
      <c r="D1563"/>
      <c r="E1563"/>
      <c r="F1563"/>
      <c r="G1563"/>
      <c r="H1563"/>
      <c r="I1563"/>
      <c r="J1563"/>
      <c r="K1563"/>
      <c r="L1563"/>
      <c r="M1563"/>
      <c r="N1563"/>
      <c r="O1563"/>
      <c r="P1563"/>
      <c r="Q1563" s="11"/>
    </row>
    <row r="1564" spans="2:17" x14ac:dyDescent="0.35">
      <c r="B1564"/>
      <c r="C1564"/>
      <c r="D1564"/>
      <c r="E1564"/>
      <c r="F1564"/>
      <c r="G1564"/>
      <c r="H1564"/>
      <c r="I1564"/>
      <c r="J1564"/>
      <c r="K1564"/>
      <c r="L1564"/>
      <c r="M1564"/>
      <c r="N1564"/>
      <c r="O1564"/>
      <c r="P1564"/>
      <c r="Q1564" s="11"/>
    </row>
    <row r="1565" spans="2:17" x14ac:dyDescent="0.35">
      <c r="B1565"/>
      <c r="C1565"/>
      <c r="D1565"/>
      <c r="E1565"/>
      <c r="F1565"/>
      <c r="G1565"/>
      <c r="H1565"/>
      <c r="I1565"/>
      <c r="J1565"/>
      <c r="K1565"/>
      <c r="L1565"/>
      <c r="M1565"/>
      <c r="N1565"/>
      <c r="O1565"/>
      <c r="P1565"/>
      <c r="Q1565" s="11"/>
    </row>
    <row r="1566" spans="2:17" x14ac:dyDescent="0.35">
      <c r="B1566"/>
      <c r="C1566"/>
      <c r="D1566"/>
      <c r="E1566"/>
      <c r="F1566"/>
      <c r="G1566"/>
      <c r="H1566"/>
      <c r="I1566"/>
      <c r="J1566"/>
      <c r="K1566"/>
      <c r="L1566"/>
      <c r="M1566"/>
      <c r="N1566"/>
      <c r="O1566"/>
      <c r="P1566"/>
      <c r="Q1566" s="11"/>
    </row>
    <row r="1567" spans="2:17" x14ac:dyDescent="0.35">
      <c r="B1567"/>
      <c r="C1567"/>
      <c r="D1567"/>
      <c r="E1567"/>
      <c r="F1567"/>
      <c r="G1567"/>
      <c r="H1567"/>
      <c r="I1567"/>
      <c r="J1567"/>
      <c r="K1567"/>
      <c r="L1567"/>
      <c r="M1567"/>
      <c r="N1567"/>
      <c r="O1567"/>
      <c r="P1567"/>
      <c r="Q1567" s="11"/>
    </row>
    <row r="1568" spans="2:17" x14ac:dyDescent="0.35">
      <c r="B1568"/>
      <c r="C1568"/>
      <c r="D1568"/>
      <c r="E1568"/>
      <c r="F1568"/>
      <c r="G1568"/>
      <c r="H1568"/>
      <c r="I1568"/>
      <c r="J1568"/>
      <c r="K1568"/>
      <c r="L1568"/>
      <c r="M1568"/>
      <c r="N1568"/>
      <c r="O1568"/>
      <c r="P1568"/>
      <c r="Q1568" s="11"/>
    </row>
    <row r="1569" spans="2:17" x14ac:dyDescent="0.35">
      <c r="B1569"/>
      <c r="C1569"/>
      <c r="D1569"/>
      <c r="E1569"/>
      <c r="F1569"/>
      <c r="G1569"/>
      <c r="H1569"/>
      <c r="I1569"/>
      <c r="J1569"/>
      <c r="K1569"/>
      <c r="L1569"/>
      <c r="M1569"/>
      <c r="N1569"/>
      <c r="O1569"/>
      <c r="P1569"/>
      <c r="Q1569" s="11"/>
    </row>
    <row r="1570" spans="2:17" x14ac:dyDescent="0.35">
      <c r="B1570"/>
      <c r="C1570"/>
      <c r="D1570"/>
      <c r="E1570"/>
      <c r="F1570"/>
      <c r="G1570"/>
      <c r="H1570"/>
      <c r="I1570"/>
      <c r="J1570"/>
      <c r="K1570"/>
      <c r="L1570"/>
      <c r="M1570"/>
      <c r="N1570"/>
      <c r="O1570"/>
      <c r="P1570"/>
      <c r="Q1570" s="11"/>
    </row>
    <row r="1571" spans="2:17" x14ac:dyDescent="0.35">
      <c r="B1571"/>
      <c r="C1571"/>
      <c r="D1571"/>
      <c r="E1571"/>
      <c r="F1571"/>
      <c r="G1571"/>
      <c r="H1571"/>
      <c r="I1571"/>
      <c r="J1571"/>
      <c r="K1571"/>
      <c r="L1571"/>
      <c r="M1571"/>
      <c r="N1571"/>
      <c r="O1571"/>
      <c r="P1571"/>
      <c r="Q1571" s="11"/>
    </row>
    <row r="1572" spans="2:17" x14ac:dyDescent="0.35">
      <c r="B1572"/>
      <c r="C1572"/>
      <c r="D1572"/>
      <c r="E1572"/>
      <c r="F1572"/>
      <c r="G1572"/>
      <c r="H1572"/>
      <c r="I1572"/>
      <c r="J1572"/>
      <c r="K1572"/>
      <c r="L1572"/>
      <c r="M1572"/>
      <c r="N1572"/>
      <c r="O1572"/>
      <c r="P1572"/>
      <c r="Q1572" s="11"/>
    </row>
    <row r="1573" spans="2:17" x14ac:dyDescent="0.35">
      <c r="B1573"/>
      <c r="C1573"/>
      <c r="D1573"/>
      <c r="E1573"/>
      <c r="F1573"/>
      <c r="G1573"/>
      <c r="H1573"/>
      <c r="I1573"/>
      <c r="J1573"/>
      <c r="K1573"/>
      <c r="L1573"/>
      <c r="M1573"/>
      <c r="N1573"/>
      <c r="O1573"/>
      <c r="P1573"/>
      <c r="Q1573" s="11"/>
    </row>
    <row r="1574" spans="2:17" x14ac:dyDescent="0.35">
      <c r="B1574"/>
      <c r="C1574"/>
      <c r="D1574"/>
      <c r="E1574"/>
      <c r="F1574"/>
      <c r="G1574"/>
      <c r="H1574"/>
      <c r="I1574"/>
      <c r="J1574"/>
      <c r="K1574"/>
      <c r="L1574"/>
      <c r="M1574"/>
      <c r="N1574"/>
      <c r="O1574"/>
      <c r="P1574"/>
      <c r="Q1574" s="11"/>
    </row>
    <row r="1575" spans="2:17" x14ac:dyDescent="0.35">
      <c r="B1575"/>
      <c r="C1575"/>
      <c r="D1575"/>
      <c r="E1575"/>
      <c r="F1575"/>
      <c r="G1575"/>
      <c r="H1575"/>
      <c r="I1575"/>
      <c r="J1575"/>
      <c r="K1575"/>
      <c r="L1575"/>
      <c r="M1575"/>
      <c r="N1575"/>
      <c r="O1575"/>
      <c r="P1575"/>
      <c r="Q1575" s="11"/>
    </row>
    <row r="1576" spans="2:17" x14ac:dyDescent="0.35">
      <c r="B1576"/>
      <c r="C1576"/>
      <c r="D1576"/>
      <c r="E1576"/>
      <c r="F1576"/>
      <c r="G1576"/>
      <c r="H1576"/>
      <c r="I1576"/>
      <c r="J1576"/>
      <c r="K1576"/>
      <c r="L1576"/>
      <c r="M1576"/>
      <c r="N1576"/>
      <c r="O1576"/>
      <c r="P1576"/>
      <c r="Q1576" s="11"/>
    </row>
    <row r="1577" spans="2:17" x14ac:dyDescent="0.35">
      <c r="B1577"/>
      <c r="C1577"/>
      <c r="D1577"/>
      <c r="E1577"/>
      <c r="F1577"/>
      <c r="G1577"/>
      <c r="H1577"/>
      <c r="I1577"/>
      <c r="J1577"/>
      <c r="K1577"/>
      <c r="L1577"/>
      <c r="M1577"/>
      <c r="N1577"/>
      <c r="O1577"/>
      <c r="P1577"/>
      <c r="Q1577" s="11"/>
    </row>
    <row r="1578" spans="2:17" x14ac:dyDescent="0.35">
      <c r="B1578"/>
      <c r="C1578"/>
      <c r="D1578"/>
      <c r="E1578"/>
      <c r="F1578"/>
      <c r="G1578"/>
      <c r="H1578"/>
      <c r="I1578"/>
      <c r="J1578"/>
      <c r="K1578"/>
      <c r="L1578"/>
      <c r="M1578"/>
      <c r="N1578"/>
      <c r="O1578"/>
      <c r="P1578"/>
      <c r="Q1578" s="11"/>
    </row>
    <row r="1579" spans="2:17" x14ac:dyDescent="0.35">
      <c r="B1579"/>
      <c r="C1579"/>
      <c r="D1579"/>
      <c r="E1579"/>
      <c r="F1579"/>
      <c r="G1579"/>
      <c r="H1579"/>
      <c r="I1579"/>
      <c r="J1579"/>
      <c r="K1579"/>
      <c r="L1579"/>
      <c r="M1579"/>
      <c r="N1579"/>
      <c r="O1579"/>
      <c r="P1579"/>
      <c r="Q1579" s="11"/>
    </row>
    <row r="1580" spans="2:17" x14ac:dyDescent="0.35">
      <c r="B1580"/>
      <c r="C1580"/>
      <c r="D1580"/>
      <c r="E1580"/>
      <c r="F1580"/>
      <c r="G1580"/>
      <c r="H1580"/>
      <c r="I1580"/>
      <c r="J1580"/>
      <c r="K1580"/>
      <c r="L1580"/>
      <c r="M1580"/>
      <c r="N1580"/>
      <c r="O1580"/>
      <c r="P1580"/>
      <c r="Q1580" s="11"/>
    </row>
    <row r="1581" spans="2:17" x14ac:dyDescent="0.35">
      <c r="B1581"/>
      <c r="C1581"/>
      <c r="D1581"/>
      <c r="E1581"/>
      <c r="F1581"/>
      <c r="G1581"/>
      <c r="H1581"/>
      <c r="I1581"/>
      <c r="J1581"/>
      <c r="K1581"/>
      <c r="L1581"/>
      <c r="M1581"/>
      <c r="N1581"/>
      <c r="O1581"/>
      <c r="P1581"/>
      <c r="Q1581" s="11"/>
    </row>
    <row r="1582" spans="2:17" x14ac:dyDescent="0.35">
      <c r="B1582"/>
      <c r="C1582"/>
      <c r="D1582"/>
      <c r="E1582"/>
      <c r="F1582"/>
      <c r="G1582"/>
      <c r="H1582"/>
      <c r="I1582"/>
      <c r="J1582"/>
      <c r="K1582"/>
      <c r="L1582"/>
      <c r="M1582"/>
      <c r="N1582"/>
      <c r="O1582"/>
      <c r="P1582"/>
      <c r="Q1582" s="11"/>
    </row>
    <row r="1583" spans="2:17" x14ac:dyDescent="0.35">
      <c r="B1583"/>
      <c r="C1583"/>
      <c r="D1583"/>
      <c r="E1583"/>
      <c r="F1583"/>
      <c r="G1583"/>
      <c r="H1583"/>
      <c r="I1583"/>
      <c r="J1583"/>
      <c r="K1583"/>
      <c r="L1583"/>
      <c r="M1583"/>
      <c r="N1583"/>
      <c r="O1583"/>
      <c r="P1583"/>
      <c r="Q1583" s="11"/>
    </row>
    <row r="1584" spans="2:17" x14ac:dyDescent="0.35">
      <c r="B1584"/>
      <c r="C1584"/>
      <c r="D1584"/>
      <c r="E1584"/>
      <c r="F1584"/>
      <c r="G1584"/>
      <c r="H1584"/>
      <c r="I1584"/>
      <c r="J1584"/>
      <c r="K1584"/>
      <c r="L1584"/>
      <c r="M1584"/>
      <c r="N1584"/>
      <c r="O1584"/>
      <c r="P1584"/>
      <c r="Q1584" s="11"/>
    </row>
    <row r="1585" spans="2:17" x14ac:dyDescent="0.35">
      <c r="B1585"/>
      <c r="C1585"/>
      <c r="D1585"/>
      <c r="E1585"/>
      <c r="F1585"/>
      <c r="G1585"/>
      <c r="H1585"/>
      <c r="I1585"/>
      <c r="J1585"/>
      <c r="K1585"/>
      <c r="L1585"/>
      <c r="M1585"/>
      <c r="N1585"/>
      <c r="O1585"/>
      <c r="P1585"/>
      <c r="Q1585" s="11"/>
    </row>
    <row r="1586" spans="2:17" x14ac:dyDescent="0.35">
      <c r="B1586"/>
      <c r="C1586"/>
      <c r="D1586"/>
      <c r="E1586"/>
      <c r="F1586"/>
      <c r="G1586"/>
      <c r="H1586"/>
      <c r="I1586"/>
      <c r="J1586"/>
      <c r="K1586"/>
      <c r="L1586"/>
      <c r="M1586"/>
      <c r="N1586"/>
      <c r="O1586"/>
      <c r="P1586"/>
      <c r="Q1586" s="11"/>
    </row>
    <row r="1587" spans="2:17" x14ac:dyDescent="0.35">
      <c r="B1587"/>
      <c r="C1587"/>
      <c r="D1587"/>
      <c r="E1587"/>
      <c r="F1587"/>
      <c r="G1587"/>
      <c r="H1587"/>
      <c r="I1587"/>
      <c r="J1587"/>
      <c r="K1587"/>
      <c r="L1587"/>
      <c r="M1587"/>
      <c r="N1587"/>
      <c r="O1587"/>
      <c r="P1587"/>
      <c r="Q1587" s="11"/>
    </row>
    <row r="1588" spans="2:17" x14ac:dyDescent="0.35">
      <c r="B1588"/>
      <c r="C1588"/>
      <c r="D1588"/>
      <c r="E1588"/>
      <c r="F1588"/>
      <c r="G1588"/>
      <c r="H1588"/>
      <c r="I1588"/>
      <c r="J1588"/>
      <c r="K1588"/>
      <c r="L1588"/>
      <c r="M1588"/>
      <c r="N1588"/>
      <c r="O1588"/>
      <c r="P1588"/>
      <c r="Q1588" s="11"/>
    </row>
    <row r="1589" spans="2:17" x14ac:dyDescent="0.35">
      <c r="B1589"/>
      <c r="C1589"/>
      <c r="D1589"/>
      <c r="E1589"/>
      <c r="F1589"/>
      <c r="G1589"/>
      <c r="H1589"/>
      <c r="I1589"/>
      <c r="J1589"/>
      <c r="K1589"/>
      <c r="L1589"/>
      <c r="M1589"/>
      <c r="N1589"/>
      <c r="O1589"/>
      <c r="P1589"/>
      <c r="Q1589" s="11"/>
    </row>
    <row r="1590" spans="2:17" x14ac:dyDescent="0.35">
      <c r="B1590"/>
      <c r="C1590"/>
      <c r="D1590"/>
      <c r="E1590"/>
      <c r="F1590"/>
      <c r="G1590"/>
      <c r="H1590"/>
      <c r="I1590"/>
      <c r="J1590"/>
      <c r="K1590"/>
      <c r="L1590"/>
      <c r="M1590"/>
      <c r="N1590"/>
      <c r="O1590"/>
      <c r="P1590"/>
      <c r="Q1590" s="11"/>
    </row>
    <row r="1591" spans="2:17" x14ac:dyDescent="0.35">
      <c r="B1591"/>
      <c r="C1591"/>
      <c r="D1591"/>
      <c r="E1591"/>
      <c r="F1591"/>
      <c r="G1591"/>
      <c r="H1591"/>
      <c r="I1591"/>
      <c r="J1591"/>
      <c r="K1591"/>
      <c r="L1591"/>
      <c r="M1591"/>
      <c r="N1591"/>
      <c r="O1591"/>
      <c r="P1591"/>
      <c r="Q1591" s="11"/>
    </row>
    <row r="1592" spans="2:17" x14ac:dyDescent="0.35">
      <c r="B1592"/>
      <c r="C1592"/>
      <c r="D1592"/>
      <c r="E1592"/>
      <c r="F1592"/>
      <c r="G1592"/>
      <c r="H1592"/>
      <c r="I1592"/>
      <c r="J1592"/>
      <c r="K1592"/>
      <c r="L1592"/>
      <c r="M1592"/>
      <c r="N1592"/>
      <c r="O1592"/>
      <c r="P1592"/>
      <c r="Q1592" s="11"/>
    </row>
    <row r="1593" spans="2:17" x14ac:dyDescent="0.35">
      <c r="B1593"/>
      <c r="C1593"/>
      <c r="D1593"/>
      <c r="E1593"/>
      <c r="F1593"/>
      <c r="G1593"/>
      <c r="H1593"/>
      <c r="I1593"/>
      <c r="J1593"/>
      <c r="K1593"/>
      <c r="L1593"/>
      <c r="M1593"/>
      <c r="N1593"/>
      <c r="O1593"/>
      <c r="P1593"/>
      <c r="Q1593" s="11"/>
    </row>
    <row r="1594" spans="2:17" x14ac:dyDescent="0.35">
      <c r="B1594"/>
      <c r="C1594"/>
      <c r="D1594"/>
      <c r="E1594"/>
      <c r="F1594"/>
      <c r="G1594"/>
      <c r="H1594"/>
      <c r="I1594"/>
      <c r="J1594"/>
      <c r="K1594"/>
      <c r="L1594"/>
      <c r="M1594"/>
      <c r="N1594"/>
      <c r="O1594"/>
      <c r="P1594"/>
      <c r="Q1594" s="11"/>
    </row>
    <row r="1595" spans="2:17" x14ac:dyDescent="0.35">
      <c r="B1595"/>
      <c r="C1595"/>
      <c r="D1595"/>
      <c r="E1595"/>
      <c r="F1595"/>
      <c r="G1595"/>
      <c r="H1595"/>
      <c r="I1595"/>
      <c r="J1595"/>
      <c r="K1595"/>
      <c r="L1595"/>
      <c r="M1595"/>
      <c r="N1595"/>
      <c r="O1595"/>
      <c r="P1595"/>
      <c r="Q1595" s="11"/>
    </row>
    <row r="1596" spans="2:17" x14ac:dyDescent="0.35">
      <c r="B1596"/>
      <c r="C1596"/>
      <c r="D1596"/>
      <c r="E1596"/>
      <c r="F1596"/>
      <c r="G1596"/>
      <c r="H1596"/>
      <c r="I1596"/>
      <c r="J1596"/>
      <c r="K1596"/>
      <c r="L1596"/>
      <c r="M1596"/>
      <c r="N1596"/>
      <c r="O1596"/>
      <c r="P1596"/>
      <c r="Q1596" s="11"/>
    </row>
    <row r="1597" spans="2:17" x14ac:dyDescent="0.35">
      <c r="B1597"/>
      <c r="C1597"/>
      <c r="D1597"/>
      <c r="E1597"/>
      <c r="F1597"/>
      <c r="G1597"/>
      <c r="H1597"/>
      <c r="I1597"/>
      <c r="J1597"/>
      <c r="K1597"/>
      <c r="L1597"/>
      <c r="M1597"/>
      <c r="N1597"/>
      <c r="O1597"/>
      <c r="P1597"/>
      <c r="Q1597" s="11"/>
    </row>
    <row r="1598" spans="2:17" x14ac:dyDescent="0.35">
      <c r="B1598"/>
      <c r="C1598"/>
      <c r="D1598"/>
      <c r="E1598"/>
      <c r="F1598"/>
      <c r="G1598"/>
      <c r="H1598"/>
      <c r="I1598"/>
      <c r="J1598"/>
      <c r="K1598"/>
      <c r="L1598"/>
      <c r="M1598"/>
      <c r="N1598"/>
      <c r="O1598"/>
      <c r="P1598"/>
      <c r="Q1598" s="11"/>
    </row>
    <row r="1599" spans="2:17" x14ac:dyDescent="0.35">
      <c r="B1599"/>
      <c r="C1599"/>
      <c r="D1599"/>
      <c r="E1599"/>
      <c r="F1599"/>
      <c r="G1599"/>
      <c r="H1599"/>
      <c r="I1599"/>
      <c r="J1599"/>
      <c r="K1599"/>
      <c r="L1599"/>
      <c r="M1599"/>
      <c r="N1599"/>
      <c r="O1599"/>
      <c r="P1599"/>
      <c r="Q1599" s="11"/>
    </row>
    <row r="1600" spans="2:17" x14ac:dyDescent="0.35">
      <c r="B1600"/>
      <c r="C1600"/>
      <c r="D1600"/>
      <c r="E1600"/>
      <c r="F1600"/>
      <c r="G1600"/>
      <c r="H1600"/>
      <c r="I1600"/>
      <c r="J1600"/>
      <c r="K1600"/>
      <c r="L1600"/>
      <c r="M1600"/>
      <c r="N1600"/>
      <c r="O1600"/>
      <c r="P1600"/>
      <c r="Q1600" s="11"/>
    </row>
    <row r="1601" spans="2:17" x14ac:dyDescent="0.35">
      <c r="B1601"/>
      <c r="C1601"/>
      <c r="D1601"/>
      <c r="E1601"/>
      <c r="F1601"/>
      <c r="G1601"/>
      <c r="H1601"/>
      <c r="I1601"/>
      <c r="J1601"/>
      <c r="K1601"/>
      <c r="L1601"/>
      <c r="M1601"/>
      <c r="N1601"/>
      <c r="O1601"/>
      <c r="P1601"/>
      <c r="Q1601" s="11"/>
    </row>
    <row r="1602" spans="2:17" x14ac:dyDescent="0.35">
      <c r="B1602"/>
      <c r="C1602"/>
      <c r="D1602"/>
      <c r="E1602"/>
      <c r="F1602"/>
      <c r="G1602"/>
      <c r="H1602"/>
      <c r="I1602"/>
      <c r="J1602"/>
      <c r="K1602"/>
      <c r="L1602"/>
      <c r="M1602"/>
      <c r="N1602"/>
      <c r="O1602"/>
      <c r="P1602"/>
      <c r="Q1602" s="11"/>
    </row>
    <row r="1603" spans="2:17" x14ac:dyDescent="0.35">
      <c r="B1603"/>
      <c r="C1603"/>
      <c r="D1603"/>
      <c r="E1603"/>
      <c r="F1603"/>
      <c r="G1603"/>
      <c r="H1603"/>
      <c r="I1603"/>
      <c r="J1603"/>
      <c r="K1603"/>
      <c r="L1603"/>
      <c r="M1603"/>
      <c r="N1603"/>
      <c r="O1603"/>
      <c r="P1603"/>
      <c r="Q1603" s="11"/>
    </row>
    <row r="1604" spans="2:17" x14ac:dyDescent="0.35">
      <c r="B1604"/>
      <c r="C1604"/>
      <c r="D1604"/>
      <c r="E1604"/>
      <c r="F1604"/>
      <c r="G1604"/>
      <c r="H1604"/>
      <c r="I1604"/>
      <c r="J1604"/>
      <c r="K1604"/>
      <c r="L1604"/>
      <c r="M1604"/>
      <c r="N1604"/>
      <c r="O1604"/>
      <c r="P1604"/>
      <c r="Q1604" s="11"/>
    </row>
    <row r="1605" spans="2:17" x14ac:dyDescent="0.35">
      <c r="B1605"/>
      <c r="C1605"/>
      <c r="D1605"/>
      <c r="E1605"/>
      <c r="F1605"/>
      <c r="G1605"/>
      <c r="H1605"/>
      <c r="I1605"/>
      <c r="J1605"/>
      <c r="K1605"/>
      <c r="L1605"/>
      <c r="M1605"/>
      <c r="N1605"/>
      <c r="O1605"/>
      <c r="P1605"/>
      <c r="Q1605" s="11"/>
    </row>
    <row r="1606" spans="2:17" x14ac:dyDescent="0.35">
      <c r="B1606"/>
      <c r="C1606"/>
      <c r="D1606"/>
      <c r="E1606"/>
      <c r="F1606"/>
      <c r="G1606"/>
      <c r="H1606"/>
      <c r="I1606"/>
      <c r="J1606"/>
      <c r="K1606"/>
      <c r="L1606"/>
      <c r="M1606"/>
      <c r="N1606"/>
      <c r="O1606"/>
      <c r="P1606"/>
      <c r="Q1606" s="11"/>
    </row>
    <row r="1607" spans="2:17" x14ac:dyDescent="0.35">
      <c r="B1607"/>
      <c r="C1607"/>
      <c r="D1607"/>
      <c r="E1607"/>
      <c r="F1607"/>
      <c r="G1607"/>
      <c r="H1607"/>
      <c r="I1607"/>
      <c r="J1607"/>
      <c r="K1607"/>
      <c r="L1607"/>
      <c r="M1607"/>
      <c r="N1607"/>
      <c r="O1607"/>
      <c r="P1607"/>
      <c r="Q1607" s="11"/>
    </row>
    <row r="1608" spans="2:17" x14ac:dyDescent="0.35">
      <c r="B1608"/>
      <c r="C1608"/>
      <c r="D1608"/>
      <c r="E1608"/>
      <c r="F1608"/>
      <c r="G1608"/>
      <c r="H1608"/>
      <c r="I1608"/>
      <c r="J1608"/>
      <c r="K1608"/>
      <c r="L1608"/>
      <c r="M1608"/>
      <c r="N1608"/>
      <c r="O1608"/>
      <c r="P1608"/>
      <c r="Q1608" s="11"/>
    </row>
    <row r="1609" spans="2:17" x14ac:dyDescent="0.35">
      <c r="B1609"/>
      <c r="C1609"/>
      <c r="D1609"/>
      <c r="E1609"/>
      <c r="F1609"/>
      <c r="G1609"/>
      <c r="H1609"/>
      <c r="I1609"/>
      <c r="J1609"/>
      <c r="K1609"/>
      <c r="L1609"/>
      <c r="M1609"/>
      <c r="N1609"/>
      <c r="O1609"/>
      <c r="P1609"/>
      <c r="Q1609" s="11"/>
    </row>
    <row r="1610" spans="2:17" x14ac:dyDescent="0.35">
      <c r="B1610"/>
      <c r="C1610"/>
      <c r="D1610"/>
      <c r="E1610"/>
      <c r="F1610"/>
      <c r="G1610"/>
      <c r="H1610"/>
      <c r="I1610"/>
      <c r="J1610"/>
      <c r="K1610"/>
      <c r="L1610"/>
      <c r="M1610"/>
      <c r="N1610"/>
      <c r="O1610"/>
      <c r="P1610"/>
      <c r="Q1610" s="11"/>
    </row>
    <row r="1611" spans="2:17" x14ac:dyDescent="0.35">
      <c r="B1611"/>
      <c r="C1611"/>
      <c r="D1611"/>
      <c r="E1611"/>
      <c r="F1611"/>
      <c r="G1611"/>
      <c r="H1611"/>
      <c r="I1611"/>
      <c r="J1611"/>
      <c r="K1611"/>
      <c r="L1611"/>
      <c r="M1611"/>
      <c r="N1611"/>
      <c r="O1611"/>
      <c r="P1611"/>
      <c r="Q1611" s="11"/>
    </row>
    <row r="1612" spans="2:17" x14ac:dyDescent="0.35">
      <c r="B1612"/>
      <c r="C1612"/>
      <c r="D1612"/>
      <c r="E1612"/>
      <c r="F1612"/>
      <c r="G1612"/>
      <c r="H1612"/>
      <c r="I1612"/>
      <c r="J1612"/>
      <c r="K1612"/>
      <c r="L1612"/>
      <c r="M1612"/>
      <c r="N1612"/>
      <c r="O1612"/>
      <c r="P1612"/>
      <c r="Q1612" s="11"/>
    </row>
    <row r="1613" spans="2:17" x14ac:dyDescent="0.35">
      <c r="B1613"/>
      <c r="C1613"/>
      <c r="D1613"/>
      <c r="E1613"/>
      <c r="F1613"/>
      <c r="G1613"/>
      <c r="H1613"/>
      <c r="I1613"/>
      <c r="J1613"/>
      <c r="K1613"/>
      <c r="L1613"/>
      <c r="M1613"/>
      <c r="N1613"/>
      <c r="O1613"/>
      <c r="P1613"/>
      <c r="Q1613" s="11"/>
    </row>
    <row r="1614" spans="2:17" x14ac:dyDescent="0.35">
      <c r="B1614"/>
      <c r="C1614"/>
      <c r="D1614"/>
      <c r="E1614"/>
      <c r="F1614"/>
      <c r="G1614"/>
      <c r="H1614"/>
      <c r="I1614"/>
      <c r="J1614"/>
      <c r="K1614"/>
      <c r="L1614"/>
      <c r="M1614"/>
      <c r="N1614"/>
      <c r="O1614"/>
      <c r="P1614"/>
      <c r="Q1614" s="11"/>
    </row>
    <row r="1615" spans="2:17" x14ac:dyDescent="0.35">
      <c r="B1615"/>
      <c r="C1615"/>
      <c r="D1615"/>
      <c r="E1615"/>
      <c r="F1615"/>
      <c r="G1615"/>
      <c r="H1615"/>
      <c r="I1615"/>
      <c r="J1615"/>
      <c r="K1615"/>
      <c r="L1615"/>
      <c r="M1615"/>
      <c r="N1615"/>
      <c r="O1615"/>
      <c r="P1615"/>
      <c r="Q1615" s="11"/>
    </row>
    <row r="1616" spans="2:17" x14ac:dyDescent="0.35">
      <c r="B1616"/>
      <c r="C1616"/>
      <c r="D1616"/>
      <c r="E1616"/>
      <c r="F1616"/>
      <c r="G1616"/>
      <c r="H1616"/>
      <c r="I1616"/>
      <c r="J1616"/>
      <c r="K1616"/>
      <c r="L1616"/>
      <c r="M1616"/>
      <c r="N1616"/>
      <c r="O1616"/>
      <c r="P1616"/>
      <c r="Q1616" s="11"/>
    </row>
    <row r="1617" spans="2:17" x14ac:dyDescent="0.35">
      <c r="B1617"/>
      <c r="C1617"/>
      <c r="D1617"/>
      <c r="E1617"/>
      <c r="F1617"/>
      <c r="G1617"/>
      <c r="H1617"/>
      <c r="I1617"/>
      <c r="J1617"/>
      <c r="K1617"/>
      <c r="L1617"/>
      <c r="M1617"/>
      <c r="N1617"/>
      <c r="O1617"/>
      <c r="P1617"/>
      <c r="Q1617" s="11"/>
    </row>
    <row r="1618" spans="2:17" x14ac:dyDescent="0.35">
      <c r="B1618"/>
      <c r="C1618"/>
      <c r="D1618"/>
      <c r="E1618"/>
      <c r="F1618"/>
      <c r="G1618"/>
      <c r="H1618"/>
      <c r="I1618"/>
      <c r="J1618"/>
      <c r="K1618"/>
      <c r="L1618"/>
      <c r="M1618"/>
      <c r="N1618"/>
      <c r="O1618"/>
      <c r="P1618"/>
      <c r="Q1618" s="11"/>
    </row>
    <row r="1619" spans="2:17" x14ac:dyDescent="0.35">
      <c r="B1619"/>
      <c r="C1619"/>
      <c r="D1619"/>
      <c r="E1619"/>
      <c r="F1619"/>
      <c r="G1619"/>
      <c r="H1619"/>
      <c r="I1619"/>
      <c r="J1619"/>
      <c r="K1619"/>
      <c r="L1619"/>
      <c r="M1619"/>
      <c r="N1619"/>
      <c r="O1619"/>
      <c r="P1619"/>
      <c r="Q1619" s="11"/>
    </row>
    <row r="1620" spans="2:17" x14ac:dyDescent="0.35">
      <c r="B1620"/>
      <c r="C1620"/>
      <c r="D1620"/>
      <c r="E1620"/>
      <c r="F1620"/>
      <c r="G1620"/>
      <c r="H1620"/>
      <c r="I1620"/>
      <c r="J1620"/>
      <c r="K1620"/>
      <c r="L1620"/>
      <c r="M1620"/>
      <c r="N1620"/>
      <c r="O1620"/>
      <c r="P1620"/>
      <c r="Q1620" s="11"/>
    </row>
    <row r="1621" spans="2:17" x14ac:dyDescent="0.35">
      <c r="B1621"/>
      <c r="C1621"/>
      <c r="D1621"/>
      <c r="E1621"/>
      <c r="F1621"/>
      <c r="G1621"/>
      <c r="H1621"/>
      <c r="I1621"/>
      <c r="J1621"/>
      <c r="K1621"/>
      <c r="L1621"/>
      <c r="M1621"/>
      <c r="N1621"/>
      <c r="O1621"/>
      <c r="P1621"/>
      <c r="Q1621" s="11"/>
    </row>
    <row r="1622" spans="2:17" x14ac:dyDescent="0.35">
      <c r="B1622"/>
      <c r="C1622"/>
      <c r="D1622"/>
      <c r="E1622"/>
      <c r="F1622"/>
      <c r="G1622"/>
      <c r="H1622"/>
      <c r="I1622"/>
      <c r="J1622"/>
      <c r="K1622"/>
      <c r="L1622"/>
      <c r="M1622"/>
      <c r="N1622"/>
      <c r="O1622"/>
      <c r="P1622"/>
      <c r="Q1622" s="11"/>
    </row>
    <row r="1623" spans="2:17" x14ac:dyDescent="0.35">
      <c r="B1623"/>
      <c r="C1623"/>
      <c r="D1623"/>
      <c r="E1623"/>
      <c r="F1623"/>
      <c r="G1623"/>
      <c r="H1623"/>
      <c r="I1623"/>
      <c r="J1623"/>
      <c r="K1623"/>
      <c r="L1623"/>
      <c r="M1623"/>
      <c r="N1623"/>
      <c r="O1623"/>
      <c r="P1623"/>
      <c r="Q1623" s="11"/>
    </row>
    <row r="1624" spans="2:17" x14ac:dyDescent="0.35">
      <c r="B1624"/>
      <c r="C1624"/>
      <c r="D1624"/>
      <c r="E1624"/>
      <c r="F1624"/>
      <c r="G1624"/>
      <c r="H1624"/>
      <c r="I1624"/>
      <c r="J1624"/>
      <c r="K1624"/>
      <c r="L1624"/>
      <c r="M1624"/>
      <c r="N1624"/>
      <c r="O1624"/>
      <c r="P1624"/>
      <c r="Q1624" s="11"/>
    </row>
    <row r="1625" spans="2:17" x14ac:dyDescent="0.35">
      <c r="B1625"/>
      <c r="C1625"/>
      <c r="D1625"/>
      <c r="E1625"/>
      <c r="F1625"/>
      <c r="G1625"/>
      <c r="H1625"/>
      <c r="I1625"/>
      <c r="J1625"/>
      <c r="K1625"/>
      <c r="L1625"/>
      <c r="M1625"/>
      <c r="N1625"/>
      <c r="O1625"/>
      <c r="P1625"/>
      <c r="Q1625" s="11"/>
    </row>
    <row r="1626" spans="2:17" x14ac:dyDescent="0.35">
      <c r="B1626"/>
      <c r="C1626"/>
      <c r="D1626"/>
      <c r="E1626"/>
      <c r="F1626"/>
      <c r="G1626"/>
      <c r="H1626"/>
      <c r="I1626"/>
      <c r="J1626"/>
      <c r="K1626"/>
      <c r="L1626"/>
      <c r="M1626"/>
      <c r="N1626"/>
      <c r="O1626"/>
      <c r="P1626"/>
      <c r="Q1626" s="11"/>
    </row>
    <row r="1627" spans="2:17" x14ac:dyDescent="0.35">
      <c r="B1627"/>
      <c r="C1627"/>
      <c r="D1627"/>
      <c r="E1627"/>
      <c r="F1627"/>
      <c r="G1627"/>
      <c r="H1627"/>
      <c r="I1627"/>
      <c r="J1627"/>
      <c r="K1627"/>
      <c r="L1627"/>
      <c r="M1627"/>
      <c r="N1627"/>
      <c r="O1627"/>
      <c r="P1627"/>
      <c r="Q1627" s="11"/>
    </row>
    <row r="1628" spans="2:17" x14ac:dyDescent="0.35">
      <c r="B1628"/>
      <c r="C1628"/>
      <c r="D1628"/>
      <c r="E1628"/>
      <c r="F1628"/>
      <c r="G1628"/>
      <c r="H1628"/>
      <c r="I1628"/>
      <c r="J1628"/>
      <c r="K1628"/>
      <c r="L1628"/>
      <c r="M1628"/>
      <c r="N1628"/>
      <c r="O1628"/>
      <c r="P1628"/>
      <c r="Q1628" s="11"/>
    </row>
    <row r="1629" spans="2:17" x14ac:dyDescent="0.35">
      <c r="B1629"/>
      <c r="C1629"/>
      <c r="D1629"/>
      <c r="E1629"/>
      <c r="F1629"/>
      <c r="G1629"/>
      <c r="H1629"/>
      <c r="I1629"/>
      <c r="J1629"/>
      <c r="K1629"/>
      <c r="L1629"/>
      <c r="M1629"/>
      <c r="N1629"/>
      <c r="O1629"/>
      <c r="P1629"/>
      <c r="Q1629" s="11"/>
    </row>
    <row r="1630" spans="2:17" x14ac:dyDescent="0.35">
      <c r="B1630"/>
      <c r="C1630"/>
      <c r="D1630"/>
      <c r="E1630"/>
      <c r="F1630"/>
      <c r="G1630"/>
      <c r="H1630"/>
      <c r="I1630"/>
      <c r="J1630"/>
      <c r="K1630"/>
      <c r="L1630"/>
      <c r="M1630"/>
      <c r="N1630"/>
      <c r="O1630"/>
      <c r="P1630"/>
      <c r="Q1630" s="11"/>
    </row>
    <row r="1631" spans="2:17" x14ac:dyDescent="0.35">
      <c r="B1631"/>
      <c r="C1631"/>
      <c r="D1631"/>
      <c r="E1631"/>
      <c r="F1631"/>
      <c r="G1631"/>
      <c r="H1631"/>
      <c r="I1631"/>
      <c r="J1631"/>
      <c r="K1631"/>
      <c r="L1631"/>
      <c r="M1631"/>
      <c r="N1631"/>
      <c r="O1631"/>
      <c r="P1631"/>
      <c r="Q1631" s="11"/>
    </row>
    <row r="1632" spans="2:17" x14ac:dyDescent="0.35">
      <c r="B1632"/>
      <c r="C1632"/>
      <c r="D1632"/>
      <c r="E1632"/>
      <c r="F1632"/>
      <c r="G1632"/>
      <c r="H1632"/>
      <c r="I1632"/>
      <c r="J1632"/>
      <c r="K1632"/>
      <c r="L1632"/>
      <c r="M1632"/>
      <c r="N1632"/>
      <c r="O1632"/>
      <c r="P1632"/>
      <c r="Q1632" s="11"/>
    </row>
    <row r="1633" spans="2:17" x14ac:dyDescent="0.35">
      <c r="B1633"/>
      <c r="C1633"/>
      <c r="D1633"/>
      <c r="E1633"/>
      <c r="F1633"/>
      <c r="G1633"/>
      <c r="H1633"/>
      <c r="I1633"/>
      <c r="J1633"/>
      <c r="K1633"/>
      <c r="L1633"/>
      <c r="M1633"/>
      <c r="N1633"/>
      <c r="O1633"/>
      <c r="P1633"/>
      <c r="Q1633" s="11"/>
    </row>
    <row r="1634" spans="2:17" x14ac:dyDescent="0.35">
      <c r="B1634"/>
      <c r="C1634"/>
      <c r="D1634"/>
      <c r="E1634"/>
      <c r="F1634"/>
      <c r="G1634"/>
      <c r="H1634"/>
      <c r="I1634"/>
      <c r="J1634"/>
      <c r="K1634"/>
      <c r="L1634"/>
      <c r="M1634"/>
      <c r="N1634"/>
      <c r="O1634"/>
      <c r="P1634"/>
      <c r="Q1634" s="11"/>
    </row>
    <row r="1635" spans="2:17" x14ac:dyDescent="0.35">
      <c r="B1635"/>
      <c r="C1635"/>
      <c r="D1635"/>
      <c r="E1635"/>
      <c r="F1635"/>
      <c r="G1635"/>
      <c r="H1635"/>
      <c r="I1635"/>
      <c r="J1635"/>
      <c r="K1635"/>
      <c r="L1635"/>
      <c r="M1635"/>
      <c r="N1635"/>
      <c r="O1635"/>
      <c r="P1635"/>
      <c r="Q1635" s="11"/>
    </row>
    <row r="1636" spans="2:17" x14ac:dyDescent="0.35">
      <c r="B1636"/>
      <c r="C1636"/>
      <c r="D1636"/>
      <c r="E1636"/>
      <c r="F1636"/>
      <c r="G1636"/>
      <c r="H1636"/>
      <c r="I1636"/>
      <c r="J1636"/>
      <c r="K1636"/>
      <c r="L1636"/>
      <c r="M1636"/>
      <c r="N1636"/>
      <c r="O1636"/>
      <c r="P1636"/>
      <c r="Q1636" s="11"/>
    </row>
    <row r="1637" spans="2:17" x14ac:dyDescent="0.35">
      <c r="B1637"/>
      <c r="C1637"/>
      <c r="D1637"/>
      <c r="E1637"/>
      <c r="F1637"/>
      <c r="G1637"/>
      <c r="H1637"/>
      <c r="I1637"/>
      <c r="J1637"/>
      <c r="K1637"/>
      <c r="L1637"/>
      <c r="M1637"/>
      <c r="N1637"/>
      <c r="O1637"/>
      <c r="P1637"/>
      <c r="Q1637" s="11"/>
    </row>
    <row r="1638" spans="2:17" x14ac:dyDescent="0.35">
      <c r="B1638"/>
      <c r="C1638"/>
      <c r="D1638"/>
      <c r="E1638"/>
      <c r="F1638"/>
      <c r="G1638"/>
      <c r="H1638"/>
      <c r="I1638"/>
      <c r="J1638"/>
      <c r="K1638"/>
      <c r="L1638"/>
      <c r="M1638"/>
      <c r="N1638"/>
      <c r="O1638"/>
      <c r="P1638"/>
      <c r="Q1638" s="11"/>
    </row>
    <row r="1639" spans="2:17" x14ac:dyDescent="0.35">
      <c r="B1639"/>
      <c r="C1639"/>
      <c r="D1639"/>
      <c r="E1639"/>
      <c r="F1639"/>
      <c r="G1639"/>
      <c r="H1639"/>
      <c r="I1639"/>
      <c r="J1639"/>
      <c r="K1639"/>
      <c r="L1639"/>
      <c r="M1639"/>
      <c r="N1639"/>
      <c r="O1639"/>
      <c r="P1639"/>
      <c r="Q1639" s="11"/>
    </row>
    <row r="1640" spans="2:17" x14ac:dyDescent="0.35">
      <c r="B1640"/>
      <c r="C1640"/>
      <c r="D1640"/>
      <c r="E1640"/>
      <c r="F1640"/>
      <c r="G1640"/>
      <c r="H1640"/>
      <c r="I1640"/>
      <c r="J1640"/>
      <c r="K1640"/>
      <c r="L1640"/>
      <c r="M1640"/>
      <c r="N1640"/>
      <c r="O1640"/>
      <c r="P1640"/>
      <c r="Q1640" s="11"/>
    </row>
    <row r="1641" spans="2:17" x14ac:dyDescent="0.35">
      <c r="B1641"/>
      <c r="C1641"/>
      <c r="D1641"/>
      <c r="E1641"/>
      <c r="F1641"/>
      <c r="G1641"/>
      <c r="H1641"/>
      <c r="I1641"/>
      <c r="J1641"/>
      <c r="K1641"/>
      <c r="L1641"/>
      <c r="M1641"/>
      <c r="N1641"/>
      <c r="O1641"/>
      <c r="P1641"/>
      <c r="Q1641" s="11"/>
    </row>
    <row r="1642" spans="2:17" x14ac:dyDescent="0.35">
      <c r="B1642"/>
      <c r="C1642"/>
      <c r="D1642"/>
      <c r="E1642"/>
      <c r="F1642"/>
      <c r="G1642"/>
      <c r="H1642"/>
      <c r="I1642"/>
      <c r="J1642"/>
      <c r="K1642"/>
      <c r="L1642"/>
      <c r="M1642"/>
      <c r="N1642"/>
      <c r="O1642"/>
      <c r="P1642"/>
      <c r="Q1642" s="11"/>
    </row>
    <row r="1643" spans="2:17" x14ac:dyDescent="0.35">
      <c r="B1643"/>
      <c r="C1643"/>
      <c r="D1643"/>
      <c r="E1643"/>
      <c r="F1643"/>
      <c r="G1643"/>
      <c r="H1643"/>
      <c r="I1643"/>
      <c r="J1643"/>
      <c r="K1643"/>
      <c r="L1643"/>
      <c r="M1643"/>
      <c r="N1643"/>
      <c r="O1643"/>
      <c r="P1643"/>
      <c r="Q1643" s="11"/>
    </row>
    <row r="1644" spans="2:17" x14ac:dyDescent="0.35">
      <c r="B1644"/>
      <c r="C1644"/>
      <c r="D1644"/>
      <c r="E1644"/>
      <c r="F1644"/>
      <c r="G1644"/>
      <c r="H1644"/>
      <c r="I1644"/>
      <c r="J1644"/>
      <c r="K1644"/>
      <c r="L1644"/>
      <c r="M1644"/>
      <c r="N1644"/>
      <c r="O1644"/>
      <c r="P1644"/>
      <c r="Q1644" s="11"/>
    </row>
    <row r="1645" spans="2:17" x14ac:dyDescent="0.35">
      <c r="B1645"/>
      <c r="C1645"/>
      <c r="D1645"/>
      <c r="E1645"/>
      <c r="F1645"/>
      <c r="G1645"/>
      <c r="H1645"/>
      <c r="I1645"/>
      <c r="J1645"/>
      <c r="K1645"/>
      <c r="L1645"/>
      <c r="M1645"/>
      <c r="N1645"/>
      <c r="O1645"/>
      <c r="P1645"/>
      <c r="Q1645" s="11"/>
    </row>
    <row r="1646" spans="2:17" x14ac:dyDescent="0.35">
      <c r="B1646"/>
      <c r="C1646"/>
      <c r="D1646"/>
      <c r="E1646"/>
      <c r="F1646"/>
      <c r="G1646"/>
      <c r="H1646"/>
      <c r="I1646"/>
      <c r="J1646"/>
      <c r="K1646"/>
      <c r="L1646"/>
      <c r="M1646"/>
      <c r="N1646"/>
      <c r="O1646"/>
      <c r="P1646"/>
      <c r="Q1646" s="11"/>
    </row>
    <row r="1647" spans="2:17" x14ac:dyDescent="0.35">
      <c r="B1647"/>
      <c r="C1647"/>
      <c r="D1647"/>
      <c r="E1647"/>
      <c r="F1647"/>
      <c r="G1647"/>
      <c r="H1647"/>
      <c r="I1647"/>
      <c r="J1647"/>
      <c r="K1647"/>
      <c r="L1647"/>
      <c r="M1647"/>
      <c r="N1647"/>
      <c r="O1647"/>
      <c r="P1647"/>
      <c r="Q1647" s="11"/>
    </row>
    <row r="1648" spans="2:17" x14ac:dyDescent="0.35">
      <c r="B1648"/>
      <c r="C1648"/>
      <c r="D1648"/>
      <c r="E1648"/>
      <c r="F1648"/>
      <c r="G1648"/>
      <c r="H1648"/>
      <c r="I1648"/>
      <c r="J1648"/>
      <c r="K1648"/>
      <c r="L1648"/>
      <c r="M1648"/>
      <c r="N1648"/>
      <c r="O1648"/>
      <c r="P1648"/>
      <c r="Q1648" s="11"/>
    </row>
    <row r="1649" spans="2:17" x14ac:dyDescent="0.35">
      <c r="B1649"/>
      <c r="C1649"/>
      <c r="D1649"/>
      <c r="E1649"/>
      <c r="F1649"/>
      <c r="G1649"/>
      <c r="H1649"/>
      <c r="I1649"/>
      <c r="J1649"/>
      <c r="K1649"/>
      <c r="L1649"/>
      <c r="M1649"/>
      <c r="N1649"/>
      <c r="O1649"/>
      <c r="P1649"/>
      <c r="Q1649" s="11"/>
    </row>
    <row r="1650" spans="2:17" x14ac:dyDescent="0.35">
      <c r="B1650"/>
      <c r="C1650"/>
      <c r="D1650"/>
      <c r="E1650"/>
      <c r="F1650"/>
      <c r="G1650"/>
      <c r="H1650"/>
      <c r="I1650"/>
      <c r="J1650"/>
      <c r="K1650"/>
      <c r="L1650"/>
      <c r="M1650"/>
      <c r="N1650"/>
      <c r="O1650"/>
      <c r="P1650"/>
      <c r="Q1650" s="11"/>
    </row>
    <row r="1651" spans="2:17" x14ac:dyDescent="0.35">
      <c r="B1651"/>
      <c r="C1651"/>
      <c r="D1651"/>
      <c r="E1651"/>
      <c r="F1651"/>
      <c r="G1651"/>
      <c r="H1651"/>
      <c r="I1651"/>
      <c r="J1651"/>
      <c r="K1651"/>
      <c r="L1651"/>
      <c r="M1651"/>
      <c r="N1651"/>
      <c r="O1651"/>
      <c r="P1651"/>
      <c r="Q1651" s="11"/>
    </row>
    <row r="1652" spans="2:17" x14ac:dyDescent="0.35">
      <c r="B1652"/>
      <c r="C1652"/>
      <c r="D1652"/>
      <c r="E1652"/>
      <c r="F1652"/>
      <c r="G1652"/>
      <c r="H1652"/>
      <c r="I1652"/>
      <c r="J1652"/>
      <c r="K1652"/>
      <c r="L1652"/>
      <c r="M1652"/>
      <c r="N1652"/>
      <c r="O1652"/>
      <c r="P1652"/>
      <c r="Q1652" s="11"/>
    </row>
    <row r="1653" spans="2:17" x14ac:dyDescent="0.35">
      <c r="B1653"/>
      <c r="C1653"/>
      <c r="D1653"/>
      <c r="E1653"/>
      <c r="F1653"/>
      <c r="G1653"/>
      <c r="H1653"/>
      <c r="I1653"/>
      <c r="J1653"/>
      <c r="K1653"/>
      <c r="L1653"/>
      <c r="M1653"/>
      <c r="N1653"/>
      <c r="O1653"/>
      <c r="P1653"/>
      <c r="Q1653" s="11"/>
    </row>
    <row r="1654" spans="2:17" x14ac:dyDescent="0.35">
      <c r="B1654"/>
      <c r="C1654"/>
      <c r="D1654"/>
      <c r="E1654"/>
      <c r="F1654"/>
      <c r="G1654"/>
      <c r="H1654"/>
      <c r="I1654"/>
      <c r="J1654"/>
      <c r="K1654"/>
      <c r="L1654"/>
      <c r="M1654"/>
      <c r="N1654"/>
      <c r="O1654"/>
      <c r="P1654"/>
      <c r="Q1654" s="11"/>
    </row>
    <row r="1655" spans="2:17" x14ac:dyDescent="0.35">
      <c r="B1655"/>
      <c r="C1655"/>
      <c r="D1655"/>
      <c r="E1655"/>
      <c r="F1655"/>
      <c r="G1655"/>
      <c r="H1655"/>
      <c r="I1655"/>
      <c r="J1655"/>
      <c r="K1655"/>
      <c r="L1655"/>
      <c r="M1655"/>
      <c r="N1655"/>
      <c r="O1655"/>
      <c r="P1655"/>
      <c r="Q1655" s="11"/>
    </row>
    <row r="1656" spans="2:17" x14ac:dyDescent="0.35">
      <c r="B1656"/>
      <c r="C1656"/>
      <c r="D1656"/>
      <c r="E1656"/>
      <c r="F1656"/>
      <c r="G1656"/>
      <c r="H1656"/>
      <c r="I1656"/>
      <c r="J1656"/>
      <c r="K1656"/>
      <c r="L1656"/>
      <c r="M1656"/>
      <c r="N1656"/>
      <c r="O1656"/>
      <c r="P1656"/>
      <c r="Q1656" s="11"/>
    </row>
    <row r="1657" spans="2:17" x14ac:dyDescent="0.35">
      <c r="B1657"/>
      <c r="C1657"/>
      <c r="D1657"/>
      <c r="E1657"/>
      <c r="F1657"/>
      <c r="G1657"/>
      <c r="H1657"/>
      <c r="I1657"/>
      <c r="J1657"/>
      <c r="K1657"/>
      <c r="L1657"/>
      <c r="M1657"/>
      <c r="N1657"/>
      <c r="O1657"/>
      <c r="P1657"/>
      <c r="Q1657" s="11"/>
    </row>
    <row r="1658" spans="2:17" x14ac:dyDescent="0.35">
      <c r="B1658"/>
      <c r="C1658"/>
      <c r="D1658"/>
      <c r="E1658"/>
      <c r="F1658"/>
      <c r="G1658"/>
      <c r="H1658"/>
      <c r="I1658"/>
      <c r="J1658"/>
      <c r="K1658"/>
      <c r="L1658"/>
      <c r="M1658"/>
      <c r="N1658"/>
      <c r="O1658"/>
      <c r="P1658"/>
      <c r="Q1658" s="11"/>
    </row>
    <row r="1659" spans="2:17" x14ac:dyDescent="0.35">
      <c r="B1659"/>
      <c r="C1659"/>
      <c r="D1659"/>
      <c r="E1659"/>
      <c r="F1659"/>
      <c r="G1659"/>
      <c r="H1659"/>
      <c r="I1659"/>
      <c r="J1659"/>
      <c r="K1659"/>
      <c r="L1659"/>
      <c r="M1659"/>
      <c r="N1659"/>
      <c r="O1659"/>
      <c r="P1659"/>
      <c r="Q1659" s="11"/>
    </row>
    <row r="1660" spans="2:17" x14ac:dyDescent="0.35">
      <c r="B1660"/>
      <c r="C1660"/>
      <c r="D1660"/>
      <c r="E1660"/>
      <c r="F1660"/>
      <c r="G1660"/>
      <c r="H1660"/>
      <c r="I1660"/>
      <c r="J1660"/>
      <c r="K1660"/>
      <c r="L1660"/>
      <c r="M1660"/>
      <c r="N1660"/>
      <c r="O1660"/>
      <c r="P1660"/>
      <c r="Q1660" s="11"/>
    </row>
    <row r="1661" spans="2:17" x14ac:dyDescent="0.35">
      <c r="B1661"/>
      <c r="C1661"/>
      <c r="D1661"/>
      <c r="E1661"/>
      <c r="F1661"/>
      <c r="G1661"/>
      <c r="H1661"/>
      <c r="I1661"/>
      <c r="J1661"/>
      <c r="K1661"/>
      <c r="L1661"/>
      <c r="M1661"/>
      <c r="N1661"/>
      <c r="O1661"/>
      <c r="P1661"/>
      <c r="Q1661" s="11"/>
    </row>
    <row r="1662" spans="2:17" x14ac:dyDescent="0.35">
      <c r="B1662"/>
      <c r="C1662"/>
      <c r="D1662"/>
      <c r="E1662"/>
      <c r="F1662"/>
      <c r="G1662"/>
      <c r="H1662"/>
      <c r="I1662"/>
      <c r="J1662"/>
      <c r="K1662"/>
      <c r="L1662"/>
      <c r="M1662"/>
      <c r="N1662"/>
      <c r="O1662"/>
      <c r="P1662"/>
      <c r="Q1662" s="11"/>
    </row>
    <row r="1663" spans="2:17" x14ac:dyDescent="0.35">
      <c r="B1663"/>
      <c r="C1663"/>
      <c r="D1663"/>
      <c r="E1663"/>
      <c r="F1663"/>
      <c r="G1663"/>
      <c r="H1663"/>
      <c r="I1663"/>
      <c r="J1663"/>
      <c r="K1663"/>
      <c r="L1663"/>
      <c r="M1663"/>
      <c r="N1663"/>
      <c r="O1663"/>
      <c r="P1663"/>
      <c r="Q1663" s="11"/>
    </row>
    <row r="1664" spans="2:17" x14ac:dyDescent="0.35">
      <c r="B1664"/>
      <c r="C1664"/>
      <c r="D1664"/>
      <c r="E1664"/>
      <c r="F1664"/>
      <c r="G1664"/>
      <c r="H1664"/>
      <c r="I1664"/>
      <c r="J1664"/>
      <c r="K1664"/>
      <c r="L1664"/>
      <c r="M1664"/>
      <c r="N1664"/>
      <c r="O1664"/>
      <c r="P1664"/>
      <c r="Q1664" s="11"/>
    </row>
    <row r="1665" spans="2:17" x14ac:dyDescent="0.35">
      <c r="B1665"/>
      <c r="C1665"/>
      <c r="D1665"/>
      <c r="E1665"/>
      <c r="F1665"/>
      <c r="G1665"/>
      <c r="H1665"/>
      <c r="I1665"/>
      <c r="J1665"/>
      <c r="K1665"/>
      <c r="L1665"/>
      <c r="M1665"/>
      <c r="N1665"/>
      <c r="O1665"/>
      <c r="P1665"/>
      <c r="Q1665" s="11"/>
    </row>
    <row r="1666" spans="2:17" x14ac:dyDescent="0.35">
      <c r="B1666"/>
      <c r="C1666"/>
      <c r="D1666"/>
      <c r="E1666"/>
      <c r="F1666"/>
      <c r="G1666"/>
      <c r="H1666"/>
      <c r="I1666"/>
      <c r="J1666"/>
      <c r="K1666"/>
      <c r="L1666"/>
      <c r="M1666"/>
      <c r="N1666"/>
      <c r="O1666"/>
      <c r="P1666"/>
      <c r="Q1666" s="11"/>
    </row>
    <row r="1667" spans="2:17" x14ac:dyDescent="0.35">
      <c r="B1667"/>
      <c r="C1667"/>
      <c r="D1667"/>
      <c r="E1667"/>
      <c r="F1667"/>
      <c r="G1667"/>
      <c r="H1667"/>
      <c r="I1667"/>
      <c r="J1667"/>
      <c r="K1667"/>
      <c r="L1667"/>
      <c r="M1667"/>
      <c r="N1667"/>
      <c r="O1667"/>
      <c r="P1667"/>
      <c r="Q1667" s="11"/>
    </row>
    <row r="1668" spans="2:17" x14ac:dyDescent="0.35">
      <c r="B1668"/>
      <c r="C1668"/>
      <c r="D1668"/>
      <c r="E1668"/>
      <c r="F1668"/>
      <c r="G1668"/>
      <c r="H1668"/>
      <c r="I1668"/>
      <c r="J1668"/>
      <c r="K1668"/>
      <c r="L1668"/>
      <c r="M1668"/>
      <c r="N1668"/>
      <c r="O1668"/>
      <c r="P1668"/>
      <c r="Q1668" s="11"/>
    </row>
    <row r="1669" spans="2:17" x14ac:dyDescent="0.35">
      <c r="B1669"/>
      <c r="C1669"/>
      <c r="D1669"/>
      <c r="E1669"/>
      <c r="F1669"/>
      <c r="G1669"/>
      <c r="H1669"/>
      <c r="I1669"/>
      <c r="J1669"/>
      <c r="K1669"/>
      <c r="L1669"/>
      <c r="M1669"/>
      <c r="N1669"/>
      <c r="O1669"/>
      <c r="P1669"/>
      <c r="Q1669" s="11"/>
    </row>
    <row r="1670" spans="2:17" x14ac:dyDescent="0.35">
      <c r="B1670"/>
      <c r="C1670"/>
      <c r="D1670"/>
      <c r="E1670"/>
      <c r="F1670"/>
      <c r="G1670"/>
      <c r="H1670"/>
      <c r="I1670"/>
      <c r="J1670"/>
      <c r="K1670"/>
      <c r="L1670"/>
      <c r="M1670"/>
      <c r="N1670"/>
      <c r="O1670"/>
      <c r="P1670"/>
      <c r="Q1670" s="11"/>
    </row>
    <row r="1671" spans="2:17" x14ac:dyDescent="0.35">
      <c r="B1671"/>
      <c r="C1671"/>
      <c r="D1671"/>
      <c r="E1671"/>
      <c r="F1671"/>
      <c r="G1671"/>
      <c r="H1671"/>
      <c r="I1671"/>
      <c r="J1671"/>
      <c r="K1671"/>
      <c r="L1671"/>
      <c r="M1671"/>
      <c r="N1671"/>
      <c r="O1671"/>
      <c r="P1671"/>
      <c r="Q1671" s="11"/>
    </row>
    <row r="1672" spans="2:17" x14ac:dyDescent="0.35">
      <c r="B1672"/>
      <c r="C1672"/>
      <c r="D1672"/>
      <c r="E1672"/>
      <c r="F1672"/>
      <c r="G1672"/>
      <c r="H1672"/>
      <c r="I1672"/>
      <c r="J1672"/>
      <c r="K1672"/>
      <c r="L1672"/>
      <c r="M1672"/>
      <c r="N1672"/>
      <c r="O1672"/>
      <c r="P1672"/>
      <c r="Q1672" s="11"/>
    </row>
    <row r="1673" spans="2:17" x14ac:dyDescent="0.35">
      <c r="B1673"/>
      <c r="C1673"/>
      <c r="D1673"/>
      <c r="E1673"/>
      <c r="F1673"/>
      <c r="G1673"/>
      <c r="H1673"/>
      <c r="I1673"/>
      <c r="J1673"/>
      <c r="K1673"/>
      <c r="L1673"/>
      <c r="M1673"/>
      <c r="N1673"/>
      <c r="O1673"/>
      <c r="P1673"/>
      <c r="Q1673" s="11"/>
    </row>
    <row r="1674" spans="2:17" x14ac:dyDescent="0.35">
      <c r="B1674"/>
      <c r="C1674"/>
      <c r="D1674"/>
      <c r="E1674"/>
      <c r="F1674"/>
      <c r="G1674"/>
      <c r="H1674"/>
      <c r="I1674"/>
      <c r="J1674"/>
      <c r="K1674"/>
      <c r="L1674"/>
      <c r="M1674"/>
      <c r="N1674"/>
      <c r="O1674"/>
      <c r="P1674"/>
      <c r="Q1674" s="11"/>
    </row>
    <row r="1675" spans="2:17" x14ac:dyDescent="0.35">
      <c r="B1675"/>
      <c r="C1675"/>
      <c r="D1675"/>
      <c r="E1675"/>
      <c r="F1675"/>
      <c r="G1675"/>
      <c r="H1675"/>
      <c r="I1675"/>
      <c r="J1675"/>
      <c r="K1675"/>
      <c r="L1675"/>
      <c r="M1675"/>
      <c r="N1675"/>
      <c r="O1675"/>
      <c r="P1675"/>
      <c r="Q1675" s="11"/>
    </row>
    <row r="1676" spans="2:17" x14ac:dyDescent="0.35">
      <c r="B1676"/>
      <c r="C1676"/>
      <c r="D1676"/>
      <c r="E1676"/>
      <c r="F1676"/>
      <c r="G1676"/>
      <c r="H1676"/>
      <c r="I1676"/>
      <c r="J1676"/>
      <c r="K1676"/>
      <c r="L1676"/>
      <c r="M1676"/>
      <c r="N1676"/>
      <c r="O1676"/>
      <c r="P1676"/>
      <c r="Q1676" s="11"/>
    </row>
    <row r="1677" spans="2:17" x14ac:dyDescent="0.35">
      <c r="B1677"/>
      <c r="C1677"/>
      <c r="D1677"/>
      <c r="E1677"/>
      <c r="F1677"/>
      <c r="G1677"/>
      <c r="H1677"/>
      <c r="I1677"/>
      <c r="J1677"/>
      <c r="K1677"/>
      <c r="L1677"/>
      <c r="M1677"/>
      <c r="N1677"/>
      <c r="O1677"/>
      <c r="P1677"/>
      <c r="Q1677" s="11"/>
    </row>
    <row r="1678" spans="2:17" x14ac:dyDescent="0.35">
      <c r="B1678"/>
      <c r="C1678"/>
      <c r="D1678"/>
      <c r="E1678"/>
      <c r="F1678"/>
      <c r="G1678"/>
      <c r="H1678"/>
      <c r="I1678"/>
      <c r="J1678"/>
      <c r="K1678"/>
      <c r="L1678"/>
      <c r="M1678"/>
      <c r="N1678"/>
      <c r="O1678"/>
      <c r="P1678"/>
      <c r="Q1678" s="11"/>
    </row>
    <row r="1679" spans="2:17" x14ac:dyDescent="0.35">
      <c r="B1679"/>
      <c r="C1679"/>
      <c r="D1679"/>
      <c r="E1679"/>
      <c r="F1679"/>
      <c r="G1679"/>
      <c r="H1679"/>
      <c r="I1679"/>
      <c r="J1679"/>
      <c r="K1679"/>
      <c r="L1679"/>
      <c r="M1679"/>
      <c r="N1679"/>
      <c r="O1679"/>
      <c r="P1679"/>
      <c r="Q1679" s="11"/>
    </row>
    <row r="1680" spans="2:17" x14ac:dyDescent="0.35">
      <c r="B1680"/>
      <c r="C1680"/>
      <c r="D1680"/>
      <c r="E1680"/>
      <c r="F1680"/>
      <c r="G1680"/>
      <c r="H1680"/>
      <c r="I1680"/>
      <c r="J1680"/>
      <c r="K1680"/>
      <c r="L1680"/>
      <c r="M1680"/>
      <c r="N1680"/>
      <c r="O1680"/>
      <c r="P1680"/>
      <c r="Q1680" s="11"/>
    </row>
    <row r="1681" spans="2:17" x14ac:dyDescent="0.35">
      <c r="B1681"/>
      <c r="C1681"/>
      <c r="D1681"/>
      <c r="E1681"/>
      <c r="F1681"/>
      <c r="G1681"/>
      <c r="H1681"/>
      <c r="I1681"/>
      <c r="J1681"/>
      <c r="K1681"/>
      <c r="L1681"/>
      <c r="M1681"/>
      <c r="N1681"/>
      <c r="O1681"/>
      <c r="P1681"/>
      <c r="Q1681" s="11"/>
    </row>
    <row r="1682" spans="2:17" x14ac:dyDescent="0.35">
      <c r="B1682"/>
      <c r="C1682"/>
      <c r="D1682"/>
      <c r="E1682"/>
      <c r="F1682"/>
      <c r="G1682"/>
      <c r="H1682"/>
      <c r="I1682"/>
      <c r="J1682"/>
      <c r="K1682"/>
      <c r="L1682"/>
      <c r="M1682"/>
      <c r="N1682"/>
      <c r="O1682"/>
      <c r="P1682"/>
      <c r="Q1682" s="11"/>
    </row>
    <row r="1683" spans="2:17" x14ac:dyDescent="0.35">
      <c r="B1683"/>
      <c r="C1683"/>
      <c r="D1683"/>
      <c r="E1683"/>
      <c r="F1683"/>
      <c r="G1683"/>
      <c r="H1683"/>
      <c r="I1683"/>
      <c r="J1683"/>
      <c r="K1683"/>
      <c r="L1683"/>
      <c r="M1683"/>
      <c r="N1683"/>
      <c r="O1683"/>
      <c r="P1683"/>
      <c r="Q1683" s="11"/>
    </row>
    <row r="1684" spans="2:17" x14ac:dyDescent="0.35">
      <c r="B1684"/>
      <c r="C1684"/>
      <c r="D1684"/>
      <c r="E1684"/>
      <c r="F1684"/>
      <c r="G1684"/>
      <c r="H1684"/>
      <c r="I1684"/>
      <c r="J1684"/>
      <c r="K1684"/>
      <c r="L1684"/>
      <c r="M1684"/>
      <c r="N1684"/>
      <c r="O1684"/>
      <c r="P1684"/>
      <c r="Q1684" s="11"/>
    </row>
    <row r="1685" spans="2:17" x14ac:dyDescent="0.35">
      <c r="B1685"/>
      <c r="C1685"/>
      <c r="D1685"/>
      <c r="E1685"/>
      <c r="F1685"/>
      <c r="G1685"/>
      <c r="H1685"/>
      <c r="I1685"/>
      <c r="J1685"/>
      <c r="K1685"/>
      <c r="L1685"/>
      <c r="M1685"/>
      <c r="N1685"/>
      <c r="O1685"/>
      <c r="P1685"/>
      <c r="Q1685" s="11"/>
    </row>
    <row r="1686" spans="2:17" x14ac:dyDescent="0.35">
      <c r="B1686"/>
      <c r="C1686"/>
      <c r="D1686"/>
      <c r="E1686"/>
      <c r="F1686"/>
      <c r="G1686"/>
      <c r="H1686"/>
      <c r="I1686"/>
      <c r="J1686"/>
      <c r="K1686"/>
      <c r="L1686"/>
      <c r="M1686"/>
      <c r="N1686"/>
      <c r="O1686"/>
      <c r="P1686"/>
      <c r="Q1686" s="11"/>
    </row>
    <row r="1687" spans="2:17" x14ac:dyDescent="0.35">
      <c r="B1687"/>
      <c r="C1687"/>
      <c r="D1687"/>
      <c r="E1687"/>
      <c r="F1687"/>
      <c r="G1687"/>
      <c r="H1687"/>
      <c r="I1687"/>
      <c r="J1687"/>
      <c r="K1687"/>
      <c r="L1687"/>
      <c r="M1687"/>
      <c r="N1687"/>
      <c r="O1687"/>
      <c r="P1687"/>
      <c r="Q1687" s="11"/>
    </row>
    <row r="1688" spans="2:17" x14ac:dyDescent="0.35">
      <c r="B1688"/>
      <c r="C1688"/>
      <c r="D1688"/>
      <c r="E1688"/>
      <c r="F1688"/>
      <c r="G1688"/>
      <c r="H1688"/>
      <c r="I1688"/>
      <c r="J1688"/>
      <c r="K1688"/>
      <c r="L1688"/>
      <c r="M1688"/>
      <c r="N1688"/>
      <c r="O1688"/>
      <c r="P1688"/>
      <c r="Q1688" s="11"/>
    </row>
    <row r="1689" spans="2:17" x14ac:dyDescent="0.35">
      <c r="B1689"/>
      <c r="C1689"/>
      <c r="D1689"/>
      <c r="E1689"/>
      <c r="F1689"/>
      <c r="G1689"/>
      <c r="H1689"/>
      <c r="I1689"/>
      <c r="J1689"/>
      <c r="K1689"/>
      <c r="L1689"/>
      <c r="M1689"/>
      <c r="N1689"/>
      <c r="O1689"/>
      <c r="P1689"/>
      <c r="Q1689" s="11"/>
    </row>
    <row r="1690" spans="2:17" x14ac:dyDescent="0.35">
      <c r="B1690"/>
      <c r="C1690"/>
      <c r="D1690"/>
      <c r="E1690"/>
      <c r="F1690"/>
      <c r="G1690"/>
      <c r="H1690"/>
      <c r="I1690"/>
      <c r="J1690"/>
      <c r="K1690"/>
      <c r="L1690"/>
      <c r="M1690"/>
      <c r="N1690"/>
      <c r="O1690"/>
      <c r="P1690"/>
      <c r="Q1690" s="11"/>
    </row>
    <row r="1691" spans="2:17" x14ac:dyDescent="0.35">
      <c r="B1691"/>
      <c r="C1691"/>
      <c r="D1691"/>
      <c r="E1691"/>
      <c r="F1691"/>
      <c r="G1691"/>
      <c r="H1691"/>
      <c r="I1691"/>
      <c r="J1691"/>
      <c r="K1691"/>
      <c r="L1691"/>
      <c r="M1691"/>
      <c r="N1691"/>
      <c r="O1691"/>
      <c r="P1691"/>
      <c r="Q1691" s="11"/>
    </row>
    <row r="1692" spans="2:17" x14ac:dyDescent="0.35">
      <c r="B1692"/>
      <c r="C1692"/>
      <c r="D1692"/>
      <c r="E1692"/>
      <c r="F1692"/>
      <c r="G1692"/>
      <c r="H1692"/>
      <c r="I1692"/>
      <c r="J1692"/>
      <c r="K1692"/>
      <c r="L1692"/>
      <c r="M1692"/>
      <c r="N1692"/>
      <c r="O1692"/>
      <c r="P1692"/>
      <c r="Q1692" s="11"/>
    </row>
    <row r="1693" spans="2:17" x14ac:dyDescent="0.35">
      <c r="B1693"/>
      <c r="C1693"/>
      <c r="D1693"/>
      <c r="E1693"/>
      <c r="F1693"/>
      <c r="G1693"/>
      <c r="H1693"/>
      <c r="I1693"/>
      <c r="J1693"/>
      <c r="K1693"/>
      <c r="L1693"/>
      <c r="M1693"/>
      <c r="N1693"/>
      <c r="O1693"/>
      <c r="P1693"/>
      <c r="Q1693" s="11"/>
    </row>
    <row r="1694" spans="2:17" x14ac:dyDescent="0.35">
      <c r="B1694"/>
      <c r="C1694"/>
      <c r="D1694"/>
      <c r="E1694"/>
      <c r="F1694"/>
      <c r="G1694"/>
      <c r="H1694"/>
      <c r="I1694"/>
      <c r="J1694"/>
      <c r="K1694"/>
      <c r="L1694"/>
      <c r="M1694"/>
      <c r="N1694"/>
      <c r="O1694"/>
      <c r="P1694"/>
      <c r="Q1694" s="11"/>
    </row>
    <row r="1695" spans="2:17" x14ac:dyDescent="0.35">
      <c r="B1695"/>
      <c r="C1695"/>
      <c r="D1695"/>
      <c r="E1695"/>
      <c r="F1695"/>
      <c r="G1695"/>
      <c r="H1695"/>
      <c r="I1695"/>
      <c r="J1695"/>
      <c r="K1695"/>
      <c r="L1695"/>
      <c r="M1695"/>
      <c r="N1695"/>
      <c r="O1695"/>
      <c r="P1695"/>
      <c r="Q1695" s="11"/>
    </row>
    <row r="1696" spans="2:17" x14ac:dyDescent="0.35">
      <c r="B1696"/>
      <c r="C1696"/>
      <c r="D1696"/>
      <c r="E1696"/>
      <c r="F1696"/>
      <c r="G1696"/>
      <c r="H1696"/>
      <c r="I1696"/>
      <c r="J1696"/>
      <c r="K1696"/>
      <c r="L1696"/>
      <c r="M1696"/>
      <c r="N1696"/>
      <c r="O1696"/>
      <c r="P1696"/>
      <c r="Q1696" s="11"/>
    </row>
    <row r="1697" spans="2:17" x14ac:dyDescent="0.35">
      <c r="B1697"/>
      <c r="C1697"/>
      <c r="D1697"/>
      <c r="E1697"/>
      <c r="F1697"/>
      <c r="G1697"/>
      <c r="H1697"/>
      <c r="I1697"/>
      <c r="J1697"/>
      <c r="K1697"/>
      <c r="L1697"/>
      <c r="M1697"/>
      <c r="N1697"/>
      <c r="O1697"/>
      <c r="P1697"/>
      <c r="Q1697" s="11"/>
    </row>
    <row r="1698" spans="2:17" x14ac:dyDescent="0.35">
      <c r="B1698"/>
      <c r="C1698"/>
      <c r="D1698"/>
      <c r="E1698"/>
      <c r="F1698"/>
      <c r="G1698"/>
      <c r="H1698"/>
      <c r="I1698"/>
      <c r="J1698"/>
      <c r="K1698"/>
      <c r="L1698"/>
      <c r="M1698"/>
      <c r="N1698"/>
      <c r="O1698"/>
      <c r="P1698"/>
      <c r="Q1698" s="11"/>
    </row>
    <row r="1699" spans="2:17" x14ac:dyDescent="0.35">
      <c r="B1699"/>
      <c r="C1699"/>
      <c r="D1699"/>
      <c r="E1699"/>
      <c r="F1699"/>
      <c r="G1699"/>
      <c r="H1699"/>
      <c r="I1699"/>
      <c r="J1699"/>
      <c r="K1699"/>
      <c r="L1699"/>
      <c r="M1699"/>
      <c r="N1699"/>
      <c r="O1699"/>
      <c r="P1699"/>
      <c r="Q1699" s="11"/>
    </row>
    <row r="1700" spans="2:17" x14ac:dyDescent="0.35">
      <c r="B1700"/>
      <c r="C1700"/>
      <c r="D1700"/>
      <c r="E1700"/>
      <c r="F1700"/>
      <c r="G1700"/>
      <c r="H1700"/>
      <c r="I1700"/>
      <c r="J1700"/>
      <c r="K1700"/>
      <c r="L1700"/>
      <c r="M1700"/>
      <c r="N1700"/>
      <c r="O1700"/>
      <c r="P1700"/>
      <c r="Q1700" s="11"/>
    </row>
    <row r="1701" spans="2:17" x14ac:dyDescent="0.35">
      <c r="B1701"/>
      <c r="C1701"/>
      <c r="D1701"/>
      <c r="E1701"/>
      <c r="F1701"/>
      <c r="G1701"/>
      <c r="H1701"/>
      <c r="I1701"/>
      <c r="J1701"/>
      <c r="K1701"/>
      <c r="L1701"/>
      <c r="M1701"/>
      <c r="N1701"/>
      <c r="O1701"/>
      <c r="P1701"/>
      <c r="Q1701" s="11"/>
    </row>
    <row r="1702" spans="2:17" x14ac:dyDescent="0.35">
      <c r="B1702"/>
      <c r="C1702"/>
      <c r="D1702"/>
      <c r="E1702"/>
      <c r="F1702"/>
      <c r="G1702"/>
      <c r="H1702"/>
      <c r="I1702"/>
      <c r="J1702"/>
      <c r="K1702"/>
      <c r="L1702"/>
      <c r="M1702"/>
      <c r="N1702"/>
      <c r="O1702"/>
      <c r="P1702"/>
      <c r="Q1702" s="11"/>
    </row>
    <row r="1703" spans="2:17" x14ac:dyDescent="0.35">
      <c r="B1703"/>
      <c r="C1703"/>
      <c r="D1703"/>
      <c r="E1703"/>
      <c r="F1703"/>
      <c r="G1703"/>
      <c r="H1703"/>
      <c r="I1703"/>
      <c r="J1703"/>
      <c r="K1703"/>
      <c r="L1703"/>
      <c r="M1703"/>
      <c r="N1703"/>
      <c r="O1703"/>
      <c r="P1703"/>
      <c r="Q1703" s="11"/>
    </row>
    <row r="1704" spans="2:17" x14ac:dyDescent="0.35">
      <c r="B1704"/>
      <c r="C1704"/>
      <c r="D1704"/>
      <c r="E1704"/>
      <c r="F1704"/>
      <c r="G1704"/>
      <c r="H1704"/>
      <c r="I1704"/>
      <c r="J1704"/>
      <c r="K1704"/>
      <c r="L1704"/>
      <c r="M1704"/>
      <c r="N1704"/>
      <c r="O1704"/>
      <c r="P1704"/>
      <c r="Q1704" s="11"/>
    </row>
    <row r="1705" spans="2:17" x14ac:dyDescent="0.35">
      <c r="B1705"/>
      <c r="C1705"/>
      <c r="D1705"/>
      <c r="E1705"/>
      <c r="F1705"/>
      <c r="G1705"/>
      <c r="H1705"/>
      <c r="I1705"/>
      <c r="J1705"/>
      <c r="K1705"/>
      <c r="L1705"/>
      <c r="M1705"/>
      <c r="N1705"/>
      <c r="O1705"/>
      <c r="P1705"/>
      <c r="Q1705" s="11"/>
    </row>
    <row r="1706" spans="2:17" x14ac:dyDescent="0.35">
      <c r="B1706"/>
      <c r="C1706"/>
      <c r="D1706"/>
      <c r="E1706"/>
      <c r="F1706"/>
      <c r="G1706"/>
      <c r="H1706"/>
      <c r="I1706"/>
      <c r="J1706"/>
      <c r="K1706"/>
      <c r="L1706"/>
      <c r="M1706"/>
      <c r="N1706"/>
      <c r="O1706"/>
      <c r="P1706"/>
      <c r="Q1706" s="11"/>
    </row>
    <row r="1707" spans="2:17" x14ac:dyDescent="0.35">
      <c r="B1707"/>
      <c r="C1707"/>
      <c r="D1707"/>
      <c r="E1707"/>
      <c r="F1707"/>
      <c r="G1707"/>
      <c r="H1707"/>
      <c r="I1707"/>
      <c r="J1707"/>
      <c r="K1707"/>
      <c r="L1707"/>
      <c r="M1707"/>
      <c r="N1707"/>
      <c r="O1707"/>
      <c r="P1707"/>
      <c r="Q1707" s="11"/>
    </row>
    <row r="1708" spans="2:17" x14ac:dyDescent="0.35">
      <c r="B1708"/>
      <c r="C1708"/>
      <c r="D1708"/>
      <c r="E1708"/>
      <c r="F1708"/>
      <c r="G1708"/>
      <c r="H1708"/>
      <c r="I1708"/>
      <c r="J1708"/>
      <c r="K1708"/>
      <c r="L1708"/>
      <c r="M1708"/>
      <c r="N1708"/>
      <c r="O1708"/>
      <c r="P1708"/>
      <c r="Q1708" s="11"/>
    </row>
    <row r="1709" spans="2:17" x14ac:dyDescent="0.35">
      <c r="B1709"/>
      <c r="C1709"/>
      <c r="D1709"/>
      <c r="E1709"/>
      <c r="F1709"/>
      <c r="G1709"/>
      <c r="H1709"/>
      <c r="I1709"/>
      <c r="J1709"/>
      <c r="K1709"/>
      <c r="L1709"/>
      <c r="M1709"/>
      <c r="N1709"/>
      <c r="O1709"/>
      <c r="P1709"/>
      <c r="Q1709" s="11"/>
    </row>
    <row r="1710" spans="2:17" x14ac:dyDescent="0.35">
      <c r="B1710"/>
      <c r="C1710"/>
      <c r="D1710"/>
      <c r="E1710"/>
      <c r="F1710"/>
      <c r="G1710"/>
      <c r="H1710"/>
      <c r="I1710"/>
      <c r="J1710"/>
      <c r="K1710"/>
      <c r="L1710"/>
      <c r="M1710"/>
      <c r="N1710"/>
      <c r="O1710"/>
      <c r="P1710"/>
      <c r="Q1710" s="11"/>
    </row>
    <row r="1711" spans="2:17" x14ac:dyDescent="0.35">
      <c r="B1711"/>
      <c r="C1711"/>
      <c r="D1711"/>
      <c r="E1711"/>
      <c r="F1711"/>
      <c r="G1711"/>
      <c r="H1711"/>
      <c r="I1711"/>
      <c r="J1711"/>
      <c r="K1711"/>
      <c r="L1711"/>
      <c r="M1711"/>
      <c r="N1711"/>
      <c r="O1711"/>
      <c r="P1711"/>
      <c r="Q1711" s="11"/>
    </row>
    <row r="1712" spans="2:17" x14ac:dyDescent="0.35">
      <c r="B1712"/>
      <c r="C1712"/>
      <c r="D1712"/>
      <c r="E1712"/>
      <c r="F1712"/>
      <c r="G1712"/>
      <c r="H1712"/>
      <c r="I1712"/>
      <c r="J1712"/>
      <c r="K1712"/>
      <c r="L1712"/>
      <c r="M1712"/>
      <c r="N1712"/>
      <c r="O1712"/>
      <c r="P1712"/>
      <c r="Q1712" s="11"/>
    </row>
    <row r="1713" spans="2:17" x14ac:dyDescent="0.35">
      <c r="B1713"/>
      <c r="C1713"/>
      <c r="D1713"/>
      <c r="E1713"/>
      <c r="F1713"/>
      <c r="G1713"/>
      <c r="H1713"/>
      <c r="I1713"/>
      <c r="J1713"/>
      <c r="K1713"/>
      <c r="L1713"/>
      <c r="M1713"/>
      <c r="N1713"/>
      <c r="O1713"/>
      <c r="P1713"/>
      <c r="Q1713" s="11"/>
    </row>
    <row r="1714" spans="2:17" x14ac:dyDescent="0.35">
      <c r="B1714"/>
      <c r="C1714"/>
      <c r="D1714"/>
      <c r="E1714"/>
      <c r="F1714"/>
      <c r="G1714"/>
      <c r="H1714"/>
      <c r="I1714"/>
      <c r="J1714"/>
      <c r="K1714"/>
      <c r="L1714"/>
      <c r="M1714"/>
      <c r="N1714"/>
      <c r="O1714"/>
      <c r="P1714"/>
      <c r="Q1714" s="11"/>
    </row>
    <row r="1715" spans="2:17" x14ac:dyDescent="0.35">
      <c r="B1715"/>
      <c r="C1715"/>
      <c r="D1715"/>
      <c r="E1715"/>
      <c r="F1715"/>
      <c r="G1715"/>
      <c r="H1715"/>
      <c r="I1715"/>
      <c r="J1715"/>
      <c r="K1715"/>
      <c r="L1715"/>
      <c r="M1715"/>
      <c r="N1715"/>
      <c r="O1715"/>
      <c r="P1715"/>
      <c r="Q1715" s="11"/>
    </row>
    <row r="1716" spans="2:17" x14ac:dyDescent="0.35">
      <c r="B1716"/>
      <c r="C1716"/>
      <c r="D1716"/>
      <c r="E1716"/>
      <c r="F1716"/>
      <c r="G1716"/>
      <c r="H1716"/>
      <c r="I1716"/>
      <c r="J1716"/>
      <c r="K1716"/>
      <c r="L1716"/>
      <c r="M1716"/>
      <c r="N1716"/>
      <c r="O1716"/>
      <c r="P1716"/>
      <c r="Q1716" s="11"/>
    </row>
    <row r="1717" spans="2:17" x14ac:dyDescent="0.35">
      <c r="B1717"/>
      <c r="C1717"/>
      <c r="D1717"/>
      <c r="E1717"/>
      <c r="F1717"/>
      <c r="G1717"/>
      <c r="H1717"/>
      <c r="I1717"/>
      <c r="J1717"/>
      <c r="K1717"/>
      <c r="L1717"/>
      <c r="M1717"/>
      <c r="N1717"/>
      <c r="O1717"/>
      <c r="P1717"/>
      <c r="Q1717" s="11"/>
    </row>
    <row r="1718" spans="2:17" x14ac:dyDescent="0.35">
      <c r="B1718"/>
      <c r="C1718"/>
      <c r="D1718"/>
      <c r="E1718"/>
      <c r="F1718"/>
      <c r="G1718"/>
      <c r="H1718"/>
      <c r="I1718"/>
      <c r="J1718"/>
      <c r="K1718"/>
      <c r="L1718"/>
      <c r="M1718"/>
      <c r="N1718"/>
      <c r="O1718"/>
      <c r="P1718"/>
      <c r="Q1718" s="11"/>
    </row>
    <row r="1719" spans="2:17" x14ac:dyDescent="0.35">
      <c r="B1719"/>
      <c r="C1719"/>
      <c r="D1719"/>
      <c r="E1719"/>
      <c r="F1719"/>
      <c r="G1719"/>
      <c r="H1719"/>
      <c r="I1719"/>
      <c r="J1719"/>
      <c r="K1719"/>
      <c r="L1719"/>
      <c r="M1719"/>
      <c r="N1719"/>
      <c r="O1719"/>
      <c r="P1719"/>
      <c r="Q1719" s="11"/>
    </row>
    <row r="1720" spans="2:17" x14ac:dyDescent="0.35">
      <c r="B1720"/>
      <c r="C1720"/>
      <c r="D1720"/>
      <c r="E1720"/>
      <c r="F1720"/>
      <c r="G1720"/>
      <c r="H1720"/>
      <c r="I1720"/>
      <c r="J1720"/>
      <c r="K1720"/>
      <c r="L1720"/>
      <c r="M1720"/>
      <c r="N1720"/>
      <c r="O1720"/>
      <c r="P1720"/>
      <c r="Q1720" s="11"/>
    </row>
    <row r="1721" spans="2:17" x14ac:dyDescent="0.35">
      <c r="B1721"/>
      <c r="C1721"/>
      <c r="D1721"/>
      <c r="E1721"/>
      <c r="F1721"/>
      <c r="G1721"/>
      <c r="H1721"/>
      <c r="I1721"/>
      <c r="J1721"/>
      <c r="K1721"/>
      <c r="L1721"/>
      <c r="M1721"/>
      <c r="N1721"/>
      <c r="O1721"/>
      <c r="P1721"/>
      <c r="Q1721" s="11"/>
    </row>
    <row r="1722" spans="2:17" x14ac:dyDescent="0.35">
      <c r="B1722"/>
      <c r="C1722"/>
      <c r="D1722"/>
      <c r="E1722"/>
      <c r="F1722"/>
      <c r="G1722"/>
      <c r="H1722"/>
      <c r="I1722"/>
      <c r="J1722"/>
      <c r="K1722"/>
      <c r="L1722"/>
      <c r="M1722"/>
      <c r="N1722"/>
      <c r="O1722"/>
      <c r="P1722"/>
      <c r="Q1722" s="11"/>
    </row>
    <row r="1723" spans="2:17" x14ac:dyDescent="0.35">
      <c r="B1723"/>
      <c r="C1723"/>
      <c r="D1723"/>
      <c r="E1723"/>
      <c r="F1723"/>
      <c r="G1723"/>
      <c r="H1723"/>
      <c r="I1723"/>
      <c r="J1723"/>
      <c r="K1723"/>
      <c r="L1723"/>
      <c r="M1723"/>
      <c r="N1723"/>
      <c r="O1723"/>
      <c r="P1723"/>
      <c r="Q1723" s="11"/>
    </row>
    <row r="1724" spans="2:17" x14ac:dyDescent="0.35">
      <c r="B1724"/>
      <c r="C1724"/>
      <c r="D1724"/>
      <c r="E1724"/>
      <c r="F1724"/>
      <c r="G1724"/>
      <c r="H1724"/>
      <c r="I1724"/>
      <c r="J1724"/>
      <c r="K1724"/>
      <c r="L1724"/>
      <c r="M1724"/>
      <c r="N1724"/>
      <c r="O1724"/>
      <c r="P1724"/>
      <c r="Q1724" s="11"/>
    </row>
    <row r="1725" spans="2:17" x14ac:dyDescent="0.35">
      <c r="B1725"/>
      <c r="C1725"/>
      <c r="D1725"/>
      <c r="E1725"/>
      <c r="F1725"/>
      <c r="G1725"/>
      <c r="H1725"/>
      <c r="I1725"/>
      <c r="J1725"/>
      <c r="K1725"/>
      <c r="L1725"/>
      <c r="M1725"/>
      <c r="N1725"/>
      <c r="O1725"/>
      <c r="P1725"/>
      <c r="Q1725" s="11"/>
    </row>
    <row r="1726" spans="2:17" x14ac:dyDescent="0.35">
      <c r="B1726"/>
      <c r="C1726"/>
      <c r="D1726"/>
      <c r="E1726"/>
      <c r="F1726"/>
      <c r="G1726"/>
      <c r="H1726"/>
      <c r="I1726"/>
      <c r="J1726"/>
      <c r="K1726"/>
      <c r="L1726"/>
      <c r="M1726"/>
      <c r="N1726"/>
      <c r="O1726"/>
      <c r="P1726"/>
      <c r="Q1726" s="11"/>
    </row>
    <row r="1727" spans="2:17" x14ac:dyDescent="0.35">
      <c r="B1727"/>
      <c r="C1727"/>
      <c r="D1727"/>
      <c r="E1727"/>
      <c r="F1727"/>
      <c r="G1727"/>
      <c r="H1727"/>
      <c r="I1727"/>
      <c r="J1727"/>
      <c r="K1727"/>
      <c r="L1727"/>
      <c r="M1727"/>
      <c r="N1727"/>
      <c r="O1727"/>
      <c r="P1727"/>
      <c r="Q1727" s="11"/>
    </row>
    <row r="1728" spans="2:17" x14ac:dyDescent="0.35">
      <c r="B1728"/>
      <c r="C1728"/>
      <c r="D1728"/>
      <c r="E1728"/>
      <c r="F1728"/>
      <c r="G1728"/>
      <c r="H1728"/>
      <c r="I1728"/>
      <c r="J1728"/>
      <c r="K1728"/>
      <c r="L1728"/>
      <c r="M1728"/>
      <c r="N1728"/>
      <c r="O1728"/>
      <c r="P1728"/>
      <c r="Q1728" s="11"/>
    </row>
    <row r="1729" spans="2:17" x14ac:dyDescent="0.35">
      <c r="B1729"/>
      <c r="C1729"/>
      <c r="D1729"/>
      <c r="E1729"/>
      <c r="F1729"/>
      <c r="G1729"/>
      <c r="H1729"/>
      <c r="I1729"/>
      <c r="J1729"/>
      <c r="K1729"/>
      <c r="L1729"/>
      <c r="M1729"/>
      <c r="N1729"/>
      <c r="O1729"/>
      <c r="P1729"/>
      <c r="Q1729" s="11"/>
    </row>
    <row r="1730" spans="2:17" x14ac:dyDescent="0.35">
      <c r="B1730"/>
      <c r="C1730"/>
      <c r="D1730"/>
      <c r="E1730"/>
      <c r="F1730"/>
      <c r="G1730"/>
      <c r="H1730"/>
      <c r="I1730"/>
      <c r="J1730"/>
      <c r="K1730"/>
      <c r="L1730"/>
      <c r="M1730"/>
      <c r="N1730"/>
      <c r="O1730"/>
      <c r="P1730"/>
      <c r="Q1730" s="11"/>
    </row>
    <row r="1731" spans="2:17" x14ac:dyDescent="0.35">
      <c r="B1731"/>
      <c r="C1731"/>
      <c r="D1731"/>
      <c r="E1731"/>
      <c r="F1731"/>
      <c r="G1731"/>
      <c r="H1731"/>
      <c r="I1731"/>
      <c r="J1731"/>
      <c r="K1731"/>
      <c r="L1731"/>
      <c r="M1731"/>
      <c r="N1731"/>
      <c r="O1731"/>
      <c r="P1731"/>
      <c r="Q1731" s="11"/>
    </row>
    <row r="1732" spans="2:17" x14ac:dyDescent="0.35">
      <c r="B1732"/>
      <c r="C1732"/>
      <c r="D1732"/>
      <c r="E1732"/>
      <c r="F1732"/>
      <c r="G1732"/>
      <c r="H1732"/>
      <c r="I1732"/>
      <c r="J1732"/>
      <c r="K1732"/>
      <c r="L1732"/>
      <c r="M1732"/>
      <c r="N1732"/>
      <c r="O1732"/>
      <c r="P1732"/>
      <c r="Q1732" s="11"/>
    </row>
    <row r="1733" spans="2:17" x14ac:dyDescent="0.35">
      <c r="B1733"/>
      <c r="C1733"/>
      <c r="D1733"/>
      <c r="E1733"/>
      <c r="F1733"/>
      <c r="G1733"/>
      <c r="H1733"/>
      <c r="I1733"/>
      <c r="J1733"/>
      <c r="K1733"/>
      <c r="L1733"/>
      <c r="M1733"/>
      <c r="N1733"/>
      <c r="O1733"/>
      <c r="P1733"/>
      <c r="Q1733" s="11"/>
    </row>
    <row r="1734" spans="2:17" x14ac:dyDescent="0.35">
      <c r="B1734"/>
      <c r="C1734"/>
      <c r="D1734"/>
      <c r="E1734"/>
      <c r="F1734"/>
      <c r="G1734"/>
      <c r="H1734"/>
      <c r="I1734"/>
      <c r="J1734"/>
      <c r="K1734"/>
      <c r="L1734"/>
      <c r="M1734"/>
      <c r="N1734"/>
      <c r="O1734"/>
      <c r="P1734"/>
      <c r="Q1734" s="11"/>
    </row>
    <row r="1735" spans="2:17" x14ac:dyDescent="0.35">
      <c r="B1735"/>
      <c r="C1735"/>
      <c r="D1735"/>
      <c r="E1735"/>
      <c r="F1735"/>
      <c r="G1735"/>
      <c r="H1735"/>
      <c r="I1735"/>
      <c r="J1735"/>
      <c r="K1735"/>
      <c r="L1735"/>
      <c r="M1735"/>
      <c r="N1735"/>
      <c r="O1735"/>
      <c r="P1735"/>
      <c r="Q1735" s="11"/>
    </row>
    <row r="1736" spans="2:17" x14ac:dyDescent="0.35">
      <c r="B1736"/>
      <c r="C1736"/>
      <c r="D1736"/>
      <c r="E1736"/>
      <c r="F1736"/>
      <c r="G1736"/>
      <c r="H1736"/>
      <c r="I1736"/>
      <c r="J1736"/>
      <c r="K1736"/>
      <c r="L1736"/>
      <c r="M1736"/>
      <c r="N1736"/>
      <c r="O1736"/>
      <c r="P1736"/>
      <c r="Q1736" s="11"/>
    </row>
    <row r="1737" spans="2:17" x14ac:dyDescent="0.35">
      <c r="B1737"/>
      <c r="C1737"/>
      <c r="D1737"/>
      <c r="E1737"/>
      <c r="F1737"/>
      <c r="G1737"/>
      <c r="H1737"/>
      <c r="I1737"/>
      <c r="J1737"/>
      <c r="K1737"/>
      <c r="L1737"/>
      <c r="M1737"/>
      <c r="N1737"/>
      <c r="O1737"/>
      <c r="P1737"/>
      <c r="Q1737" s="11"/>
    </row>
    <row r="1738" spans="2:17" x14ac:dyDescent="0.35">
      <c r="B1738"/>
      <c r="C1738"/>
      <c r="D1738"/>
      <c r="E1738"/>
      <c r="F1738"/>
      <c r="G1738"/>
      <c r="H1738"/>
      <c r="I1738"/>
      <c r="J1738"/>
      <c r="K1738"/>
      <c r="L1738"/>
      <c r="M1738"/>
      <c r="N1738"/>
      <c r="O1738"/>
      <c r="P1738"/>
      <c r="Q1738" s="11"/>
    </row>
    <row r="1739" spans="2:17" x14ac:dyDescent="0.35">
      <c r="B1739"/>
      <c r="C1739"/>
      <c r="D1739"/>
      <c r="E1739"/>
      <c r="F1739"/>
      <c r="G1739"/>
      <c r="H1739"/>
      <c r="I1739"/>
      <c r="J1739"/>
      <c r="K1739"/>
      <c r="L1739"/>
      <c r="M1739"/>
      <c r="N1739"/>
      <c r="O1739"/>
      <c r="P1739"/>
      <c r="Q1739" s="11"/>
    </row>
    <row r="1740" spans="2:17" x14ac:dyDescent="0.35">
      <c r="B1740"/>
      <c r="C1740"/>
      <c r="D1740"/>
      <c r="E1740"/>
      <c r="F1740"/>
      <c r="G1740"/>
      <c r="H1740"/>
      <c r="I1740"/>
      <c r="J1740"/>
      <c r="K1740"/>
      <c r="L1740"/>
      <c r="M1740"/>
      <c r="N1740"/>
      <c r="O1740"/>
      <c r="P1740"/>
      <c r="Q1740" s="11"/>
    </row>
    <row r="1741" spans="2:17" x14ac:dyDescent="0.35">
      <c r="B1741"/>
      <c r="C1741"/>
      <c r="D1741"/>
      <c r="E1741"/>
      <c r="F1741"/>
      <c r="G1741"/>
      <c r="H1741"/>
      <c r="I1741"/>
      <c r="J1741"/>
      <c r="K1741"/>
      <c r="L1741"/>
      <c r="M1741"/>
      <c r="N1741"/>
      <c r="O1741"/>
      <c r="P1741"/>
      <c r="Q1741" s="11"/>
    </row>
    <row r="1742" spans="2:17" x14ac:dyDescent="0.35">
      <c r="B1742"/>
      <c r="C1742"/>
      <c r="D1742"/>
      <c r="E1742"/>
      <c r="F1742"/>
      <c r="G1742"/>
      <c r="H1742"/>
      <c r="I1742"/>
      <c r="J1742"/>
      <c r="K1742"/>
      <c r="L1742"/>
      <c r="M1742"/>
      <c r="N1742"/>
      <c r="O1742"/>
      <c r="P1742"/>
      <c r="Q1742" s="11"/>
    </row>
    <row r="1743" spans="2:17" x14ac:dyDescent="0.35">
      <c r="B1743"/>
      <c r="C1743"/>
      <c r="D1743"/>
      <c r="E1743"/>
      <c r="F1743"/>
      <c r="G1743"/>
      <c r="H1743"/>
      <c r="I1743"/>
      <c r="J1743"/>
      <c r="K1743"/>
      <c r="L1743"/>
      <c r="M1743"/>
      <c r="N1743"/>
      <c r="O1743"/>
      <c r="P1743"/>
      <c r="Q1743" s="11"/>
    </row>
    <row r="1744" spans="2:17" x14ac:dyDescent="0.35">
      <c r="B1744"/>
      <c r="C1744"/>
      <c r="D1744"/>
      <c r="E1744"/>
      <c r="F1744"/>
      <c r="G1744"/>
      <c r="H1744"/>
      <c r="I1744"/>
      <c r="J1744"/>
      <c r="K1744"/>
      <c r="L1744"/>
      <c r="M1744"/>
      <c r="N1744"/>
      <c r="O1744"/>
      <c r="P1744"/>
      <c r="Q1744" s="11"/>
    </row>
    <row r="1745" spans="2:17" x14ac:dyDescent="0.35">
      <c r="B1745"/>
      <c r="C1745"/>
      <c r="D1745"/>
      <c r="E1745"/>
      <c r="F1745"/>
      <c r="G1745"/>
      <c r="H1745"/>
      <c r="I1745"/>
      <c r="J1745"/>
      <c r="K1745"/>
      <c r="L1745"/>
      <c r="M1745"/>
      <c r="N1745"/>
      <c r="O1745"/>
      <c r="P1745"/>
      <c r="Q1745" s="11"/>
    </row>
    <row r="1746" spans="2:17" x14ac:dyDescent="0.35">
      <c r="B1746"/>
      <c r="C1746"/>
      <c r="D1746"/>
      <c r="E1746"/>
      <c r="F1746"/>
      <c r="G1746"/>
      <c r="H1746"/>
      <c r="I1746"/>
      <c r="J1746"/>
      <c r="K1746"/>
      <c r="L1746"/>
      <c r="M1746"/>
      <c r="N1746"/>
      <c r="O1746"/>
      <c r="P1746"/>
      <c r="Q1746" s="11"/>
    </row>
    <row r="1747" spans="2:17" x14ac:dyDescent="0.35">
      <c r="B1747"/>
      <c r="C1747"/>
      <c r="D1747"/>
      <c r="E1747"/>
      <c r="F1747"/>
      <c r="G1747"/>
      <c r="H1747"/>
      <c r="I1747"/>
      <c r="J1747"/>
      <c r="K1747"/>
      <c r="L1747"/>
      <c r="M1747"/>
      <c r="N1747"/>
      <c r="O1747"/>
      <c r="P1747"/>
      <c r="Q1747" s="11"/>
    </row>
    <row r="1748" spans="2:17" x14ac:dyDescent="0.35">
      <c r="B1748"/>
      <c r="C1748"/>
      <c r="D1748"/>
      <c r="E1748"/>
      <c r="F1748"/>
      <c r="G1748"/>
      <c r="H1748"/>
      <c r="I1748"/>
      <c r="J1748"/>
      <c r="K1748"/>
      <c r="L1748"/>
      <c r="M1748"/>
      <c r="N1748"/>
      <c r="O1748"/>
      <c r="P1748"/>
      <c r="Q1748" s="11"/>
    </row>
    <row r="1749" spans="2:17" x14ac:dyDescent="0.35">
      <c r="B1749"/>
      <c r="C1749"/>
      <c r="D1749"/>
      <c r="E1749"/>
      <c r="F1749"/>
      <c r="G1749"/>
      <c r="H1749"/>
      <c r="I1749"/>
      <c r="J1749"/>
      <c r="K1749"/>
      <c r="L1749"/>
      <c r="M1749"/>
      <c r="N1749"/>
      <c r="O1749"/>
      <c r="P1749"/>
      <c r="Q1749" s="11"/>
    </row>
    <row r="1750" spans="2:17" x14ac:dyDescent="0.35">
      <c r="B1750"/>
      <c r="C1750"/>
      <c r="D1750"/>
      <c r="E1750"/>
      <c r="F1750"/>
      <c r="G1750"/>
      <c r="H1750"/>
      <c r="I1750"/>
      <c r="J1750"/>
      <c r="K1750"/>
      <c r="L1750"/>
      <c r="M1750"/>
      <c r="N1750"/>
      <c r="O1750"/>
      <c r="P1750"/>
      <c r="Q1750" s="11"/>
    </row>
    <row r="1751" spans="2:17" x14ac:dyDescent="0.35">
      <c r="B1751"/>
      <c r="C1751"/>
      <c r="D1751"/>
      <c r="E1751"/>
      <c r="F1751"/>
      <c r="G1751"/>
      <c r="H1751"/>
      <c r="I1751"/>
      <c r="J1751"/>
      <c r="K1751"/>
      <c r="L1751"/>
      <c r="M1751"/>
      <c r="N1751"/>
      <c r="O1751"/>
      <c r="P1751"/>
      <c r="Q1751" s="11"/>
    </row>
    <row r="1752" spans="2:17" x14ac:dyDescent="0.35">
      <c r="B1752"/>
      <c r="C1752"/>
      <c r="D1752"/>
      <c r="E1752"/>
      <c r="F1752"/>
      <c r="G1752"/>
      <c r="H1752"/>
      <c r="I1752"/>
      <c r="J1752"/>
      <c r="K1752"/>
      <c r="L1752"/>
      <c r="M1752"/>
      <c r="N1752"/>
      <c r="O1752"/>
      <c r="P1752"/>
      <c r="Q1752" s="11"/>
    </row>
    <row r="1753" spans="2:17" x14ac:dyDescent="0.35">
      <c r="B1753"/>
      <c r="C1753"/>
      <c r="D1753"/>
      <c r="E1753"/>
      <c r="F1753"/>
      <c r="G1753"/>
      <c r="H1753"/>
      <c r="I1753"/>
      <c r="J1753"/>
      <c r="K1753"/>
      <c r="L1753"/>
      <c r="M1753"/>
      <c r="N1753"/>
      <c r="O1753"/>
      <c r="P1753"/>
      <c r="Q1753" s="11"/>
    </row>
    <row r="1754" spans="2:17" x14ac:dyDescent="0.35">
      <c r="B1754"/>
      <c r="C1754"/>
      <c r="D1754"/>
      <c r="E1754"/>
      <c r="F1754"/>
      <c r="G1754"/>
      <c r="H1754"/>
      <c r="I1754"/>
      <c r="J1754"/>
      <c r="K1754"/>
      <c r="L1754"/>
      <c r="M1754"/>
      <c r="N1754"/>
      <c r="O1754"/>
      <c r="P1754"/>
      <c r="Q1754" s="11"/>
    </row>
    <row r="1755" spans="2:17" x14ac:dyDescent="0.35">
      <c r="B1755"/>
      <c r="C1755"/>
      <c r="D1755"/>
      <c r="E1755"/>
      <c r="F1755"/>
      <c r="G1755"/>
      <c r="H1755"/>
      <c r="I1755"/>
      <c r="J1755"/>
      <c r="K1755"/>
      <c r="L1755"/>
      <c r="M1755"/>
      <c r="N1755"/>
      <c r="O1755"/>
      <c r="P1755"/>
      <c r="Q1755" s="11"/>
    </row>
    <row r="1756" spans="2:17" x14ac:dyDescent="0.35">
      <c r="B1756"/>
      <c r="C1756"/>
      <c r="D1756"/>
      <c r="E1756"/>
      <c r="F1756"/>
      <c r="G1756"/>
      <c r="H1756"/>
      <c r="I1756"/>
      <c r="J1756"/>
      <c r="K1756"/>
      <c r="L1756"/>
      <c r="M1756"/>
      <c r="N1756"/>
      <c r="O1756"/>
      <c r="P1756"/>
      <c r="Q1756" s="11"/>
    </row>
    <row r="1757" spans="2:17" x14ac:dyDescent="0.35">
      <c r="B1757"/>
      <c r="C1757"/>
      <c r="D1757"/>
      <c r="E1757"/>
      <c r="F1757"/>
      <c r="G1757"/>
      <c r="H1757"/>
      <c r="I1757"/>
      <c r="J1757"/>
      <c r="K1757"/>
      <c r="L1757"/>
      <c r="M1757"/>
      <c r="N1757"/>
      <c r="O1757"/>
      <c r="P1757"/>
      <c r="Q1757" s="11"/>
    </row>
    <row r="1758" spans="2:17" x14ac:dyDescent="0.35">
      <c r="B1758"/>
      <c r="C1758"/>
      <c r="D1758"/>
      <c r="E1758"/>
      <c r="F1758"/>
      <c r="G1758"/>
      <c r="H1758"/>
      <c r="I1758"/>
      <c r="J1758"/>
      <c r="K1758"/>
      <c r="L1758"/>
      <c r="M1758"/>
      <c r="N1758"/>
      <c r="O1758"/>
      <c r="P1758"/>
      <c r="Q1758" s="11"/>
    </row>
    <row r="1759" spans="2:17" x14ac:dyDescent="0.35">
      <c r="B1759"/>
      <c r="C1759"/>
      <c r="D1759"/>
      <c r="E1759"/>
      <c r="F1759"/>
      <c r="G1759"/>
      <c r="H1759"/>
      <c r="I1759"/>
      <c r="J1759"/>
      <c r="K1759"/>
      <c r="L1759"/>
      <c r="M1759"/>
      <c r="N1759"/>
      <c r="O1759"/>
      <c r="P1759"/>
      <c r="Q1759" s="11"/>
    </row>
    <row r="1760" spans="2:17" x14ac:dyDescent="0.35">
      <c r="B1760"/>
      <c r="C1760"/>
      <c r="D1760"/>
      <c r="E1760"/>
      <c r="F1760"/>
      <c r="G1760"/>
      <c r="H1760"/>
      <c r="I1760"/>
      <c r="J1760"/>
      <c r="K1760"/>
      <c r="L1760"/>
      <c r="M1760"/>
      <c r="N1760"/>
      <c r="O1760"/>
      <c r="P1760"/>
      <c r="Q1760" s="11"/>
    </row>
    <row r="1761" spans="2:17" x14ac:dyDescent="0.35">
      <c r="B1761"/>
      <c r="C1761"/>
      <c r="D1761"/>
      <c r="E1761"/>
      <c r="F1761"/>
      <c r="G1761"/>
      <c r="H1761"/>
      <c r="I1761"/>
      <c r="J1761"/>
      <c r="K1761"/>
      <c r="L1761"/>
      <c r="M1761"/>
      <c r="N1761"/>
      <c r="O1761"/>
      <c r="P1761"/>
      <c r="Q1761" s="11"/>
    </row>
    <row r="1762" spans="2:17" x14ac:dyDescent="0.35">
      <c r="B1762"/>
      <c r="C1762"/>
      <c r="D1762"/>
      <c r="E1762"/>
      <c r="F1762"/>
      <c r="G1762"/>
      <c r="H1762"/>
      <c r="I1762"/>
      <c r="J1762"/>
      <c r="K1762"/>
      <c r="L1762"/>
      <c r="M1762"/>
      <c r="N1762"/>
      <c r="O1762"/>
      <c r="P1762"/>
      <c r="Q1762" s="11"/>
    </row>
    <row r="1763" spans="2:17" x14ac:dyDescent="0.35">
      <c r="B1763"/>
      <c r="C1763"/>
      <c r="D1763"/>
      <c r="E1763"/>
      <c r="F1763"/>
      <c r="G1763"/>
      <c r="H1763"/>
      <c r="I1763"/>
      <c r="J1763"/>
      <c r="K1763"/>
      <c r="L1763"/>
      <c r="M1763"/>
      <c r="N1763"/>
      <c r="O1763"/>
      <c r="P1763"/>
      <c r="Q1763" s="11"/>
    </row>
    <row r="1764" spans="2:17" x14ac:dyDescent="0.35">
      <c r="B1764"/>
      <c r="C1764"/>
      <c r="D1764"/>
      <c r="E1764"/>
      <c r="F1764"/>
      <c r="G1764"/>
      <c r="H1764"/>
      <c r="I1764"/>
      <c r="J1764"/>
      <c r="K1764"/>
      <c r="L1764"/>
      <c r="M1764"/>
      <c r="N1764"/>
      <c r="O1764"/>
      <c r="P1764"/>
      <c r="Q1764" s="11"/>
    </row>
    <row r="1765" spans="2:17" x14ac:dyDescent="0.35">
      <c r="B1765"/>
      <c r="C1765"/>
      <c r="D1765"/>
      <c r="E1765"/>
      <c r="F1765"/>
      <c r="G1765"/>
      <c r="H1765"/>
      <c r="I1765"/>
      <c r="J1765"/>
      <c r="K1765"/>
      <c r="L1765"/>
      <c r="M1765"/>
      <c r="N1765"/>
      <c r="O1765"/>
      <c r="P1765"/>
      <c r="Q1765" s="11"/>
    </row>
    <row r="1766" spans="2:17" x14ac:dyDescent="0.35">
      <c r="B1766"/>
      <c r="C1766"/>
      <c r="D1766"/>
      <c r="E1766"/>
      <c r="F1766"/>
      <c r="G1766"/>
      <c r="H1766"/>
      <c r="I1766"/>
      <c r="J1766"/>
      <c r="K1766"/>
      <c r="L1766"/>
      <c r="M1766"/>
      <c r="N1766"/>
      <c r="O1766"/>
      <c r="P1766"/>
      <c r="Q1766" s="11"/>
    </row>
    <row r="1767" spans="2:17" x14ac:dyDescent="0.35">
      <c r="B1767"/>
      <c r="C1767"/>
      <c r="D1767"/>
      <c r="E1767"/>
      <c r="F1767"/>
      <c r="G1767"/>
      <c r="H1767"/>
      <c r="I1767"/>
      <c r="J1767"/>
      <c r="K1767"/>
      <c r="L1767"/>
      <c r="M1767"/>
      <c r="N1767"/>
      <c r="O1767"/>
      <c r="P1767"/>
      <c r="Q1767" s="11"/>
    </row>
    <row r="1768" spans="2:17" x14ac:dyDescent="0.35">
      <c r="B1768"/>
      <c r="C1768"/>
      <c r="D1768"/>
      <c r="E1768"/>
      <c r="F1768"/>
      <c r="G1768"/>
      <c r="H1768"/>
      <c r="I1768"/>
      <c r="J1768"/>
      <c r="K1768"/>
      <c r="L1768"/>
      <c r="M1768"/>
      <c r="N1768"/>
      <c r="O1768"/>
      <c r="P1768"/>
      <c r="Q1768" s="11"/>
    </row>
    <row r="1769" spans="2:17" x14ac:dyDescent="0.35">
      <c r="B1769"/>
      <c r="C1769"/>
      <c r="D1769"/>
      <c r="E1769"/>
      <c r="F1769"/>
      <c r="G1769"/>
      <c r="H1769"/>
      <c r="I1769"/>
      <c r="J1769"/>
      <c r="K1769"/>
      <c r="L1769"/>
      <c r="M1769"/>
      <c r="N1769"/>
      <c r="O1769"/>
      <c r="P1769"/>
      <c r="Q1769" s="11"/>
    </row>
    <row r="1770" spans="2:17" x14ac:dyDescent="0.35">
      <c r="B1770"/>
      <c r="C1770"/>
      <c r="D1770"/>
      <c r="E1770"/>
      <c r="F1770"/>
      <c r="G1770"/>
      <c r="H1770"/>
      <c r="I1770"/>
      <c r="J1770"/>
      <c r="K1770"/>
      <c r="L1770"/>
      <c r="M1770"/>
      <c r="N1770"/>
      <c r="O1770"/>
      <c r="P1770"/>
      <c r="Q1770" s="11"/>
    </row>
    <row r="1771" spans="2:17" x14ac:dyDescent="0.35">
      <c r="B1771"/>
      <c r="C1771"/>
      <c r="D1771"/>
      <c r="E1771"/>
      <c r="F1771"/>
      <c r="G1771"/>
      <c r="H1771"/>
      <c r="I1771"/>
      <c r="J1771"/>
      <c r="K1771"/>
      <c r="L1771"/>
      <c r="M1771"/>
      <c r="N1771"/>
      <c r="O1771"/>
      <c r="P1771"/>
      <c r="Q1771" s="11"/>
    </row>
    <row r="1772" spans="2:17" x14ac:dyDescent="0.35">
      <c r="B1772"/>
      <c r="C1772"/>
      <c r="D1772"/>
      <c r="E1772"/>
      <c r="F1772"/>
      <c r="G1772"/>
      <c r="H1772"/>
      <c r="I1772"/>
      <c r="J1772"/>
      <c r="K1772"/>
      <c r="L1772"/>
      <c r="M1772"/>
      <c r="N1772"/>
      <c r="O1772"/>
      <c r="P1772"/>
      <c r="Q1772" s="11"/>
    </row>
    <row r="1773" spans="2:17" x14ac:dyDescent="0.35">
      <c r="B1773"/>
      <c r="C1773"/>
      <c r="D1773"/>
      <c r="E1773"/>
      <c r="F1773"/>
      <c r="G1773"/>
      <c r="H1773"/>
      <c r="I1773"/>
      <c r="J1773"/>
      <c r="K1773"/>
      <c r="L1773"/>
      <c r="M1773"/>
      <c r="N1773"/>
      <c r="O1773"/>
      <c r="P1773"/>
      <c r="Q1773" s="11"/>
    </row>
    <row r="1774" spans="2:17" x14ac:dyDescent="0.35">
      <c r="B1774"/>
      <c r="C1774"/>
      <c r="D1774"/>
      <c r="E1774"/>
      <c r="F1774"/>
      <c r="G1774"/>
      <c r="H1774"/>
      <c r="I1774"/>
      <c r="J1774"/>
      <c r="K1774"/>
      <c r="L1774"/>
      <c r="M1774"/>
      <c r="N1774"/>
      <c r="O1774"/>
      <c r="P1774"/>
      <c r="Q1774" s="11"/>
    </row>
    <row r="1775" spans="2:17" x14ac:dyDescent="0.35">
      <c r="B1775"/>
      <c r="C1775"/>
      <c r="D1775"/>
      <c r="E1775"/>
      <c r="F1775"/>
      <c r="G1775"/>
      <c r="H1775"/>
      <c r="I1775"/>
      <c r="J1775"/>
      <c r="K1775"/>
      <c r="L1775"/>
      <c r="M1775"/>
      <c r="N1775"/>
      <c r="O1775"/>
      <c r="P1775"/>
      <c r="Q1775" s="11"/>
    </row>
    <row r="1776" spans="2:17" x14ac:dyDescent="0.35">
      <c r="B1776"/>
      <c r="C1776"/>
      <c r="D1776"/>
      <c r="E1776"/>
      <c r="F1776"/>
      <c r="G1776"/>
      <c r="H1776"/>
      <c r="I1776"/>
      <c r="J1776"/>
      <c r="K1776"/>
      <c r="L1776"/>
      <c r="M1776"/>
      <c r="N1776"/>
      <c r="O1776"/>
      <c r="P1776"/>
      <c r="Q1776" s="11"/>
    </row>
    <row r="1777" spans="2:17" x14ac:dyDescent="0.35">
      <c r="B1777"/>
      <c r="C1777"/>
      <c r="D1777"/>
      <c r="E1777"/>
      <c r="F1777"/>
      <c r="G1777"/>
      <c r="H1777"/>
      <c r="I1777"/>
      <c r="J1777"/>
      <c r="K1777"/>
      <c r="L1777"/>
      <c r="M1777"/>
      <c r="N1777"/>
      <c r="O1777"/>
      <c r="P1777"/>
      <c r="Q1777" s="11"/>
    </row>
    <row r="1778" spans="2:17" x14ac:dyDescent="0.35">
      <c r="B1778"/>
      <c r="C1778"/>
      <c r="D1778"/>
      <c r="E1778"/>
      <c r="F1778"/>
      <c r="G1778"/>
      <c r="H1778"/>
      <c r="I1778"/>
      <c r="J1778"/>
      <c r="K1778"/>
      <c r="L1778"/>
      <c r="M1778"/>
      <c r="N1778"/>
      <c r="O1778"/>
      <c r="P1778"/>
      <c r="Q1778" s="11"/>
    </row>
    <row r="1779" spans="2:17" x14ac:dyDescent="0.35">
      <c r="B1779"/>
      <c r="C1779"/>
      <c r="D1779"/>
      <c r="E1779"/>
      <c r="F1779"/>
      <c r="G1779"/>
      <c r="H1779"/>
      <c r="I1779"/>
      <c r="J1779"/>
      <c r="K1779"/>
      <c r="L1779"/>
      <c r="M1779"/>
      <c r="N1779"/>
      <c r="O1779"/>
      <c r="P1779"/>
      <c r="Q1779" s="11"/>
    </row>
    <row r="1780" spans="2:17" x14ac:dyDescent="0.35">
      <c r="B1780"/>
      <c r="C1780"/>
      <c r="D1780"/>
      <c r="E1780"/>
      <c r="F1780"/>
      <c r="G1780"/>
      <c r="H1780"/>
      <c r="I1780"/>
      <c r="J1780"/>
      <c r="K1780"/>
      <c r="L1780"/>
      <c r="M1780"/>
      <c r="N1780"/>
      <c r="O1780"/>
      <c r="P1780"/>
      <c r="Q1780" s="11"/>
    </row>
    <row r="1781" spans="2:17" x14ac:dyDescent="0.35">
      <c r="B1781"/>
      <c r="C1781"/>
      <c r="D1781"/>
      <c r="E1781"/>
      <c r="F1781"/>
      <c r="G1781"/>
      <c r="H1781"/>
      <c r="I1781"/>
      <c r="J1781"/>
      <c r="K1781"/>
      <c r="L1781"/>
      <c r="M1781"/>
      <c r="N1781"/>
      <c r="O1781"/>
      <c r="P1781"/>
      <c r="Q1781" s="11"/>
    </row>
    <row r="1782" spans="2:17" x14ac:dyDescent="0.35">
      <c r="B1782"/>
      <c r="C1782"/>
      <c r="D1782"/>
      <c r="E1782"/>
      <c r="F1782"/>
      <c r="G1782"/>
      <c r="H1782"/>
      <c r="I1782"/>
      <c r="J1782"/>
      <c r="K1782"/>
      <c r="L1782"/>
      <c r="M1782"/>
      <c r="N1782"/>
      <c r="O1782"/>
      <c r="P1782"/>
      <c r="Q1782" s="11"/>
    </row>
    <row r="1783" spans="2:17" x14ac:dyDescent="0.35">
      <c r="B1783"/>
      <c r="C1783"/>
      <c r="D1783"/>
      <c r="E1783"/>
      <c r="F1783"/>
      <c r="G1783"/>
      <c r="H1783"/>
      <c r="I1783"/>
      <c r="J1783"/>
      <c r="K1783"/>
      <c r="L1783"/>
      <c r="M1783"/>
      <c r="N1783"/>
      <c r="O1783"/>
      <c r="P1783"/>
      <c r="Q1783" s="11"/>
    </row>
    <row r="1784" spans="2:17" x14ac:dyDescent="0.35">
      <c r="B1784"/>
      <c r="C1784"/>
      <c r="D1784"/>
      <c r="E1784"/>
      <c r="F1784"/>
      <c r="G1784"/>
      <c r="H1784"/>
      <c r="I1784"/>
      <c r="J1784"/>
      <c r="K1784"/>
      <c r="L1784"/>
      <c r="M1784"/>
      <c r="N1784"/>
      <c r="O1784"/>
      <c r="P1784"/>
      <c r="Q1784" s="11"/>
    </row>
    <row r="1785" spans="2:17" x14ac:dyDescent="0.35">
      <c r="B1785"/>
      <c r="C1785"/>
      <c r="D1785"/>
      <c r="E1785"/>
      <c r="F1785"/>
      <c r="G1785"/>
      <c r="H1785"/>
      <c r="I1785"/>
      <c r="J1785"/>
      <c r="K1785"/>
      <c r="L1785"/>
      <c r="M1785"/>
      <c r="N1785"/>
      <c r="O1785"/>
      <c r="P1785"/>
      <c r="Q1785" s="11"/>
    </row>
    <row r="1786" spans="2:17" x14ac:dyDescent="0.35">
      <c r="B1786"/>
      <c r="C1786"/>
      <c r="D1786"/>
      <c r="E1786"/>
      <c r="F1786"/>
      <c r="G1786"/>
      <c r="H1786"/>
      <c r="I1786"/>
      <c r="J1786"/>
      <c r="K1786"/>
      <c r="L1786"/>
      <c r="M1786"/>
      <c r="N1786"/>
      <c r="O1786"/>
      <c r="P1786"/>
      <c r="Q1786" s="11"/>
    </row>
    <row r="1787" spans="2:17" x14ac:dyDescent="0.35">
      <c r="B1787"/>
      <c r="C1787"/>
      <c r="D1787"/>
      <c r="E1787"/>
      <c r="F1787"/>
      <c r="G1787"/>
      <c r="H1787"/>
      <c r="I1787"/>
      <c r="J1787"/>
      <c r="K1787"/>
      <c r="L1787"/>
      <c r="M1787"/>
      <c r="N1787"/>
      <c r="O1787"/>
      <c r="P1787"/>
      <c r="Q1787" s="11"/>
    </row>
    <row r="1788" spans="2:17" x14ac:dyDescent="0.35">
      <c r="B1788"/>
      <c r="C1788"/>
      <c r="D1788"/>
      <c r="E1788"/>
      <c r="F1788"/>
      <c r="G1788"/>
      <c r="H1788"/>
      <c r="I1788"/>
      <c r="J1788"/>
      <c r="K1788"/>
      <c r="L1788"/>
      <c r="M1788"/>
      <c r="N1788"/>
      <c r="O1788"/>
      <c r="P1788"/>
      <c r="Q1788" s="11"/>
    </row>
    <row r="1789" spans="2:17" x14ac:dyDescent="0.35">
      <c r="B1789"/>
      <c r="C1789"/>
      <c r="D1789"/>
      <c r="E1789"/>
      <c r="F1789"/>
      <c r="G1789"/>
      <c r="H1789"/>
      <c r="I1789"/>
      <c r="J1789"/>
      <c r="K1789"/>
      <c r="L1789"/>
      <c r="M1789"/>
      <c r="N1789"/>
      <c r="O1789"/>
      <c r="P1789"/>
      <c r="Q1789" s="11"/>
    </row>
    <row r="1790" spans="2:17" x14ac:dyDescent="0.35">
      <c r="B1790"/>
      <c r="C1790"/>
      <c r="D1790"/>
      <c r="E1790"/>
      <c r="F1790"/>
      <c r="G1790"/>
      <c r="H1790"/>
      <c r="I1790"/>
      <c r="J1790"/>
      <c r="K1790"/>
      <c r="L1790"/>
      <c r="M1790"/>
      <c r="N1790"/>
      <c r="O1790"/>
      <c r="P1790"/>
      <c r="Q1790" s="11"/>
    </row>
    <row r="1791" spans="2:17" x14ac:dyDescent="0.35">
      <c r="B1791"/>
      <c r="C1791"/>
      <c r="D1791"/>
      <c r="E1791"/>
      <c r="F1791"/>
      <c r="G1791"/>
      <c r="H1791"/>
      <c r="I1791"/>
      <c r="J1791"/>
      <c r="K1791"/>
      <c r="L1791"/>
      <c r="M1791"/>
      <c r="N1791"/>
      <c r="O1791"/>
      <c r="P1791"/>
      <c r="Q1791" s="11"/>
    </row>
    <row r="1792" spans="2:17" x14ac:dyDescent="0.35">
      <c r="B1792"/>
      <c r="C1792"/>
      <c r="D1792"/>
      <c r="E1792"/>
      <c r="F1792"/>
      <c r="G1792"/>
      <c r="H1792"/>
      <c r="I1792"/>
      <c r="J1792"/>
      <c r="K1792"/>
      <c r="L1792"/>
      <c r="M1792"/>
      <c r="N1792"/>
      <c r="O1792"/>
      <c r="P1792"/>
      <c r="Q1792" s="11"/>
    </row>
    <row r="1793" spans="2:17" x14ac:dyDescent="0.35">
      <c r="B1793"/>
      <c r="C1793"/>
      <c r="D1793"/>
      <c r="E1793"/>
      <c r="F1793"/>
      <c r="G1793"/>
      <c r="H1793"/>
      <c r="I1793"/>
      <c r="J1793"/>
      <c r="K1793"/>
      <c r="L1793"/>
      <c r="M1793"/>
      <c r="N1793"/>
      <c r="O1793"/>
      <c r="P1793"/>
      <c r="Q1793" s="11"/>
    </row>
    <row r="1794" spans="2:17" x14ac:dyDescent="0.35">
      <c r="B1794"/>
      <c r="C1794"/>
      <c r="D1794"/>
      <c r="E1794"/>
      <c r="F1794"/>
      <c r="G1794"/>
      <c r="H1794"/>
      <c r="I1794"/>
      <c r="J1794"/>
      <c r="K1794"/>
      <c r="L1794"/>
      <c r="M1794"/>
      <c r="N1794"/>
      <c r="O1794"/>
      <c r="P1794"/>
      <c r="Q1794" s="11"/>
    </row>
    <row r="1795" spans="2:17" x14ac:dyDescent="0.35">
      <c r="B1795"/>
      <c r="C1795"/>
      <c r="D1795"/>
      <c r="E1795"/>
      <c r="F1795"/>
      <c r="G1795"/>
      <c r="H1795"/>
      <c r="I1795"/>
      <c r="J1795"/>
      <c r="K1795"/>
      <c r="L1795"/>
      <c r="M1795"/>
      <c r="N1795"/>
      <c r="O1795"/>
      <c r="P1795"/>
      <c r="Q1795" s="11"/>
    </row>
    <row r="1796" spans="2:17" x14ac:dyDescent="0.35">
      <c r="B1796"/>
      <c r="C1796"/>
      <c r="D1796"/>
      <c r="E1796"/>
      <c r="F1796"/>
      <c r="G1796"/>
      <c r="H1796"/>
      <c r="I1796"/>
      <c r="J1796"/>
      <c r="K1796"/>
      <c r="L1796"/>
      <c r="M1796"/>
      <c r="N1796"/>
      <c r="O1796"/>
      <c r="P1796"/>
      <c r="Q1796" s="11"/>
    </row>
    <row r="1797" spans="2:17" x14ac:dyDescent="0.35">
      <c r="B1797"/>
      <c r="C1797"/>
      <c r="D1797"/>
      <c r="E1797"/>
      <c r="F1797"/>
      <c r="G1797"/>
      <c r="H1797"/>
      <c r="I1797"/>
      <c r="J1797"/>
      <c r="K1797"/>
      <c r="L1797"/>
      <c r="M1797"/>
      <c r="N1797"/>
      <c r="O1797"/>
      <c r="P1797"/>
      <c r="Q1797" s="11"/>
    </row>
    <row r="1798" spans="2:17" x14ac:dyDescent="0.35">
      <c r="B1798"/>
      <c r="C1798"/>
      <c r="D1798"/>
      <c r="E1798"/>
      <c r="F1798"/>
      <c r="G1798"/>
      <c r="H1798"/>
      <c r="I1798"/>
      <c r="J1798"/>
      <c r="K1798"/>
      <c r="L1798"/>
      <c r="M1798"/>
      <c r="N1798"/>
      <c r="O1798"/>
      <c r="P1798"/>
      <c r="Q1798" s="11"/>
    </row>
    <row r="1799" spans="2:17" x14ac:dyDescent="0.35">
      <c r="B1799"/>
      <c r="C1799"/>
      <c r="D1799"/>
      <c r="E1799"/>
      <c r="F1799"/>
      <c r="G1799"/>
      <c r="H1799"/>
      <c r="I1799"/>
      <c r="J1799"/>
      <c r="K1799"/>
      <c r="L1799"/>
      <c r="M1799"/>
      <c r="N1799"/>
      <c r="O1799"/>
      <c r="P1799"/>
      <c r="Q1799" s="11"/>
    </row>
    <row r="1800" spans="2:17" x14ac:dyDescent="0.35">
      <c r="B1800"/>
      <c r="C1800"/>
      <c r="D1800"/>
      <c r="E1800"/>
      <c r="F1800"/>
      <c r="G1800"/>
      <c r="H1800"/>
      <c r="I1800"/>
      <c r="J1800"/>
      <c r="K1800"/>
      <c r="L1800"/>
      <c r="M1800"/>
      <c r="N1800"/>
      <c r="O1800"/>
      <c r="P1800"/>
      <c r="Q1800" s="11"/>
    </row>
    <row r="1801" spans="2:17" x14ac:dyDescent="0.35">
      <c r="B1801"/>
      <c r="C1801"/>
      <c r="D1801"/>
      <c r="E1801"/>
      <c r="F1801"/>
      <c r="G1801"/>
      <c r="H1801"/>
      <c r="I1801"/>
      <c r="J1801"/>
      <c r="K1801"/>
      <c r="L1801"/>
      <c r="M1801"/>
      <c r="N1801"/>
      <c r="O1801"/>
      <c r="P1801"/>
      <c r="Q1801" s="11"/>
    </row>
    <row r="1802" spans="2:17" x14ac:dyDescent="0.35">
      <c r="B1802"/>
      <c r="C1802"/>
      <c r="D1802"/>
      <c r="E1802"/>
      <c r="F1802"/>
      <c r="G1802"/>
      <c r="H1802"/>
      <c r="I1802"/>
      <c r="J1802"/>
      <c r="K1802"/>
      <c r="L1802"/>
      <c r="M1802"/>
      <c r="N1802"/>
      <c r="O1802"/>
      <c r="P1802"/>
      <c r="Q1802" s="11"/>
    </row>
    <row r="1803" spans="2:17" x14ac:dyDescent="0.35">
      <c r="B1803"/>
      <c r="C1803"/>
      <c r="D1803"/>
      <c r="E1803"/>
      <c r="F1803"/>
      <c r="G1803"/>
      <c r="H1803"/>
      <c r="I1803"/>
      <c r="J1803"/>
      <c r="K1803"/>
      <c r="L1803"/>
      <c r="M1803"/>
      <c r="N1803"/>
      <c r="O1803"/>
      <c r="P1803"/>
      <c r="Q1803" s="11"/>
    </row>
    <row r="1804" spans="2:17" x14ac:dyDescent="0.35">
      <c r="B1804"/>
      <c r="C1804"/>
      <c r="D1804"/>
      <c r="E1804"/>
      <c r="F1804"/>
      <c r="G1804"/>
      <c r="H1804"/>
      <c r="I1804"/>
      <c r="J1804"/>
      <c r="K1804"/>
      <c r="L1804"/>
      <c r="M1804"/>
      <c r="N1804"/>
      <c r="O1804"/>
      <c r="P1804"/>
      <c r="Q1804" s="11"/>
    </row>
    <row r="1805" spans="2:17" x14ac:dyDescent="0.35">
      <c r="B1805"/>
      <c r="C1805"/>
      <c r="D1805"/>
      <c r="E1805"/>
      <c r="F1805"/>
      <c r="G1805"/>
      <c r="H1805"/>
      <c r="I1805"/>
      <c r="J1805"/>
      <c r="K1805"/>
      <c r="L1805"/>
      <c r="M1805"/>
      <c r="N1805"/>
      <c r="O1805"/>
      <c r="P1805"/>
      <c r="Q1805" s="11"/>
    </row>
    <row r="1806" spans="2:17" x14ac:dyDescent="0.35">
      <c r="B1806"/>
      <c r="C1806"/>
      <c r="D1806"/>
      <c r="E1806"/>
      <c r="F1806"/>
      <c r="G1806"/>
      <c r="H1806"/>
      <c r="I1806"/>
      <c r="J1806"/>
      <c r="K1806"/>
      <c r="L1806"/>
      <c r="M1806"/>
      <c r="N1806"/>
      <c r="O1806"/>
      <c r="P1806"/>
      <c r="Q1806" s="11"/>
    </row>
    <row r="1807" spans="2:17" x14ac:dyDescent="0.35">
      <c r="B1807"/>
      <c r="C1807"/>
      <c r="D1807"/>
      <c r="E1807"/>
      <c r="F1807"/>
      <c r="G1807"/>
      <c r="H1807"/>
      <c r="I1807"/>
      <c r="J1807"/>
      <c r="K1807"/>
      <c r="L1807"/>
      <c r="M1807"/>
      <c r="N1807"/>
      <c r="O1807"/>
      <c r="P1807"/>
      <c r="Q1807" s="11"/>
    </row>
    <row r="1808" spans="2:17" x14ac:dyDescent="0.35">
      <c r="B1808"/>
      <c r="C1808"/>
      <c r="D1808"/>
      <c r="E1808"/>
      <c r="F1808"/>
      <c r="G1808"/>
      <c r="H1808"/>
      <c r="I1808"/>
      <c r="J1808"/>
      <c r="K1808"/>
      <c r="L1808"/>
      <c r="M1808"/>
      <c r="N1808"/>
      <c r="O1808"/>
      <c r="P1808"/>
      <c r="Q1808" s="11"/>
    </row>
    <row r="1809" spans="2:17" x14ac:dyDescent="0.35">
      <c r="B1809"/>
      <c r="C1809"/>
      <c r="D1809"/>
      <c r="E1809"/>
      <c r="F1809"/>
      <c r="G1809"/>
      <c r="H1809"/>
      <c r="I1809"/>
      <c r="J1809"/>
      <c r="K1809"/>
      <c r="L1809"/>
      <c r="M1809"/>
      <c r="N1809"/>
      <c r="O1809"/>
      <c r="P1809"/>
      <c r="Q1809" s="11"/>
    </row>
    <row r="1810" spans="2:17" x14ac:dyDescent="0.35">
      <c r="B1810"/>
      <c r="C1810"/>
      <c r="D1810"/>
      <c r="E1810"/>
      <c r="F1810"/>
      <c r="G1810"/>
      <c r="H1810"/>
      <c r="I1810"/>
      <c r="J1810"/>
      <c r="K1810"/>
      <c r="L1810"/>
      <c r="M1810"/>
      <c r="N1810"/>
      <c r="O1810"/>
      <c r="P1810"/>
      <c r="Q1810" s="11"/>
    </row>
    <row r="1811" spans="2:17" x14ac:dyDescent="0.35">
      <c r="B1811"/>
      <c r="C1811"/>
      <c r="D1811"/>
      <c r="E1811"/>
      <c r="F1811"/>
      <c r="G1811"/>
      <c r="H1811"/>
      <c r="I1811"/>
      <c r="J1811"/>
      <c r="K1811"/>
      <c r="L1811"/>
      <c r="M1811"/>
      <c r="N1811"/>
      <c r="O1811"/>
      <c r="P1811"/>
      <c r="Q1811" s="11"/>
    </row>
    <row r="1812" spans="2:17" x14ac:dyDescent="0.35">
      <c r="B1812"/>
      <c r="C1812"/>
      <c r="D1812"/>
      <c r="E1812"/>
      <c r="F1812"/>
      <c r="G1812"/>
      <c r="H1812"/>
      <c r="I1812"/>
      <c r="J1812"/>
      <c r="K1812"/>
      <c r="L1812"/>
      <c r="M1812"/>
      <c r="N1812"/>
      <c r="O1812"/>
      <c r="P1812"/>
      <c r="Q1812" s="11"/>
    </row>
    <row r="1813" spans="2:17" x14ac:dyDescent="0.35">
      <c r="B1813"/>
      <c r="C1813"/>
      <c r="D1813"/>
      <c r="E1813"/>
      <c r="F1813"/>
      <c r="G1813"/>
      <c r="H1813"/>
      <c r="I1813"/>
      <c r="J1813"/>
      <c r="K1813"/>
      <c r="L1813"/>
      <c r="M1813"/>
      <c r="N1813"/>
      <c r="O1813"/>
      <c r="P1813"/>
      <c r="Q1813" s="11"/>
    </row>
    <row r="1814" spans="2:17" x14ac:dyDescent="0.35">
      <c r="B1814"/>
      <c r="C1814"/>
      <c r="D1814"/>
      <c r="E1814"/>
      <c r="F1814"/>
      <c r="G1814"/>
      <c r="H1814"/>
      <c r="I1814"/>
      <c r="J1814"/>
      <c r="K1814"/>
      <c r="L1814"/>
      <c r="M1814"/>
      <c r="N1814"/>
      <c r="O1814"/>
      <c r="P1814"/>
      <c r="Q1814" s="11"/>
    </row>
    <row r="1815" spans="2:17" x14ac:dyDescent="0.35">
      <c r="B1815"/>
      <c r="C1815"/>
      <c r="D1815"/>
      <c r="E1815"/>
      <c r="F1815"/>
      <c r="G1815"/>
      <c r="H1815"/>
      <c r="I1815"/>
      <c r="J1815"/>
      <c r="K1815"/>
      <c r="L1815"/>
      <c r="M1815"/>
      <c r="N1815"/>
      <c r="O1815"/>
      <c r="P1815"/>
      <c r="Q1815" s="11"/>
    </row>
    <row r="1816" spans="2:17" x14ac:dyDescent="0.35">
      <c r="B1816"/>
      <c r="C1816"/>
      <c r="D1816"/>
      <c r="E1816"/>
      <c r="F1816"/>
      <c r="G1816"/>
      <c r="H1816"/>
      <c r="I1816"/>
      <c r="J1816"/>
      <c r="K1816"/>
      <c r="L1816"/>
      <c r="M1816"/>
      <c r="N1816"/>
      <c r="O1816"/>
      <c r="P1816"/>
      <c r="Q1816" s="11"/>
    </row>
    <row r="1817" spans="2:17" x14ac:dyDescent="0.35">
      <c r="B1817"/>
      <c r="C1817"/>
      <c r="D1817"/>
      <c r="E1817"/>
      <c r="F1817"/>
      <c r="G1817"/>
      <c r="H1817"/>
      <c r="I1817"/>
      <c r="J1817"/>
      <c r="K1817"/>
      <c r="L1817"/>
      <c r="M1817"/>
      <c r="N1817"/>
      <c r="O1817"/>
      <c r="P1817"/>
      <c r="Q1817" s="11"/>
    </row>
    <row r="1818" spans="2:17" x14ac:dyDescent="0.35">
      <c r="B1818"/>
      <c r="C1818"/>
      <c r="D1818"/>
      <c r="E1818"/>
      <c r="F1818"/>
      <c r="G1818"/>
      <c r="H1818"/>
      <c r="I1818"/>
      <c r="J1818"/>
      <c r="K1818"/>
      <c r="L1818"/>
      <c r="M1818"/>
      <c r="N1818"/>
      <c r="O1818"/>
      <c r="P1818"/>
      <c r="Q1818" s="11"/>
    </row>
    <row r="1819" spans="2:17" x14ac:dyDescent="0.35">
      <c r="B1819"/>
      <c r="C1819"/>
      <c r="D1819"/>
      <c r="E1819"/>
      <c r="F1819"/>
      <c r="G1819"/>
      <c r="H1819"/>
      <c r="I1819"/>
      <c r="J1819"/>
      <c r="K1819"/>
      <c r="L1819"/>
      <c r="M1819"/>
      <c r="N1819"/>
      <c r="O1819"/>
      <c r="P1819"/>
      <c r="Q1819" s="11"/>
    </row>
    <row r="1820" spans="2:17" x14ac:dyDescent="0.35">
      <c r="B1820"/>
      <c r="C1820"/>
      <c r="D1820"/>
      <c r="E1820"/>
      <c r="F1820"/>
      <c r="G1820"/>
      <c r="H1820"/>
      <c r="I1820"/>
      <c r="J1820"/>
      <c r="K1820"/>
      <c r="L1820"/>
      <c r="M1820"/>
      <c r="N1820"/>
      <c r="O1820"/>
      <c r="P1820"/>
      <c r="Q1820" s="11"/>
    </row>
    <row r="1821" spans="2:17" x14ac:dyDescent="0.35">
      <c r="B1821"/>
      <c r="C1821"/>
      <c r="D1821"/>
      <c r="E1821"/>
      <c r="F1821"/>
      <c r="G1821"/>
      <c r="H1821"/>
      <c r="I1821"/>
      <c r="J1821"/>
      <c r="K1821"/>
      <c r="L1821"/>
      <c r="M1821"/>
      <c r="N1821"/>
      <c r="O1821"/>
      <c r="P1821"/>
      <c r="Q1821" s="11"/>
    </row>
    <row r="1822" spans="2:17" x14ac:dyDescent="0.35">
      <c r="B1822"/>
      <c r="C1822"/>
      <c r="D1822"/>
      <c r="E1822"/>
      <c r="F1822"/>
      <c r="G1822"/>
      <c r="H1822"/>
      <c r="I1822"/>
      <c r="J1822"/>
      <c r="K1822"/>
      <c r="L1822"/>
      <c r="M1822"/>
      <c r="N1822"/>
      <c r="O1822"/>
      <c r="P1822"/>
      <c r="Q1822" s="11"/>
    </row>
    <row r="1823" spans="2:17" x14ac:dyDescent="0.35">
      <c r="B1823"/>
      <c r="C1823"/>
      <c r="D1823"/>
      <c r="E1823"/>
      <c r="F1823"/>
      <c r="G1823"/>
      <c r="H1823"/>
      <c r="I1823"/>
      <c r="J1823"/>
      <c r="K1823"/>
      <c r="L1823"/>
      <c r="M1823"/>
      <c r="N1823"/>
      <c r="O1823"/>
      <c r="P1823"/>
      <c r="Q1823" s="11"/>
    </row>
    <row r="1824" spans="2:17" x14ac:dyDescent="0.35">
      <c r="B1824"/>
      <c r="C1824"/>
      <c r="D1824"/>
      <c r="E1824"/>
      <c r="F1824"/>
      <c r="G1824"/>
      <c r="H1824"/>
      <c r="I1824"/>
      <c r="J1824"/>
      <c r="K1824"/>
      <c r="L1824"/>
      <c r="M1824"/>
      <c r="N1824"/>
      <c r="O1824"/>
      <c r="P1824"/>
      <c r="Q1824" s="11"/>
    </row>
    <row r="1825" spans="2:17" x14ac:dyDescent="0.35">
      <c r="B1825"/>
      <c r="C1825"/>
      <c r="D1825"/>
      <c r="E1825"/>
      <c r="F1825"/>
      <c r="G1825"/>
      <c r="H1825"/>
      <c r="I1825"/>
      <c r="J1825"/>
      <c r="K1825"/>
      <c r="L1825"/>
      <c r="M1825"/>
      <c r="N1825"/>
      <c r="O1825"/>
      <c r="P1825"/>
      <c r="Q1825" s="11"/>
    </row>
    <row r="1826" spans="2:17" x14ac:dyDescent="0.35">
      <c r="B1826"/>
      <c r="C1826"/>
      <c r="D1826"/>
      <c r="E1826"/>
      <c r="F1826"/>
      <c r="G1826"/>
      <c r="H1826"/>
      <c r="I1826"/>
      <c r="J1826"/>
      <c r="K1826"/>
      <c r="L1826"/>
      <c r="M1826"/>
      <c r="N1826"/>
      <c r="O1826"/>
      <c r="P1826"/>
      <c r="Q1826" s="11"/>
    </row>
    <row r="1827" spans="2:17" x14ac:dyDescent="0.35">
      <c r="B1827"/>
      <c r="C1827"/>
      <c r="D1827"/>
      <c r="E1827"/>
      <c r="F1827"/>
      <c r="G1827"/>
      <c r="H1827"/>
      <c r="I1827"/>
      <c r="J1827"/>
      <c r="K1827"/>
      <c r="L1827"/>
      <c r="M1827"/>
      <c r="N1827"/>
      <c r="O1827"/>
      <c r="P1827"/>
      <c r="Q1827" s="11"/>
    </row>
    <row r="1828" spans="2:17" x14ac:dyDescent="0.35">
      <c r="B1828"/>
      <c r="C1828"/>
      <c r="D1828"/>
      <c r="E1828"/>
      <c r="F1828"/>
      <c r="G1828"/>
      <c r="H1828"/>
      <c r="I1828"/>
      <c r="J1828"/>
      <c r="K1828"/>
      <c r="L1828"/>
      <c r="M1828"/>
      <c r="N1828"/>
      <c r="O1828"/>
      <c r="P1828"/>
      <c r="Q1828" s="11"/>
    </row>
    <row r="1829" spans="2:17" x14ac:dyDescent="0.35">
      <c r="B1829"/>
      <c r="C1829"/>
      <c r="D1829"/>
      <c r="E1829"/>
      <c r="F1829"/>
      <c r="G1829"/>
      <c r="H1829"/>
      <c r="I1829"/>
      <c r="J1829"/>
      <c r="K1829"/>
      <c r="L1829"/>
      <c r="M1829"/>
      <c r="N1829"/>
      <c r="O1829"/>
      <c r="P1829"/>
      <c r="Q1829" s="11"/>
    </row>
    <row r="1830" spans="2:17" x14ac:dyDescent="0.35">
      <c r="B1830"/>
      <c r="C1830"/>
      <c r="D1830"/>
      <c r="E1830"/>
      <c r="F1830"/>
      <c r="G1830"/>
      <c r="H1830"/>
      <c r="I1830"/>
      <c r="J1830"/>
      <c r="K1830"/>
      <c r="L1830"/>
      <c r="M1830"/>
      <c r="N1830"/>
      <c r="O1830"/>
      <c r="P1830"/>
      <c r="Q1830" s="11"/>
    </row>
    <row r="1831" spans="2:17" x14ac:dyDescent="0.35">
      <c r="B1831"/>
      <c r="C1831"/>
      <c r="D1831"/>
      <c r="E1831"/>
      <c r="F1831"/>
      <c r="G1831"/>
      <c r="H1831"/>
      <c r="I1831"/>
      <c r="J1831"/>
      <c r="K1831"/>
      <c r="L1831"/>
      <c r="M1831"/>
      <c r="N1831"/>
      <c r="O1831"/>
      <c r="P1831"/>
      <c r="Q1831" s="11"/>
    </row>
    <row r="1832" spans="2:17" x14ac:dyDescent="0.35">
      <c r="B1832"/>
      <c r="C1832"/>
      <c r="D1832"/>
      <c r="E1832"/>
      <c r="F1832"/>
      <c r="G1832"/>
      <c r="H1832"/>
      <c r="I1832"/>
      <c r="J1832"/>
      <c r="K1832"/>
      <c r="L1832"/>
      <c r="M1832"/>
      <c r="N1832"/>
      <c r="O1832"/>
      <c r="P1832"/>
      <c r="Q1832" s="11"/>
    </row>
    <row r="1833" spans="2:17" x14ac:dyDescent="0.35">
      <c r="B1833"/>
      <c r="C1833"/>
      <c r="D1833"/>
      <c r="E1833"/>
      <c r="F1833"/>
      <c r="G1833"/>
      <c r="H1833"/>
      <c r="I1833"/>
      <c r="J1833"/>
      <c r="K1833"/>
      <c r="L1833"/>
      <c r="M1833"/>
      <c r="N1833"/>
      <c r="O1833"/>
      <c r="P1833"/>
      <c r="Q1833" s="11"/>
    </row>
    <row r="1834" spans="2:17" x14ac:dyDescent="0.35">
      <c r="B1834"/>
      <c r="C1834"/>
      <c r="D1834"/>
      <c r="E1834"/>
      <c r="F1834"/>
      <c r="G1834"/>
      <c r="H1834"/>
      <c r="I1834"/>
      <c r="J1834"/>
      <c r="K1834"/>
      <c r="L1834"/>
      <c r="M1834"/>
      <c r="N1834"/>
      <c r="O1834"/>
      <c r="P1834"/>
      <c r="Q1834" s="11"/>
    </row>
    <row r="1835" spans="2:17" x14ac:dyDescent="0.35">
      <c r="B1835"/>
      <c r="C1835"/>
      <c r="D1835"/>
      <c r="E1835"/>
      <c r="F1835"/>
      <c r="G1835"/>
      <c r="H1835"/>
      <c r="I1835"/>
      <c r="J1835"/>
      <c r="K1835"/>
      <c r="L1835"/>
      <c r="M1835"/>
      <c r="N1835"/>
      <c r="O1835"/>
      <c r="P1835"/>
      <c r="Q1835" s="11"/>
    </row>
    <row r="1836" spans="2:17" x14ac:dyDescent="0.35">
      <c r="B1836"/>
      <c r="C1836"/>
      <c r="D1836"/>
      <c r="E1836"/>
      <c r="F1836"/>
      <c r="G1836"/>
      <c r="H1836"/>
      <c r="I1836"/>
      <c r="J1836"/>
      <c r="K1836"/>
      <c r="L1836"/>
      <c r="M1836"/>
      <c r="N1836"/>
      <c r="O1836"/>
      <c r="P1836"/>
      <c r="Q1836" s="11"/>
    </row>
    <row r="1837" spans="2:17" x14ac:dyDescent="0.35">
      <c r="B1837"/>
      <c r="C1837"/>
      <c r="D1837"/>
      <c r="E1837"/>
      <c r="F1837"/>
      <c r="G1837"/>
      <c r="H1837"/>
      <c r="I1837"/>
      <c r="J1837"/>
      <c r="K1837"/>
      <c r="L1837"/>
      <c r="M1837"/>
      <c r="N1837"/>
      <c r="O1837"/>
      <c r="P1837"/>
      <c r="Q1837" s="11"/>
    </row>
    <row r="1838" spans="2:17" x14ac:dyDescent="0.35">
      <c r="B1838"/>
      <c r="C1838"/>
      <c r="D1838"/>
      <c r="E1838"/>
      <c r="F1838"/>
      <c r="G1838"/>
      <c r="H1838"/>
      <c r="I1838"/>
      <c r="J1838"/>
      <c r="K1838"/>
      <c r="L1838"/>
      <c r="M1838"/>
      <c r="N1838"/>
      <c r="O1838"/>
      <c r="P1838"/>
      <c r="Q1838" s="11"/>
    </row>
    <row r="1839" spans="2:17" x14ac:dyDescent="0.35">
      <c r="B1839"/>
      <c r="C1839"/>
      <c r="D1839"/>
      <c r="E1839"/>
      <c r="F1839"/>
      <c r="G1839"/>
      <c r="H1839"/>
      <c r="I1839"/>
      <c r="J1839"/>
      <c r="K1839"/>
      <c r="L1839"/>
      <c r="M1839"/>
      <c r="N1839"/>
      <c r="O1839"/>
      <c r="P1839"/>
      <c r="Q1839" s="11"/>
    </row>
    <row r="1840" spans="2:17" x14ac:dyDescent="0.35">
      <c r="B1840"/>
      <c r="C1840"/>
      <c r="D1840"/>
      <c r="E1840"/>
      <c r="F1840"/>
      <c r="G1840"/>
      <c r="H1840"/>
      <c r="I1840"/>
      <c r="J1840"/>
      <c r="K1840"/>
      <c r="L1840"/>
      <c r="M1840"/>
      <c r="N1840"/>
      <c r="O1840"/>
      <c r="P1840"/>
      <c r="Q1840" s="11"/>
    </row>
    <row r="1841" spans="2:17" x14ac:dyDescent="0.35">
      <c r="B1841"/>
      <c r="C1841"/>
      <c r="D1841"/>
      <c r="E1841"/>
      <c r="F1841"/>
      <c r="G1841"/>
      <c r="H1841"/>
      <c r="I1841"/>
      <c r="J1841"/>
      <c r="K1841"/>
      <c r="L1841"/>
      <c r="M1841"/>
      <c r="N1841"/>
      <c r="O1841"/>
      <c r="P1841"/>
      <c r="Q1841" s="11"/>
    </row>
    <row r="1842" spans="2:17" x14ac:dyDescent="0.35">
      <c r="B1842"/>
      <c r="C1842"/>
      <c r="D1842"/>
      <c r="E1842"/>
      <c r="F1842"/>
      <c r="G1842"/>
      <c r="H1842"/>
      <c r="I1842"/>
      <c r="J1842"/>
      <c r="K1842"/>
      <c r="L1842"/>
      <c r="M1842"/>
      <c r="N1842"/>
      <c r="O1842"/>
      <c r="P1842"/>
      <c r="Q1842" s="11"/>
    </row>
    <row r="1843" spans="2:17" x14ac:dyDescent="0.35">
      <c r="B1843"/>
      <c r="C1843"/>
      <c r="D1843"/>
      <c r="E1843"/>
      <c r="F1843"/>
      <c r="G1843"/>
      <c r="H1843"/>
      <c r="I1843"/>
      <c r="J1843"/>
      <c r="K1843"/>
      <c r="L1843"/>
      <c r="M1843"/>
      <c r="N1843"/>
      <c r="O1843"/>
      <c r="P1843"/>
      <c r="Q1843" s="11"/>
    </row>
    <row r="1844" spans="2:17" x14ac:dyDescent="0.35">
      <c r="B1844"/>
      <c r="C1844"/>
      <c r="D1844"/>
      <c r="E1844"/>
      <c r="F1844"/>
      <c r="G1844"/>
      <c r="H1844"/>
      <c r="I1844"/>
      <c r="J1844"/>
      <c r="K1844"/>
      <c r="L1844"/>
      <c r="M1844"/>
      <c r="N1844"/>
      <c r="O1844"/>
      <c r="P1844"/>
      <c r="Q1844" s="11"/>
    </row>
    <row r="1845" spans="2:17" x14ac:dyDescent="0.35">
      <c r="B1845"/>
      <c r="C1845"/>
      <c r="D1845"/>
      <c r="E1845"/>
      <c r="F1845"/>
      <c r="G1845"/>
      <c r="H1845"/>
      <c r="I1845"/>
      <c r="J1845"/>
      <c r="K1845"/>
      <c r="L1845"/>
      <c r="M1845"/>
      <c r="N1845"/>
      <c r="O1845"/>
      <c r="P1845"/>
      <c r="Q1845" s="11"/>
    </row>
    <row r="1846" spans="2:17" x14ac:dyDescent="0.35">
      <c r="B1846"/>
      <c r="C1846"/>
      <c r="D1846"/>
      <c r="E1846"/>
      <c r="F1846"/>
      <c r="G1846"/>
      <c r="H1846"/>
      <c r="I1846"/>
      <c r="J1846"/>
      <c r="K1846"/>
      <c r="L1846"/>
      <c r="M1846"/>
      <c r="N1846"/>
      <c r="O1846"/>
      <c r="P1846"/>
      <c r="Q1846" s="11"/>
    </row>
    <row r="1847" spans="2:17" x14ac:dyDescent="0.35">
      <c r="B1847"/>
      <c r="C1847"/>
      <c r="D1847"/>
      <c r="E1847"/>
      <c r="F1847"/>
      <c r="G1847"/>
      <c r="H1847"/>
      <c r="I1847"/>
      <c r="J1847"/>
      <c r="K1847"/>
      <c r="L1847"/>
      <c r="M1847"/>
      <c r="N1847"/>
      <c r="O1847"/>
      <c r="P1847"/>
      <c r="Q1847" s="11"/>
    </row>
    <row r="1848" spans="2:17" x14ac:dyDescent="0.35">
      <c r="B1848"/>
      <c r="C1848"/>
      <c r="D1848"/>
      <c r="E1848"/>
      <c r="F1848"/>
      <c r="G1848"/>
      <c r="H1848"/>
      <c r="I1848"/>
      <c r="J1848"/>
      <c r="K1848"/>
      <c r="L1848"/>
      <c r="M1848"/>
      <c r="N1848"/>
      <c r="O1848"/>
      <c r="P1848"/>
      <c r="Q1848" s="11"/>
    </row>
    <row r="1849" spans="2:17" x14ac:dyDescent="0.35">
      <c r="B1849"/>
      <c r="C1849"/>
      <c r="D1849"/>
      <c r="E1849"/>
      <c r="F1849"/>
      <c r="G1849"/>
      <c r="H1849"/>
      <c r="I1849"/>
      <c r="J1849"/>
      <c r="K1849"/>
      <c r="L1849"/>
      <c r="M1849"/>
      <c r="N1849"/>
      <c r="O1849"/>
      <c r="P1849"/>
      <c r="Q1849" s="11"/>
    </row>
    <row r="1850" spans="2:17" x14ac:dyDescent="0.35">
      <c r="B1850"/>
      <c r="C1850"/>
      <c r="D1850"/>
      <c r="E1850"/>
      <c r="F1850"/>
      <c r="G1850"/>
      <c r="H1850"/>
      <c r="I1850"/>
      <c r="J1850"/>
      <c r="K1850"/>
      <c r="L1850"/>
      <c r="M1850"/>
      <c r="N1850"/>
      <c r="O1850"/>
      <c r="P1850"/>
      <c r="Q1850" s="11"/>
    </row>
    <row r="1851" spans="2:17" x14ac:dyDescent="0.35">
      <c r="B1851"/>
      <c r="C1851"/>
      <c r="D1851"/>
      <c r="E1851"/>
      <c r="F1851"/>
      <c r="G1851"/>
      <c r="H1851"/>
      <c r="I1851"/>
      <c r="J1851"/>
      <c r="K1851"/>
      <c r="L1851"/>
      <c r="M1851"/>
      <c r="N1851"/>
      <c r="O1851"/>
      <c r="P1851"/>
      <c r="Q1851" s="11"/>
    </row>
    <row r="1852" spans="2:17" x14ac:dyDescent="0.35">
      <c r="B1852"/>
      <c r="C1852"/>
      <c r="D1852"/>
      <c r="E1852"/>
      <c r="F1852"/>
      <c r="G1852"/>
      <c r="H1852"/>
      <c r="I1852"/>
      <c r="J1852"/>
      <c r="K1852"/>
      <c r="L1852"/>
      <c r="M1852"/>
      <c r="N1852"/>
      <c r="O1852"/>
      <c r="P1852"/>
      <c r="Q1852" s="11"/>
    </row>
    <row r="1853" spans="2:17" x14ac:dyDescent="0.35">
      <c r="B1853"/>
      <c r="C1853"/>
      <c r="D1853"/>
      <c r="E1853"/>
      <c r="F1853"/>
      <c r="G1853"/>
      <c r="H1853"/>
      <c r="I1853"/>
      <c r="J1853"/>
      <c r="K1853"/>
      <c r="L1853"/>
      <c r="M1853"/>
      <c r="N1853"/>
      <c r="O1853"/>
      <c r="P1853"/>
      <c r="Q1853" s="11"/>
    </row>
    <row r="1854" spans="2:17" x14ac:dyDescent="0.35">
      <c r="B1854"/>
      <c r="C1854"/>
      <c r="D1854"/>
      <c r="E1854"/>
      <c r="F1854"/>
      <c r="G1854"/>
      <c r="H1854"/>
      <c r="I1854"/>
      <c r="J1854"/>
      <c r="K1854"/>
      <c r="L1854"/>
      <c r="M1854"/>
      <c r="N1854"/>
      <c r="O1854"/>
      <c r="P1854"/>
      <c r="Q1854" s="11"/>
    </row>
    <row r="1855" spans="2:17" x14ac:dyDescent="0.35">
      <c r="B1855"/>
      <c r="C1855"/>
      <c r="D1855"/>
      <c r="E1855"/>
      <c r="F1855"/>
      <c r="G1855"/>
      <c r="H1855"/>
      <c r="I1855"/>
      <c r="J1855"/>
      <c r="K1855"/>
      <c r="L1855"/>
      <c r="M1855"/>
      <c r="N1855"/>
      <c r="O1855"/>
      <c r="P1855"/>
      <c r="Q1855" s="11"/>
    </row>
    <row r="1856" spans="2:17" x14ac:dyDescent="0.35">
      <c r="B1856"/>
      <c r="C1856"/>
      <c r="D1856"/>
      <c r="E1856"/>
      <c r="F1856"/>
      <c r="G1856"/>
      <c r="H1856"/>
      <c r="I1856"/>
      <c r="J1856"/>
      <c r="K1856"/>
      <c r="L1856"/>
      <c r="M1856"/>
      <c r="N1856"/>
      <c r="O1856"/>
      <c r="P1856"/>
      <c r="Q1856" s="11"/>
    </row>
    <row r="1857" spans="2:17" x14ac:dyDescent="0.35">
      <c r="B1857"/>
      <c r="C1857"/>
      <c r="D1857"/>
      <c r="E1857"/>
      <c r="F1857"/>
      <c r="G1857"/>
      <c r="H1857"/>
      <c r="I1857"/>
      <c r="J1857"/>
      <c r="K1857"/>
      <c r="L1857"/>
      <c r="M1857"/>
      <c r="N1857"/>
      <c r="O1857"/>
      <c r="P1857"/>
      <c r="Q1857" s="11"/>
    </row>
    <row r="1858" spans="2:17" x14ac:dyDescent="0.35">
      <c r="B1858"/>
      <c r="C1858"/>
      <c r="D1858"/>
      <c r="E1858"/>
      <c r="F1858"/>
      <c r="G1858"/>
      <c r="H1858"/>
      <c r="I1858"/>
      <c r="J1858"/>
      <c r="K1858"/>
      <c r="L1858"/>
      <c r="M1858"/>
      <c r="N1858"/>
      <c r="O1858"/>
      <c r="P1858"/>
      <c r="Q1858" s="11"/>
    </row>
    <row r="1859" spans="2:17" x14ac:dyDescent="0.35">
      <c r="B1859"/>
      <c r="C1859"/>
      <c r="D1859"/>
      <c r="E1859"/>
      <c r="F1859"/>
      <c r="G1859"/>
      <c r="H1859"/>
      <c r="I1859"/>
      <c r="J1859"/>
      <c r="K1859"/>
      <c r="L1859"/>
      <c r="M1859"/>
      <c r="N1859"/>
      <c r="O1859"/>
      <c r="P1859"/>
      <c r="Q1859" s="11"/>
    </row>
    <row r="1860" spans="2:17" x14ac:dyDescent="0.35">
      <c r="B1860"/>
      <c r="C1860"/>
      <c r="D1860"/>
      <c r="E1860"/>
      <c r="F1860"/>
      <c r="G1860"/>
      <c r="H1860"/>
      <c r="I1860"/>
      <c r="J1860"/>
      <c r="K1860"/>
      <c r="L1860"/>
      <c r="M1860"/>
      <c r="N1860"/>
      <c r="O1860"/>
      <c r="P1860"/>
      <c r="Q1860" s="11"/>
    </row>
    <row r="1861" spans="2:17" x14ac:dyDescent="0.35">
      <c r="B1861"/>
      <c r="C1861"/>
      <c r="D1861"/>
      <c r="E1861"/>
      <c r="F1861"/>
      <c r="G1861"/>
      <c r="H1861"/>
      <c r="I1861"/>
      <c r="J1861"/>
      <c r="K1861"/>
      <c r="L1861"/>
      <c r="M1861"/>
      <c r="N1861"/>
      <c r="O1861"/>
      <c r="P1861"/>
      <c r="Q1861" s="11"/>
    </row>
    <row r="1862" spans="2:17" x14ac:dyDescent="0.35">
      <c r="B1862"/>
      <c r="C1862"/>
      <c r="D1862"/>
      <c r="E1862"/>
      <c r="F1862"/>
      <c r="G1862"/>
      <c r="H1862"/>
      <c r="I1862"/>
      <c r="J1862"/>
      <c r="K1862"/>
      <c r="L1862"/>
      <c r="M1862"/>
      <c r="N1862"/>
      <c r="O1862"/>
      <c r="P1862"/>
      <c r="Q1862" s="11"/>
    </row>
    <row r="1863" spans="2:17" x14ac:dyDescent="0.35">
      <c r="B1863"/>
      <c r="C1863"/>
      <c r="D1863"/>
      <c r="E1863"/>
      <c r="F1863"/>
      <c r="G1863"/>
      <c r="H1863"/>
      <c r="I1863"/>
      <c r="J1863"/>
      <c r="K1863"/>
      <c r="L1863"/>
      <c r="M1863"/>
      <c r="N1863"/>
      <c r="O1863"/>
      <c r="P1863"/>
      <c r="Q1863" s="11"/>
    </row>
    <row r="1864" spans="2:17" x14ac:dyDescent="0.35">
      <c r="B1864"/>
      <c r="C1864"/>
      <c r="D1864"/>
      <c r="E1864"/>
      <c r="F1864"/>
      <c r="G1864"/>
      <c r="H1864"/>
      <c r="I1864"/>
      <c r="J1864"/>
      <c r="K1864"/>
      <c r="L1864"/>
      <c r="M1864"/>
      <c r="N1864"/>
      <c r="O1864"/>
      <c r="P1864"/>
      <c r="Q1864" s="11"/>
    </row>
    <row r="1865" spans="2:17" x14ac:dyDescent="0.35">
      <c r="B1865"/>
      <c r="C1865"/>
      <c r="D1865"/>
      <c r="E1865"/>
      <c r="F1865"/>
      <c r="G1865"/>
      <c r="H1865"/>
      <c r="I1865"/>
      <c r="J1865"/>
      <c r="K1865"/>
      <c r="L1865"/>
      <c r="M1865"/>
      <c r="N1865"/>
      <c r="O1865"/>
      <c r="P1865"/>
      <c r="Q1865" s="11"/>
    </row>
    <row r="1866" spans="2:17" x14ac:dyDescent="0.35">
      <c r="B1866"/>
      <c r="C1866"/>
      <c r="D1866"/>
      <c r="E1866"/>
      <c r="F1866"/>
      <c r="G1866"/>
      <c r="H1866"/>
      <c r="I1866"/>
      <c r="J1866"/>
      <c r="K1866"/>
      <c r="L1866"/>
      <c r="M1866"/>
      <c r="N1866"/>
      <c r="O1866"/>
      <c r="P1866"/>
      <c r="Q1866" s="11"/>
    </row>
    <row r="1867" spans="2:17" x14ac:dyDescent="0.35">
      <c r="B1867"/>
      <c r="C1867"/>
      <c r="D1867"/>
      <c r="E1867"/>
      <c r="F1867"/>
      <c r="G1867"/>
      <c r="H1867"/>
      <c r="I1867"/>
      <c r="J1867"/>
      <c r="K1867"/>
      <c r="L1867"/>
      <c r="M1867"/>
      <c r="N1867"/>
      <c r="O1867"/>
      <c r="P1867"/>
      <c r="Q1867" s="11"/>
    </row>
    <row r="1868" spans="2:17" x14ac:dyDescent="0.35">
      <c r="B1868"/>
      <c r="C1868"/>
      <c r="D1868"/>
      <c r="E1868"/>
      <c r="F1868"/>
      <c r="G1868"/>
      <c r="H1868"/>
      <c r="I1868"/>
      <c r="J1868"/>
      <c r="K1868"/>
      <c r="L1868"/>
      <c r="M1868"/>
      <c r="N1868"/>
      <c r="O1868"/>
      <c r="P1868"/>
      <c r="Q1868" s="11"/>
    </row>
    <row r="1869" spans="2:17" x14ac:dyDescent="0.35">
      <c r="B1869"/>
      <c r="C1869"/>
      <c r="D1869"/>
      <c r="E1869"/>
      <c r="F1869"/>
      <c r="G1869"/>
      <c r="H1869"/>
      <c r="I1869"/>
      <c r="J1869"/>
      <c r="K1869"/>
      <c r="L1869"/>
      <c r="M1869"/>
      <c r="N1869"/>
      <c r="O1869"/>
      <c r="P1869"/>
      <c r="Q1869" s="11"/>
    </row>
    <row r="1870" spans="2:17" x14ac:dyDescent="0.35">
      <c r="B1870"/>
      <c r="C1870"/>
      <c r="D1870"/>
      <c r="E1870"/>
      <c r="F1870"/>
      <c r="G1870"/>
      <c r="H1870"/>
      <c r="I1870"/>
      <c r="J1870"/>
      <c r="K1870"/>
      <c r="L1870"/>
      <c r="M1870"/>
      <c r="N1870"/>
      <c r="O1870"/>
      <c r="P1870"/>
      <c r="Q1870" s="11"/>
    </row>
    <row r="1871" spans="2:17" x14ac:dyDescent="0.35">
      <c r="B1871"/>
      <c r="C1871"/>
      <c r="D1871"/>
      <c r="E1871"/>
      <c r="F1871"/>
      <c r="G1871"/>
      <c r="H1871"/>
      <c r="I1871"/>
      <c r="J1871"/>
      <c r="K1871"/>
      <c r="L1871"/>
      <c r="M1871"/>
      <c r="N1871"/>
      <c r="O1871"/>
      <c r="P1871"/>
      <c r="Q1871" s="11"/>
    </row>
    <row r="1872" spans="2:17" x14ac:dyDescent="0.35">
      <c r="B1872"/>
      <c r="C1872"/>
      <c r="D1872"/>
      <c r="E1872"/>
      <c r="F1872"/>
      <c r="G1872"/>
      <c r="H1872"/>
      <c r="I1872"/>
      <c r="J1872"/>
      <c r="K1872"/>
      <c r="L1872"/>
      <c r="M1872"/>
      <c r="N1872"/>
      <c r="O1872"/>
      <c r="P1872"/>
      <c r="Q1872" s="11"/>
    </row>
    <row r="1873" spans="2:17" x14ac:dyDescent="0.35">
      <c r="B1873"/>
      <c r="C1873"/>
      <c r="D1873"/>
      <c r="E1873"/>
      <c r="F1873"/>
      <c r="G1873"/>
      <c r="H1873"/>
      <c r="I1873"/>
      <c r="J1873"/>
      <c r="K1873"/>
      <c r="L1873"/>
      <c r="M1873"/>
      <c r="N1873"/>
      <c r="O1873"/>
      <c r="P1873"/>
      <c r="Q1873" s="11"/>
    </row>
    <row r="1874" spans="2:17" x14ac:dyDescent="0.35">
      <c r="B1874"/>
      <c r="C1874"/>
      <c r="D1874"/>
      <c r="E1874"/>
      <c r="F1874"/>
      <c r="G1874"/>
      <c r="H1874"/>
      <c r="I1874"/>
      <c r="J1874"/>
      <c r="K1874"/>
      <c r="L1874"/>
      <c r="M1874"/>
      <c r="N1874"/>
      <c r="O1874"/>
      <c r="P1874"/>
      <c r="Q1874" s="11"/>
    </row>
    <row r="1875" spans="2:17" x14ac:dyDescent="0.35">
      <c r="B1875"/>
      <c r="C1875"/>
      <c r="D1875"/>
      <c r="E1875"/>
      <c r="F1875"/>
      <c r="G1875"/>
      <c r="H1875"/>
      <c r="I1875"/>
      <c r="J1875"/>
      <c r="K1875"/>
      <c r="L1875"/>
      <c r="M1875"/>
      <c r="N1875"/>
      <c r="O1875"/>
      <c r="P1875"/>
      <c r="Q1875" s="11"/>
    </row>
    <row r="1876" spans="2:17" x14ac:dyDescent="0.35">
      <c r="B1876"/>
      <c r="C1876"/>
      <c r="D1876"/>
      <c r="E1876"/>
      <c r="F1876"/>
      <c r="G1876"/>
      <c r="H1876"/>
      <c r="I1876"/>
      <c r="J1876"/>
      <c r="K1876"/>
      <c r="L1876"/>
      <c r="M1876"/>
      <c r="N1876"/>
      <c r="O1876"/>
      <c r="P1876"/>
      <c r="Q1876" s="11"/>
    </row>
    <row r="1877" spans="2:17" x14ac:dyDescent="0.35">
      <c r="B1877"/>
      <c r="C1877"/>
      <c r="D1877"/>
      <c r="E1877"/>
      <c r="F1877"/>
      <c r="G1877"/>
      <c r="H1877"/>
      <c r="I1877"/>
      <c r="J1877"/>
      <c r="K1877"/>
      <c r="L1877"/>
      <c r="M1877"/>
      <c r="N1877"/>
      <c r="O1877"/>
      <c r="P1877"/>
      <c r="Q1877" s="11"/>
    </row>
    <row r="1878" spans="2:17" x14ac:dyDescent="0.35">
      <c r="B1878"/>
      <c r="C1878"/>
      <c r="D1878"/>
      <c r="E1878"/>
      <c r="F1878"/>
      <c r="G1878"/>
      <c r="H1878"/>
      <c r="I1878"/>
      <c r="J1878"/>
      <c r="K1878"/>
      <c r="L1878"/>
      <c r="M1878"/>
      <c r="N1878"/>
      <c r="O1878"/>
      <c r="P1878"/>
      <c r="Q1878" s="11"/>
    </row>
    <row r="1879" spans="2:17" x14ac:dyDescent="0.35">
      <c r="B1879"/>
      <c r="C1879"/>
      <c r="D1879"/>
      <c r="E1879"/>
      <c r="F1879"/>
      <c r="G1879"/>
      <c r="H1879"/>
      <c r="I1879"/>
      <c r="J1879"/>
      <c r="K1879"/>
      <c r="L1879"/>
      <c r="M1879"/>
      <c r="N1879"/>
      <c r="O1879"/>
      <c r="P1879"/>
      <c r="Q1879" s="11"/>
    </row>
    <row r="1880" spans="2:17" x14ac:dyDescent="0.35">
      <c r="B1880"/>
      <c r="C1880"/>
      <c r="D1880"/>
      <c r="E1880"/>
      <c r="F1880"/>
      <c r="G1880"/>
      <c r="H1880"/>
      <c r="I1880"/>
      <c r="J1880"/>
      <c r="K1880"/>
      <c r="L1880"/>
      <c r="M1880"/>
      <c r="N1880"/>
      <c r="O1880"/>
      <c r="P1880"/>
      <c r="Q1880" s="11"/>
    </row>
    <row r="1881" spans="2:17" x14ac:dyDescent="0.35">
      <c r="B1881"/>
      <c r="C1881"/>
      <c r="D1881"/>
      <c r="E1881"/>
      <c r="F1881"/>
      <c r="G1881"/>
      <c r="H1881"/>
      <c r="I1881"/>
      <c r="J1881"/>
      <c r="K1881"/>
      <c r="L1881"/>
      <c r="M1881"/>
      <c r="N1881"/>
      <c r="O1881"/>
      <c r="P1881"/>
      <c r="Q1881" s="11"/>
    </row>
    <row r="1882" spans="2:17" x14ac:dyDescent="0.35">
      <c r="B1882"/>
      <c r="C1882"/>
      <c r="D1882"/>
      <c r="E1882"/>
      <c r="F1882"/>
      <c r="G1882"/>
      <c r="H1882"/>
      <c r="I1882"/>
      <c r="J1882"/>
      <c r="K1882"/>
      <c r="L1882"/>
      <c r="M1882"/>
      <c r="N1882"/>
      <c r="O1882"/>
      <c r="P1882"/>
      <c r="Q1882" s="11"/>
    </row>
    <row r="1883" spans="2:17" x14ac:dyDescent="0.35">
      <c r="B1883"/>
      <c r="C1883"/>
      <c r="D1883"/>
      <c r="E1883"/>
      <c r="F1883"/>
      <c r="G1883"/>
      <c r="H1883"/>
      <c r="I1883"/>
      <c r="J1883"/>
      <c r="K1883"/>
      <c r="L1883"/>
      <c r="M1883"/>
      <c r="N1883"/>
      <c r="O1883"/>
      <c r="P1883"/>
      <c r="Q1883" s="11"/>
    </row>
    <row r="1884" spans="2:17" x14ac:dyDescent="0.35">
      <c r="B1884"/>
      <c r="C1884"/>
      <c r="D1884"/>
      <c r="E1884"/>
      <c r="F1884"/>
      <c r="G1884"/>
      <c r="H1884"/>
      <c r="I1884"/>
      <c r="J1884"/>
      <c r="K1884"/>
      <c r="L1884"/>
      <c r="M1884"/>
      <c r="N1884"/>
      <c r="O1884"/>
      <c r="P1884"/>
      <c r="Q1884" s="11"/>
    </row>
    <row r="1885" spans="2:17" x14ac:dyDescent="0.35">
      <c r="B1885"/>
      <c r="C1885"/>
      <c r="D1885"/>
      <c r="E1885"/>
      <c r="F1885"/>
      <c r="G1885"/>
      <c r="H1885"/>
      <c r="I1885"/>
      <c r="J1885"/>
      <c r="K1885"/>
      <c r="L1885"/>
      <c r="M1885"/>
      <c r="N1885"/>
      <c r="O1885"/>
      <c r="P1885"/>
      <c r="Q1885" s="11"/>
    </row>
    <row r="1886" spans="2:17" x14ac:dyDescent="0.35">
      <c r="B1886"/>
      <c r="C1886"/>
      <c r="D1886"/>
      <c r="E1886"/>
      <c r="F1886"/>
      <c r="G1886"/>
      <c r="H1886"/>
      <c r="I1886"/>
      <c r="J1886"/>
      <c r="K1886"/>
      <c r="L1886"/>
      <c r="M1886"/>
      <c r="N1886"/>
      <c r="O1886"/>
      <c r="P1886"/>
      <c r="Q1886" s="11"/>
    </row>
    <row r="1887" spans="2:17" x14ac:dyDescent="0.35">
      <c r="B1887"/>
      <c r="C1887"/>
      <c r="D1887"/>
      <c r="E1887"/>
      <c r="F1887"/>
      <c r="G1887"/>
      <c r="H1887"/>
      <c r="I1887"/>
      <c r="J1887"/>
      <c r="K1887"/>
      <c r="L1887"/>
      <c r="M1887"/>
      <c r="N1887"/>
      <c r="O1887"/>
      <c r="P1887"/>
      <c r="Q1887" s="11"/>
    </row>
    <row r="1888" spans="2:17" x14ac:dyDescent="0.35">
      <c r="B1888"/>
      <c r="C1888"/>
      <c r="D1888"/>
      <c r="E1888"/>
      <c r="F1888"/>
      <c r="G1888"/>
      <c r="H1888"/>
      <c r="I1888"/>
      <c r="J1888"/>
      <c r="K1888"/>
      <c r="L1888"/>
      <c r="M1888"/>
      <c r="N1888"/>
      <c r="O1888"/>
      <c r="P1888"/>
      <c r="Q1888" s="11"/>
    </row>
    <row r="1889" spans="2:17" x14ac:dyDescent="0.35">
      <c r="B1889"/>
      <c r="C1889"/>
      <c r="D1889"/>
      <c r="E1889"/>
      <c r="F1889"/>
      <c r="G1889"/>
      <c r="H1889"/>
      <c r="I1889"/>
      <c r="J1889"/>
      <c r="K1889"/>
      <c r="L1889"/>
      <c r="M1889"/>
      <c r="N1889"/>
      <c r="O1889"/>
      <c r="P1889"/>
      <c r="Q1889" s="11"/>
    </row>
    <row r="1890" spans="2:17" x14ac:dyDescent="0.35">
      <c r="B1890"/>
      <c r="C1890"/>
      <c r="D1890"/>
      <c r="E1890"/>
      <c r="F1890"/>
      <c r="G1890"/>
      <c r="H1890"/>
      <c r="I1890"/>
      <c r="J1890"/>
      <c r="K1890"/>
      <c r="L1890"/>
      <c r="M1890"/>
      <c r="N1890"/>
      <c r="O1890"/>
      <c r="P1890"/>
      <c r="Q1890" s="11"/>
    </row>
    <row r="1891" spans="2:17" x14ac:dyDescent="0.35">
      <c r="B1891"/>
      <c r="C1891"/>
      <c r="D1891"/>
      <c r="E1891"/>
      <c r="F1891"/>
      <c r="G1891"/>
      <c r="H1891"/>
      <c r="I1891"/>
      <c r="J1891"/>
      <c r="K1891"/>
      <c r="L1891"/>
      <c r="M1891"/>
      <c r="N1891"/>
      <c r="O1891"/>
      <c r="P1891"/>
      <c r="Q1891" s="11"/>
    </row>
    <row r="1892" spans="2:17" x14ac:dyDescent="0.35">
      <c r="B1892"/>
      <c r="C1892"/>
      <c r="D1892"/>
      <c r="E1892"/>
      <c r="F1892"/>
      <c r="G1892"/>
      <c r="H1892"/>
      <c r="I1892"/>
      <c r="J1892"/>
      <c r="K1892"/>
      <c r="L1892"/>
      <c r="M1892"/>
      <c r="N1892"/>
      <c r="O1892"/>
      <c r="P1892"/>
      <c r="Q1892" s="11"/>
    </row>
    <row r="1893" spans="2:17" x14ac:dyDescent="0.35">
      <c r="B1893"/>
      <c r="C1893"/>
      <c r="D1893"/>
      <c r="E1893"/>
      <c r="F1893"/>
      <c r="G1893"/>
      <c r="H1893"/>
      <c r="I1893"/>
      <c r="J1893"/>
      <c r="K1893"/>
      <c r="L1893"/>
      <c r="M1893"/>
      <c r="N1893"/>
      <c r="O1893"/>
      <c r="P1893"/>
      <c r="Q1893" s="11"/>
    </row>
    <row r="1894" spans="2:17" x14ac:dyDescent="0.35">
      <c r="B1894"/>
      <c r="C1894"/>
      <c r="D1894"/>
      <c r="E1894"/>
      <c r="F1894"/>
      <c r="G1894"/>
      <c r="H1894"/>
      <c r="I1894"/>
      <c r="J1894"/>
      <c r="K1894"/>
      <c r="L1894"/>
      <c r="M1894"/>
      <c r="N1894"/>
      <c r="O1894"/>
      <c r="P1894"/>
      <c r="Q1894" s="11"/>
    </row>
    <row r="1895" spans="2:17" x14ac:dyDescent="0.35">
      <c r="B1895"/>
      <c r="C1895"/>
      <c r="D1895"/>
      <c r="E1895"/>
      <c r="F1895"/>
      <c r="G1895"/>
      <c r="H1895"/>
      <c r="I1895"/>
      <c r="J1895"/>
      <c r="K1895"/>
      <c r="L1895"/>
      <c r="M1895"/>
      <c r="N1895"/>
      <c r="O1895"/>
      <c r="P1895"/>
      <c r="Q1895" s="11"/>
    </row>
    <row r="1896" spans="2:17" x14ac:dyDescent="0.35">
      <c r="B1896"/>
      <c r="C1896"/>
      <c r="D1896"/>
      <c r="E1896"/>
      <c r="F1896"/>
      <c r="G1896"/>
      <c r="H1896"/>
      <c r="I1896"/>
      <c r="J1896"/>
      <c r="K1896"/>
      <c r="L1896"/>
      <c r="M1896"/>
      <c r="N1896"/>
      <c r="O1896"/>
      <c r="P1896"/>
      <c r="Q1896" s="11"/>
    </row>
    <row r="1897" spans="2:17" x14ac:dyDescent="0.35">
      <c r="B1897"/>
      <c r="C1897"/>
      <c r="D1897"/>
      <c r="E1897"/>
      <c r="F1897"/>
      <c r="G1897"/>
      <c r="H1897"/>
      <c r="I1897"/>
      <c r="J1897"/>
      <c r="K1897"/>
      <c r="L1897"/>
      <c r="M1897"/>
      <c r="N1897"/>
      <c r="O1897"/>
      <c r="P1897"/>
      <c r="Q1897" s="11"/>
    </row>
    <row r="1898" spans="2:17" x14ac:dyDescent="0.35">
      <c r="B1898"/>
      <c r="C1898"/>
      <c r="D1898"/>
      <c r="E1898"/>
      <c r="F1898"/>
      <c r="G1898"/>
      <c r="H1898"/>
      <c r="I1898"/>
      <c r="J1898"/>
      <c r="K1898"/>
      <c r="L1898"/>
      <c r="M1898"/>
      <c r="N1898"/>
      <c r="O1898"/>
      <c r="P1898"/>
      <c r="Q1898" s="11"/>
    </row>
    <row r="1899" spans="2:17" x14ac:dyDescent="0.35">
      <c r="B1899"/>
      <c r="C1899"/>
      <c r="D1899"/>
      <c r="E1899"/>
      <c r="F1899"/>
      <c r="G1899"/>
      <c r="H1899"/>
      <c r="I1899"/>
      <c r="J1899"/>
      <c r="K1899"/>
      <c r="L1899"/>
      <c r="M1899"/>
      <c r="N1899"/>
      <c r="O1899"/>
      <c r="P1899"/>
      <c r="Q1899" s="11"/>
    </row>
    <row r="1900" spans="2:17" x14ac:dyDescent="0.35">
      <c r="B1900"/>
      <c r="C1900"/>
      <c r="D1900"/>
      <c r="E1900"/>
      <c r="F1900"/>
      <c r="G1900"/>
      <c r="H1900"/>
      <c r="I1900"/>
      <c r="J1900"/>
      <c r="K1900"/>
      <c r="L1900"/>
      <c r="M1900"/>
      <c r="N1900"/>
      <c r="O1900"/>
      <c r="P1900"/>
      <c r="Q1900" s="11"/>
    </row>
    <row r="1901" spans="2:17" x14ac:dyDescent="0.35">
      <c r="B1901"/>
      <c r="C1901"/>
      <c r="D1901"/>
      <c r="E1901"/>
      <c r="F1901"/>
      <c r="G1901"/>
      <c r="H1901"/>
      <c r="I1901"/>
      <c r="J1901"/>
      <c r="K1901"/>
      <c r="L1901"/>
      <c r="M1901"/>
      <c r="N1901"/>
      <c r="O1901"/>
      <c r="P1901"/>
      <c r="Q1901" s="11"/>
    </row>
    <row r="1902" spans="2:17" x14ac:dyDescent="0.35">
      <c r="B1902"/>
      <c r="C1902"/>
      <c r="D1902"/>
      <c r="E1902"/>
      <c r="F1902"/>
      <c r="G1902"/>
      <c r="H1902"/>
      <c r="I1902"/>
      <c r="J1902"/>
      <c r="K1902"/>
      <c r="L1902"/>
      <c r="M1902"/>
      <c r="N1902"/>
      <c r="O1902"/>
      <c r="P1902"/>
      <c r="Q1902" s="11"/>
    </row>
    <row r="1903" spans="2:17" x14ac:dyDescent="0.35">
      <c r="B1903"/>
      <c r="C1903"/>
      <c r="D1903"/>
      <c r="E1903"/>
      <c r="F1903"/>
      <c r="G1903"/>
      <c r="H1903"/>
      <c r="I1903"/>
      <c r="J1903"/>
      <c r="K1903"/>
      <c r="L1903"/>
      <c r="M1903"/>
      <c r="N1903"/>
      <c r="O1903"/>
      <c r="P1903"/>
      <c r="Q1903" s="11"/>
    </row>
    <row r="1904" spans="2:17" x14ac:dyDescent="0.35">
      <c r="B1904"/>
      <c r="C1904"/>
      <c r="D1904"/>
      <c r="E1904"/>
      <c r="F1904"/>
      <c r="G1904"/>
      <c r="H1904"/>
      <c r="I1904"/>
      <c r="J1904"/>
      <c r="K1904"/>
      <c r="L1904"/>
      <c r="M1904"/>
      <c r="N1904"/>
      <c r="O1904"/>
      <c r="P1904"/>
      <c r="Q1904" s="11"/>
    </row>
    <row r="1905" spans="2:17" x14ac:dyDescent="0.35">
      <c r="B1905"/>
      <c r="C1905"/>
      <c r="D1905"/>
      <c r="E1905"/>
      <c r="F1905"/>
      <c r="G1905"/>
      <c r="H1905"/>
      <c r="I1905"/>
      <c r="J1905"/>
      <c r="K1905"/>
      <c r="L1905"/>
      <c r="M1905"/>
      <c r="N1905"/>
      <c r="O1905"/>
      <c r="P1905"/>
      <c r="Q1905" s="11"/>
    </row>
    <row r="1906" spans="2:17" x14ac:dyDescent="0.35">
      <c r="B1906"/>
      <c r="C1906"/>
      <c r="D1906"/>
      <c r="E1906"/>
      <c r="F1906"/>
      <c r="G1906"/>
      <c r="H1906"/>
      <c r="I1906"/>
      <c r="J1906"/>
      <c r="K1906"/>
      <c r="L1906"/>
      <c r="M1906"/>
      <c r="N1906"/>
      <c r="O1906"/>
      <c r="P1906"/>
      <c r="Q1906" s="11"/>
    </row>
    <row r="1907" spans="2:17" x14ac:dyDescent="0.35">
      <c r="B1907"/>
      <c r="C1907"/>
      <c r="D1907"/>
      <c r="E1907"/>
      <c r="F1907"/>
      <c r="G1907"/>
      <c r="H1907"/>
      <c r="I1907"/>
      <c r="J1907"/>
      <c r="K1907"/>
      <c r="L1907"/>
      <c r="M1907"/>
      <c r="N1907"/>
      <c r="O1907"/>
      <c r="P1907"/>
      <c r="Q1907" s="11"/>
    </row>
    <row r="1908" spans="2:17" x14ac:dyDescent="0.35">
      <c r="B1908"/>
      <c r="C1908"/>
      <c r="D1908"/>
      <c r="E1908"/>
      <c r="F1908"/>
      <c r="G1908"/>
      <c r="H1908"/>
      <c r="I1908"/>
      <c r="J1908"/>
      <c r="K1908"/>
      <c r="L1908"/>
      <c r="M1908"/>
      <c r="N1908"/>
      <c r="O1908"/>
      <c r="P1908"/>
      <c r="Q1908" s="11"/>
    </row>
    <row r="1909" spans="2:17" x14ac:dyDescent="0.35">
      <c r="B1909"/>
      <c r="C1909"/>
      <c r="D1909"/>
      <c r="E1909"/>
      <c r="F1909"/>
      <c r="G1909"/>
      <c r="H1909"/>
      <c r="I1909"/>
      <c r="J1909"/>
      <c r="K1909"/>
      <c r="L1909"/>
      <c r="M1909"/>
      <c r="N1909"/>
      <c r="O1909"/>
      <c r="P1909"/>
      <c r="Q1909" s="11"/>
    </row>
    <row r="1910" spans="2:17" x14ac:dyDescent="0.35">
      <c r="B1910"/>
      <c r="C1910"/>
      <c r="D1910"/>
      <c r="E1910"/>
      <c r="F1910"/>
      <c r="G1910"/>
      <c r="H1910"/>
      <c r="I1910"/>
      <c r="J1910"/>
      <c r="K1910"/>
      <c r="L1910"/>
      <c r="M1910"/>
      <c r="N1910"/>
      <c r="O1910"/>
      <c r="P1910"/>
      <c r="Q1910" s="11"/>
    </row>
    <row r="1911" spans="2:17" x14ac:dyDescent="0.35">
      <c r="B1911"/>
      <c r="C1911"/>
      <c r="D1911"/>
      <c r="E1911"/>
      <c r="F1911"/>
      <c r="G1911"/>
      <c r="H1911"/>
      <c r="I1911"/>
      <c r="J1911"/>
      <c r="K1911"/>
      <c r="L1911"/>
      <c r="M1911"/>
      <c r="N1911"/>
      <c r="O1911"/>
      <c r="P1911"/>
      <c r="Q1911" s="11"/>
    </row>
    <row r="1912" spans="2:17" x14ac:dyDescent="0.35">
      <c r="B1912"/>
      <c r="C1912"/>
      <c r="D1912"/>
      <c r="E1912"/>
      <c r="F1912"/>
      <c r="G1912"/>
      <c r="H1912"/>
      <c r="I1912"/>
      <c r="J1912"/>
      <c r="K1912"/>
      <c r="L1912"/>
      <c r="M1912"/>
      <c r="N1912"/>
      <c r="O1912"/>
      <c r="P1912"/>
      <c r="Q1912" s="11"/>
    </row>
    <row r="1913" spans="2:17" x14ac:dyDescent="0.35">
      <c r="B1913"/>
      <c r="C1913"/>
      <c r="D1913"/>
      <c r="E1913"/>
      <c r="F1913"/>
      <c r="G1913"/>
      <c r="H1913"/>
      <c r="I1913"/>
      <c r="J1913"/>
      <c r="K1913"/>
      <c r="L1913"/>
      <c r="M1913"/>
      <c r="N1913"/>
      <c r="O1913"/>
      <c r="P1913"/>
      <c r="Q1913" s="11"/>
    </row>
    <row r="1914" spans="2:17" x14ac:dyDescent="0.35">
      <c r="B1914"/>
      <c r="C1914"/>
      <c r="D1914"/>
      <c r="E1914"/>
      <c r="F1914"/>
      <c r="G1914"/>
      <c r="H1914"/>
      <c r="I1914"/>
      <c r="J1914"/>
      <c r="K1914"/>
      <c r="L1914"/>
      <c r="M1914"/>
      <c r="N1914"/>
      <c r="O1914"/>
      <c r="P1914"/>
      <c r="Q1914" s="11"/>
    </row>
    <row r="1915" spans="2:17" x14ac:dyDescent="0.35">
      <c r="B1915"/>
      <c r="C1915"/>
      <c r="D1915"/>
      <c r="E1915"/>
      <c r="F1915"/>
      <c r="G1915"/>
      <c r="H1915"/>
      <c r="I1915"/>
      <c r="J1915"/>
      <c r="K1915"/>
      <c r="L1915"/>
      <c r="M1915"/>
      <c r="N1915"/>
      <c r="O1915"/>
      <c r="P1915"/>
      <c r="Q1915" s="11"/>
    </row>
    <row r="1916" spans="2:17" x14ac:dyDescent="0.35">
      <c r="B1916"/>
      <c r="C1916"/>
      <c r="D1916"/>
      <c r="E1916"/>
      <c r="F1916"/>
      <c r="G1916"/>
      <c r="H1916"/>
      <c r="I1916"/>
      <c r="J1916"/>
      <c r="K1916"/>
      <c r="L1916"/>
      <c r="M1916"/>
      <c r="N1916"/>
      <c r="O1916"/>
      <c r="P1916"/>
      <c r="Q1916" s="11"/>
    </row>
    <row r="1917" spans="2:17" x14ac:dyDescent="0.35">
      <c r="B1917"/>
      <c r="C1917"/>
      <c r="D1917"/>
      <c r="E1917"/>
      <c r="F1917"/>
      <c r="G1917"/>
      <c r="H1917"/>
      <c r="I1917"/>
      <c r="J1917"/>
      <c r="K1917"/>
      <c r="L1917"/>
      <c r="M1917"/>
      <c r="N1917"/>
      <c r="O1917"/>
      <c r="P1917"/>
      <c r="Q1917" s="11"/>
    </row>
    <row r="1918" spans="2:17" x14ac:dyDescent="0.35">
      <c r="B1918"/>
      <c r="C1918"/>
      <c r="D1918"/>
      <c r="E1918"/>
      <c r="F1918"/>
      <c r="G1918"/>
      <c r="H1918"/>
      <c r="I1918"/>
      <c r="J1918"/>
      <c r="K1918"/>
      <c r="L1918"/>
      <c r="M1918"/>
      <c r="N1918"/>
      <c r="O1918"/>
      <c r="P1918"/>
      <c r="Q1918" s="11"/>
    </row>
    <row r="1919" spans="2:17" x14ac:dyDescent="0.35">
      <c r="B1919"/>
      <c r="C1919"/>
      <c r="D1919"/>
      <c r="E1919"/>
      <c r="F1919"/>
      <c r="G1919"/>
      <c r="H1919"/>
      <c r="I1919"/>
      <c r="J1919"/>
      <c r="K1919"/>
      <c r="L1919"/>
      <c r="M1919"/>
      <c r="N1919"/>
      <c r="O1919"/>
      <c r="P1919"/>
      <c r="Q1919" s="11"/>
    </row>
    <row r="1920" spans="2:17" x14ac:dyDescent="0.35">
      <c r="B1920"/>
      <c r="C1920"/>
      <c r="D1920"/>
      <c r="E1920"/>
      <c r="F1920"/>
      <c r="G1920"/>
      <c r="H1920"/>
      <c r="I1920"/>
      <c r="J1920"/>
      <c r="K1920"/>
      <c r="L1920"/>
      <c r="M1920"/>
      <c r="N1920"/>
      <c r="O1920"/>
      <c r="P1920"/>
      <c r="Q1920" s="11"/>
    </row>
    <row r="1921" spans="2:17" x14ac:dyDescent="0.35">
      <c r="B1921"/>
      <c r="C1921"/>
      <c r="D1921"/>
      <c r="E1921"/>
      <c r="F1921"/>
      <c r="G1921"/>
      <c r="H1921"/>
      <c r="I1921"/>
      <c r="J1921"/>
      <c r="K1921"/>
      <c r="L1921"/>
      <c r="M1921"/>
      <c r="N1921"/>
      <c r="O1921"/>
      <c r="P1921"/>
      <c r="Q1921" s="11"/>
    </row>
    <row r="1922" spans="2:17" x14ac:dyDescent="0.35">
      <c r="B1922"/>
      <c r="C1922"/>
      <c r="D1922"/>
      <c r="E1922"/>
      <c r="F1922"/>
      <c r="G1922"/>
      <c r="H1922"/>
      <c r="I1922"/>
      <c r="J1922"/>
      <c r="K1922"/>
      <c r="L1922"/>
      <c r="M1922"/>
      <c r="N1922"/>
      <c r="O1922"/>
      <c r="P1922"/>
      <c r="Q1922" s="11"/>
    </row>
    <row r="1923" spans="2:17" x14ac:dyDescent="0.35">
      <c r="B1923"/>
      <c r="C1923"/>
      <c r="D1923"/>
      <c r="E1923"/>
      <c r="F1923"/>
      <c r="G1923"/>
      <c r="H1923"/>
      <c r="I1923"/>
      <c r="J1923"/>
      <c r="K1923"/>
      <c r="L1923"/>
      <c r="M1923"/>
      <c r="N1923"/>
      <c r="O1923"/>
      <c r="P1923"/>
      <c r="Q1923" s="11"/>
    </row>
    <row r="1924" spans="2:17" x14ac:dyDescent="0.35">
      <c r="B1924"/>
      <c r="C1924"/>
      <c r="D1924"/>
      <c r="E1924"/>
      <c r="F1924"/>
      <c r="G1924"/>
      <c r="H1924"/>
      <c r="I1924"/>
      <c r="J1924"/>
      <c r="K1924"/>
      <c r="L1924"/>
      <c r="M1924"/>
      <c r="N1924"/>
      <c r="O1924"/>
      <c r="P1924"/>
      <c r="Q1924" s="11"/>
    </row>
    <row r="1925" spans="2:17" x14ac:dyDescent="0.35">
      <c r="B1925"/>
      <c r="C1925"/>
      <c r="D1925"/>
      <c r="E1925"/>
      <c r="F1925"/>
      <c r="G1925"/>
      <c r="H1925"/>
      <c r="I1925"/>
      <c r="J1925"/>
      <c r="K1925"/>
      <c r="L1925"/>
      <c r="M1925"/>
      <c r="N1925"/>
      <c r="O1925"/>
      <c r="P1925"/>
      <c r="Q1925" s="11"/>
    </row>
    <row r="1926" spans="2:17" x14ac:dyDescent="0.35">
      <c r="B1926"/>
      <c r="C1926"/>
      <c r="D1926"/>
      <c r="E1926"/>
      <c r="F1926"/>
      <c r="G1926"/>
      <c r="H1926"/>
      <c r="I1926"/>
      <c r="J1926"/>
      <c r="K1926"/>
      <c r="L1926"/>
      <c r="M1926"/>
      <c r="N1926"/>
      <c r="O1926"/>
      <c r="P1926"/>
      <c r="Q1926" s="11"/>
    </row>
    <row r="1927" spans="2:17" x14ac:dyDescent="0.35">
      <c r="B1927"/>
      <c r="C1927"/>
      <c r="D1927"/>
      <c r="E1927"/>
      <c r="F1927"/>
      <c r="G1927"/>
      <c r="H1927"/>
      <c r="I1927"/>
      <c r="J1927"/>
      <c r="K1927"/>
      <c r="L1927"/>
      <c r="M1927"/>
      <c r="N1927"/>
      <c r="O1927"/>
      <c r="P1927"/>
      <c r="Q1927" s="11"/>
    </row>
    <row r="1928" spans="2:17" x14ac:dyDescent="0.35">
      <c r="B1928"/>
      <c r="C1928"/>
      <c r="D1928"/>
      <c r="E1928"/>
      <c r="F1928"/>
      <c r="G1928"/>
      <c r="H1928"/>
      <c r="I1928"/>
      <c r="J1928"/>
      <c r="K1928"/>
      <c r="L1928"/>
      <c r="M1928"/>
      <c r="N1928"/>
      <c r="O1928"/>
      <c r="P1928"/>
      <c r="Q1928" s="11"/>
    </row>
    <row r="1929" spans="2:17" x14ac:dyDescent="0.35">
      <c r="B1929"/>
      <c r="C1929"/>
      <c r="D1929"/>
      <c r="E1929"/>
      <c r="F1929"/>
      <c r="G1929"/>
      <c r="H1929"/>
      <c r="I1929"/>
      <c r="J1929"/>
      <c r="K1929"/>
      <c r="L1929"/>
      <c r="M1929"/>
      <c r="N1929"/>
      <c r="O1929"/>
      <c r="P1929"/>
      <c r="Q1929" s="11"/>
    </row>
    <row r="1930" spans="2:17" x14ac:dyDescent="0.35">
      <c r="B1930"/>
      <c r="C1930"/>
      <c r="D1930"/>
      <c r="E1930"/>
      <c r="F1930"/>
      <c r="G1930"/>
      <c r="H1930"/>
      <c r="I1930"/>
      <c r="J1930"/>
      <c r="K1930"/>
      <c r="L1930"/>
      <c r="M1930"/>
      <c r="N1930"/>
      <c r="O1930"/>
      <c r="P1930"/>
      <c r="Q1930" s="11"/>
    </row>
    <row r="1931" spans="2:17" x14ac:dyDescent="0.35">
      <c r="B1931"/>
      <c r="C1931"/>
      <c r="D1931"/>
      <c r="E1931"/>
      <c r="F1931"/>
      <c r="G1931"/>
      <c r="H1931"/>
      <c r="I1931"/>
      <c r="J1931"/>
      <c r="K1931"/>
      <c r="L1931"/>
      <c r="M1931"/>
      <c r="N1931"/>
      <c r="O1931"/>
      <c r="P1931"/>
      <c r="Q1931" s="11"/>
    </row>
    <row r="1932" spans="2:17" x14ac:dyDescent="0.35">
      <c r="B1932"/>
      <c r="C1932"/>
      <c r="D1932"/>
      <c r="E1932"/>
      <c r="F1932"/>
      <c r="G1932"/>
      <c r="H1932"/>
      <c r="I1932"/>
      <c r="J1932"/>
      <c r="K1932"/>
      <c r="L1932"/>
      <c r="M1932"/>
      <c r="N1932"/>
      <c r="O1932"/>
      <c r="P1932"/>
      <c r="Q1932" s="11"/>
    </row>
    <row r="1933" spans="2:17" x14ac:dyDescent="0.35">
      <c r="B1933"/>
      <c r="C1933"/>
      <c r="D1933"/>
      <c r="E1933"/>
      <c r="F1933"/>
      <c r="G1933"/>
      <c r="H1933"/>
      <c r="I1933"/>
      <c r="J1933"/>
      <c r="K1933"/>
      <c r="L1933"/>
      <c r="M1933"/>
      <c r="N1933"/>
      <c r="O1933"/>
      <c r="P1933"/>
      <c r="Q1933" s="11"/>
    </row>
    <row r="1934" spans="2:17" x14ac:dyDescent="0.35">
      <c r="B1934"/>
      <c r="C1934"/>
      <c r="D1934"/>
      <c r="E1934"/>
      <c r="F1934"/>
      <c r="G1934"/>
      <c r="H1934"/>
      <c r="I1934"/>
      <c r="J1934"/>
      <c r="K1934"/>
      <c r="L1934"/>
      <c r="M1934"/>
      <c r="N1934"/>
      <c r="O1934"/>
      <c r="P1934"/>
      <c r="Q1934" s="11"/>
    </row>
    <row r="1935" spans="2:17" x14ac:dyDescent="0.35">
      <c r="B1935"/>
      <c r="C1935"/>
      <c r="D1935"/>
      <c r="E1935"/>
      <c r="F1935"/>
      <c r="G1935"/>
      <c r="H1935"/>
      <c r="I1935"/>
      <c r="J1935"/>
      <c r="K1935"/>
      <c r="L1935"/>
      <c r="M1935"/>
      <c r="N1935"/>
      <c r="O1935"/>
      <c r="P1935"/>
      <c r="Q1935" s="11"/>
    </row>
    <row r="1936" spans="2:17" x14ac:dyDescent="0.35">
      <c r="B1936"/>
      <c r="C1936"/>
      <c r="D1936"/>
      <c r="E1936"/>
      <c r="F1936"/>
      <c r="G1936"/>
      <c r="H1936"/>
      <c r="I1936"/>
      <c r="J1936"/>
      <c r="K1936"/>
      <c r="L1936"/>
      <c r="M1936"/>
      <c r="N1936"/>
      <c r="O1936"/>
      <c r="P1936"/>
      <c r="Q1936" s="11"/>
    </row>
    <row r="1937" spans="2:17" x14ac:dyDescent="0.35">
      <c r="B1937"/>
      <c r="C1937"/>
      <c r="D1937"/>
      <c r="E1937"/>
      <c r="F1937"/>
      <c r="G1937"/>
      <c r="H1937"/>
      <c r="I1937"/>
      <c r="J1937"/>
      <c r="K1937"/>
      <c r="L1937"/>
      <c r="M1937"/>
      <c r="N1937"/>
      <c r="O1937"/>
      <c r="P1937"/>
      <c r="Q1937" s="11"/>
    </row>
    <row r="1938" spans="2:17" x14ac:dyDescent="0.35">
      <c r="B1938"/>
      <c r="C1938"/>
      <c r="D1938"/>
      <c r="E1938"/>
      <c r="F1938"/>
      <c r="G1938"/>
      <c r="H1938"/>
      <c r="I1938"/>
      <c r="J1938"/>
      <c r="K1938"/>
      <c r="L1938"/>
      <c r="M1938"/>
      <c r="N1938"/>
      <c r="O1938"/>
      <c r="P1938"/>
      <c r="Q1938" s="11"/>
    </row>
    <row r="1939" spans="2:17" x14ac:dyDescent="0.35">
      <c r="B1939"/>
      <c r="C1939"/>
      <c r="D1939"/>
      <c r="E1939"/>
      <c r="F1939"/>
      <c r="G1939"/>
      <c r="H1939"/>
      <c r="I1939"/>
      <c r="J1939"/>
      <c r="K1939"/>
      <c r="L1939"/>
      <c r="M1939"/>
      <c r="N1939"/>
      <c r="O1939"/>
      <c r="P1939"/>
      <c r="Q1939" s="11"/>
    </row>
    <row r="1940" spans="2:17" x14ac:dyDescent="0.35">
      <c r="B1940"/>
      <c r="C1940"/>
      <c r="D1940"/>
      <c r="E1940"/>
      <c r="F1940"/>
      <c r="G1940"/>
      <c r="H1940"/>
      <c r="I1940"/>
      <c r="J1940"/>
      <c r="K1940"/>
      <c r="L1940"/>
      <c r="M1940"/>
      <c r="N1940"/>
      <c r="O1940"/>
      <c r="P1940"/>
      <c r="Q1940" s="11"/>
    </row>
    <row r="1941" spans="2:17" x14ac:dyDescent="0.35">
      <c r="B1941"/>
      <c r="C1941"/>
      <c r="D1941"/>
      <c r="E1941"/>
      <c r="F1941"/>
      <c r="G1941"/>
      <c r="H1941"/>
      <c r="I1941"/>
      <c r="J1941"/>
      <c r="K1941"/>
      <c r="L1941"/>
      <c r="M1941"/>
      <c r="N1941"/>
      <c r="O1941"/>
      <c r="P1941"/>
      <c r="Q1941" s="11"/>
    </row>
    <row r="1942" spans="2:17" x14ac:dyDescent="0.35">
      <c r="B1942"/>
      <c r="C1942"/>
      <c r="D1942"/>
      <c r="E1942"/>
      <c r="F1942"/>
      <c r="G1942"/>
      <c r="H1942"/>
      <c r="I1942"/>
      <c r="J1942"/>
      <c r="K1942"/>
      <c r="L1942"/>
      <c r="M1942"/>
      <c r="N1942"/>
      <c r="O1942"/>
      <c r="P1942"/>
      <c r="Q1942" s="11"/>
    </row>
    <row r="1943" spans="2:17" x14ac:dyDescent="0.35">
      <c r="B1943"/>
      <c r="C1943"/>
      <c r="D1943"/>
      <c r="E1943"/>
      <c r="F1943"/>
      <c r="G1943"/>
      <c r="H1943"/>
      <c r="I1943"/>
      <c r="J1943"/>
      <c r="K1943"/>
      <c r="L1943"/>
      <c r="M1943"/>
      <c r="N1943"/>
      <c r="O1943"/>
      <c r="P1943"/>
      <c r="Q1943" s="11"/>
    </row>
    <row r="1944" spans="2:17" x14ac:dyDescent="0.35">
      <c r="B1944"/>
      <c r="C1944"/>
      <c r="D1944"/>
      <c r="E1944"/>
      <c r="F1944"/>
      <c r="G1944"/>
      <c r="H1944"/>
      <c r="I1944"/>
      <c r="J1944"/>
      <c r="K1944"/>
      <c r="L1944"/>
      <c r="M1944"/>
      <c r="N1944"/>
      <c r="O1944"/>
      <c r="P1944"/>
      <c r="Q1944" s="11"/>
    </row>
    <row r="1945" spans="2:17" x14ac:dyDescent="0.35">
      <c r="B1945"/>
      <c r="C1945"/>
      <c r="D1945"/>
      <c r="E1945"/>
      <c r="F1945"/>
      <c r="G1945"/>
      <c r="H1945"/>
      <c r="I1945"/>
      <c r="J1945"/>
      <c r="K1945"/>
      <c r="L1945"/>
      <c r="M1945"/>
      <c r="N1945"/>
      <c r="O1945"/>
      <c r="P1945"/>
      <c r="Q1945" s="11"/>
    </row>
    <row r="1946" spans="2:17" x14ac:dyDescent="0.35">
      <c r="B1946"/>
      <c r="C1946"/>
      <c r="D1946"/>
      <c r="E1946"/>
      <c r="F1946"/>
      <c r="G1946"/>
      <c r="H1946"/>
      <c r="I1946"/>
      <c r="J1946"/>
      <c r="K1946"/>
      <c r="L1946"/>
      <c r="M1946"/>
      <c r="N1946"/>
      <c r="O1946"/>
      <c r="P1946"/>
      <c r="Q1946" s="11"/>
    </row>
    <row r="1947" spans="2:17" x14ac:dyDescent="0.35">
      <c r="B1947"/>
      <c r="C1947"/>
      <c r="D1947"/>
      <c r="E1947"/>
      <c r="F1947"/>
      <c r="G1947"/>
      <c r="H1947"/>
      <c r="I1947"/>
      <c r="J1947"/>
      <c r="K1947"/>
      <c r="L1947"/>
      <c r="M1947"/>
      <c r="N1947"/>
      <c r="O1947"/>
      <c r="P1947"/>
      <c r="Q1947" s="11"/>
    </row>
    <row r="1948" spans="2:17" x14ac:dyDescent="0.35">
      <c r="B1948"/>
      <c r="C1948"/>
      <c r="D1948"/>
      <c r="E1948"/>
      <c r="F1948"/>
      <c r="G1948"/>
      <c r="H1948"/>
      <c r="I1948"/>
      <c r="J1948"/>
      <c r="K1948"/>
      <c r="L1948"/>
      <c r="M1948"/>
      <c r="N1948"/>
      <c r="O1948"/>
      <c r="P1948"/>
      <c r="Q1948" s="11"/>
    </row>
    <row r="1949" spans="2:17" x14ac:dyDescent="0.35">
      <c r="B1949"/>
      <c r="C1949"/>
      <c r="D1949"/>
      <c r="E1949"/>
      <c r="F1949"/>
      <c r="G1949"/>
      <c r="H1949"/>
      <c r="I1949"/>
      <c r="J1949"/>
      <c r="K1949"/>
      <c r="L1949"/>
      <c r="M1949"/>
      <c r="N1949"/>
      <c r="O1949"/>
      <c r="P1949"/>
      <c r="Q1949" s="11"/>
    </row>
    <row r="1950" spans="2:17" x14ac:dyDescent="0.35">
      <c r="B1950"/>
      <c r="C1950"/>
      <c r="D1950"/>
      <c r="E1950"/>
      <c r="F1950"/>
      <c r="G1950"/>
      <c r="H1950"/>
      <c r="I1950"/>
      <c r="J1950"/>
      <c r="K1950"/>
      <c r="L1950"/>
      <c r="M1950"/>
      <c r="N1950"/>
      <c r="O1950"/>
      <c r="P1950"/>
      <c r="Q1950" s="11"/>
    </row>
    <row r="1951" spans="2:17" x14ac:dyDescent="0.35">
      <c r="B1951"/>
      <c r="C1951"/>
      <c r="D1951"/>
      <c r="E1951"/>
      <c r="F1951"/>
      <c r="G1951"/>
      <c r="H1951"/>
      <c r="I1951"/>
      <c r="J1951"/>
      <c r="K1951"/>
      <c r="L1951"/>
      <c r="M1951"/>
      <c r="N1951"/>
      <c r="O1951"/>
      <c r="P1951"/>
      <c r="Q1951" s="11"/>
    </row>
    <row r="1952" spans="2:17" x14ac:dyDescent="0.35">
      <c r="B1952"/>
      <c r="C1952"/>
      <c r="D1952"/>
      <c r="E1952"/>
      <c r="F1952"/>
      <c r="G1952"/>
      <c r="H1952"/>
      <c r="I1952"/>
      <c r="J1952"/>
      <c r="K1952"/>
      <c r="L1952"/>
      <c r="M1952"/>
      <c r="N1952"/>
      <c r="O1952"/>
      <c r="P1952"/>
      <c r="Q1952" s="11"/>
    </row>
    <row r="1953" spans="2:17" x14ac:dyDescent="0.35">
      <c r="B1953"/>
      <c r="C1953"/>
      <c r="D1953"/>
      <c r="E1953"/>
      <c r="F1953"/>
      <c r="G1953"/>
      <c r="H1953"/>
      <c r="I1953"/>
      <c r="J1953"/>
      <c r="K1953"/>
      <c r="L1953"/>
      <c r="M1953"/>
      <c r="N1953"/>
      <c r="O1953"/>
      <c r="P1953"/>
      <c r="Q1953" s="11"/>
    </row>
    <row r="1954" spans="2:17" x14ac:dyDescent="0.35">
      <c r="B1954"/>
      <c r="C1954"/>
      <c r="D1954"/>
      <c r="E1954"/>
      <c r="F1954"/>
      <c r="G1954"/>
      <c r="H1954"/>
      <c r="I1954"/>
      <c r="J1954"/>
      <c r="K1954"/>
      <c r="L1954"/>
      <c r="M1954"/>
      <c r="N1954"/>
      <c r="O1954"/>
      <c r="P1954"/>
      <c r="Q1954" s="11"/>
    </row>
    <row r="1955" spans="2:17" x14ac:dyDescent="0.35">
      <c r="B1955"/>
      <c r="C1955"/>
      <c r="D1955"/>
      <c r="E1955"/>
      <c r="F1955"/>
      <c r="G1955"/>
      <c r="H1955"/>
      <c r="I1955"/>
      <c r="J1955"/>
      <c r="K1955"/>
      <c r="L1955"/>
      <c r="M1955"/>
      <c r="N1955"/>
      <c r="O1955"/>
      <c r="P1955"/>
      <c r="Q1955" s="11"/>
    </row>
    <row r="1956" spans="2:17" x14ac:dyDescent="0.35">
      <c r="B1956"/>
      <c r="C1956"/>
      <c r="D1956"/>
      <c r="E1956"/>
      <c r="F1956"/>
      <c r="G1956"/>
      <c r="H1956"/>
      <c r="I1956"/>
      <c r="J1956"/>
      <c r="K1956"/>
      <c r="L1956"/>
      <c r="M1956"/>
      <c r="N1956"/>
      <c r="O1956"/>
      <c r="P1956"/>
      <c r="Q1956" s="11"/>
    </row>
    <row r="1957" spans="2:17" x14ac:dyDescent="0.35">
      <c r="B1957"/>
      <c r="C1957"/>
      <c r="D1957"/>
      <c r="E1957"/>
      <c r="F1957"/>
      <c r="G1957"/>
      <c r="H1957"/>
      <c r="I1957"/>
      <c r="J1957"/>
      <c r="K1957"/>
      <c r="L1957"/>
      <c r="M1957"/>
      <c r="N1957"/>
      <c r="O1957"/>
      <c r="P1957"/>
      <c r="Q1957" s="11"/>
    </row>
    <row r="1958" spans="2:17" x14ac:dyDescent="0.35">
      <c r="B1958"/>
      <c r="C1958"/>
      <c r="D1958"/>
      <c r="E1958"/>
      <c r="F1958"/>
      <c r="G1958"/>
      <c r="H1958"/>
      <c r="I1958"/>
      <c r="J1958"/>
      <c r="K1958"/>
      <c r="L1958"/>
      <c r="M1958"/>
      <c r="N1958"/>
      <c r="O1958"/>
      <c r="P1958"/>
      <c r="Q1958" s="11"/>
    </row>
    <row r="1959" spans="2:17" x14ac:dyDescent="0.35">
      <c r="B1959"/>
      <c r="C1959"/>
      <c r="D1959"/>
      <c r="E1959"/>
      <c r="F1959"/>
      <c r="G1959"/>
      <c r="H1959"/>
      <c r="I1959"/>
      <c r="J1959"/>
      <c r="K1959"/>
      <c r="L1959"/>
      <c r="M1959"/>
      <c r="N1959"/>
      <c r="O1959"/>
      <c r="P1959"/>
      <c r="Q1959" s="11"/>
    </row>
    <row r="1960" spans="2:17" x14ac:dyDescent="0.35">
      <c r="B1960"/>
      <c r="C1960"/>
      <c r="D1960"/>
      <c r="E1960"/>
      <c r="F1960"/>
      <c r="G1960"/>
      <c r="H1960"/>
      <c r="I1960"/>
      <c r="J1960"/>
      <c r="K1960"/>
      <c r="L1960"/>
      <c r="M1960"/>
      <c r="N1960"/>
      <c r="O1960"/>
      <c r="P1960"/>
      <c r="Q1960" s="11"/>
    </row>
    <row r="1961" spans="2:17" x14ac:dyDescent="0.35">
      <c r="B1961"/>
      <c r="C1961"/>
      <c r="D1961"/>
      <c r="E1961"/>
      <c r="F1961"/>
      <c r="G1961"/>
      <c r="H1961"/>
      <c r="I1961"/>
      <c r="J1961"/>
      <c r="K1961"/>
      <c r="L1961"/>
      <c r="M1961"/>
      <c r="N1961"/>
      <c r="O1961"/>
      <c r="P1961"/>
      <c r="Q1961" s="11"/>
    </row>
    <row r="1962" spans="2:17" x14ac:dyDescent="0.35">
      <c r="B1962"/>
      <c r="C1962"/>
      <c r="D1962"/>
      <c r="E1962"/>
      <c r="F1962"/>
      <c r="G1962"/>
      <c r="H1962"/>
      <c r="I1962"/>
      <c r="J1962"/>
      <c r="K1962"/>
      <c r="L1962"/>
      <c r="M1962"/>
      <c r="N1962"/>
      <c r="O1962"/>
      <c r="P1962"/>
      <c r="Q1962" s="11"/>
    </row>
    <row r="1963" spans="2:17" x14ac:dyDescent="0.35">
      <c r="B1963"/>
      <c r="C1963"/>
      <c r="D1963"/>
      <c r="E1963"/>
      <c r="F1963"/>
      <c r="G1963"/>
      <c r="H1963"/>
      <c r="I1963"/>
      <c r="J1963"/>
      <c r="K1963"/>
      <c r="L1963"/>
      <c r="M1963"/>
      <c r="N1963"/>
      <c r="O1963"/>
      <c r="P1963"/>
      <c r="Q1963" s="11"/>
    </row>
    <row r="1964" spans="2:17" x14ac:dyDescent="0.35">
      <c r="B1964"/>
      <c r="C1964"/>
      <c r="D1964"/>
      <c r="E1964"/>
      <c r="F1964"/>
      <c r="G1964"/>
      <c r="H1964"/>
      <c r="I1964"/>
      <c r="J1964"/>
      <c r="K1964"/>
      <c r="L1964"/>
      <c r="M1964"/>
      <c r="N1964"/>
      <c r="O1964"/>
      <c r="P1964"/>
      <c r="Q1964" s="11"/>
    </row>
    <row r="1965" spans="2:17" x14ac:dyDescent="0.35">
      <c r="B1965"/>
      <c r="C1965"/>
      <c r="D1965"/>
      <c r="E1965"/>
      <c r="F1965"/>
      <c r="G1965"/>
      <c r="H1965"/>
      <c r="I1965"/>
      <c r="J1965"/>
      <c r="K1965"/>
      <c r="L1965"/>
      <c r="M1965"/>
      <c r="N1965"/>
      <c r="O1965"/>
      <c r="P1965"/>
      <c r="Q1965" s="11"/>
    </row>
    <row r="1966" spans="2:17" x14ac:dyDescent="0.35">
      <c r="B1966"/>
      <c r="C1966"/>
      <c r="D1966"/>
      <c r="E1966"/>
      <c r="F1966"/>
      <c r="G1966"/>
      <c r="H1966"/>
      <c r="I1966"/>
      <c r="J1966"/>
      <c r="K1966"/>
      <c r="L1966"/>
      <c r="M1966"/>
      <c r="N1966"/>
      <c r="O1966"/>
      <c r="P1966"/>
      <c r="Q1966" s="11"/>
    </row>
    <row r="1967" spans="2:17" x14ac:dyDescent="0.35">
      <c r="B1967"/>
      <c r="C1967"/>
      <c r="D1967"/>
      <c r="E1967"/>
      <c r="F1967"/>
      <c r="G1967"/>
      <c r="H1967"/>
      <c r="I1967"/>
      <c r="J1967"/>
      <c r="K1967"/>
      <c r="L1967"/>
      <c r="M1967"/>
      <c r="N1967"/>
      <c r="O1967"/>
      <c r="P1967"/>
      <c r="Q1967" s="11"/>
    </row>
    <row r="1968" spans="2:17" x14ac:dyDescent="0.35">
      <c r="B1968"/>
      <c r="C1968"/>
      <c r="D1968"/>
      <c r="E1968"/>
      <c r="F1968"/>
      <c r="G1968"/>
      <c r="H1968"/>
      <c r="I1968"/>
      <c r="J1968"/>
      <c r="K1968"/>
      <c r="L1968"/>
      <c r="M1968"/>
      <c r="N1968"/>
      <c r="O1968"/>
      <c r="P1968"/>
      <c r="Q1968" s="11"/>
    </row>
    <row r="1969" spans="2:17" x14ac:dyDescent="0.35">
      <c r="B1969"/>
      <c r="C1969"/>
      <c r="D1969"/>
      <c r="E1969"/>
      <c r="F1969"/>
      <c r="G1969"/>
      <c r="H1969"/>
      <c r="I1969"/>
      <c r="J1969"/>
      <c r="K1969"/>
      <c r="L1969"/>
      <c r="M1969"/>
      <c r="N1969"/>
      <c r="O1969"/>
      <c r="P1969"/>
      <c r="Q1969" s="11"/>
    </row>
    <row r="1970" spans="2:17" x14ac:dyDescent="0.35">
      <c r="B1970"/>
      <c r="C1970"/>
      <c r="D1970"/>
      <c r="E1970"/>
      <c r="F1970"/>
      <c r="G1970"/>
      <c r="H1970"/>
      <c r="I1970"/>
      <c r="J1970"/>
      <c r="K1970"/>
      <c r="L1970"/>
      <c r="M1970"/>
      <c r="N1970"/>
      <c r="O1970"/>
      <c r="P1970"/>
      <c r="Q1970" s="11"/>
    </row>
    <row r="1971" spans="2:17" x14ac:dyDescent="0.35">
      <c r="B1971"/>
      <c r="C1971"/>
      <c r="D1971"/>
      <c r="E1971"/>
      <c r="F1971"/>
      <c r="G1971"/>
      <c r="H1971"/>
      <c r="I1971"/>
      <c r="J1971"/>
      <c r="K1971"/>
      <c r="L1971"/>
      <c r="M1971"/>
      <c r="N1971"/>
      <c r="O1971"/>
      <c r="P1971"/>
      <c r="Q1971" s="11"/>
    </row>
    <row r="1972" spans="2:17" x14ac:dyDescent="0.35">
      <c r="B1972"/>
      <c r="C1972"/>
      <c r="D1972"/>
      <c r="E1972"/>
      <c r="F1972"/>
      <c r="G1972"/>
      <c r="H1972"/>
      <c r="I1972"/>
      <c r="J1972"/>
      <c r="K1972"/>
      <c r="L1972"/>
      <c r="M1972"/>
      <c r="N1972"/>
      <c r="O1972"/>
      <c r="P1972"/>
      <c r="Q1972" s="11"/>
    </row>
    <row r="1973" spans="2:17" x14ac:dyDescent="0.35">
      <c r="B1973"/>
      <c r="C1973"/>
      <c r="D1973"/>
      <c r="E1973"/>
      <c r="F1973"/>
      <c r="G1973"/>
      <c r="H1973"/>
      <c r="I1973"/>
      <c r="J1973"/>
      <c r="K1973"/>
      <c r="L1973"/>
      <c r="M1973"/>
      <c r="N1973"/>
      <c r="O1973"/>
      <c r="P1973"/>
      <c r="Q1973" s="11"/>
    </row>
    <row r="1974" spans="2:17" x14ac:dyDescent="0.35">
      <c r="B1974"/>
      <c r="C1974"/>
      <c r="D1974"/>
      <c r="E1974"/>
      <c r="F1974"/>
      <c r="G1974"/>
      <c r="H1974"/>
      <c r="I1974"/>
      <c r="J1974"/>
      <c r="K1974"/>
      <c r="L1974"/>
      <c r="M1974"/>
      <c r="N1974"/>
      <c r="O1974"/>
      <c r="P1974"/>
      <c r="Q1974" s="11"/>
    </row>
    <row r="1975" spans="2:17" x14ac:dyDescent="0.35">
      <c r="B1975"/>
      <c r="C1975"/>
      <c r="D1975"/>
      <c r="E1975"/>
      <c r="F1975"/>
      <c r="G1975"/>
      <c r="H1975"/>
      <c r="I1975"/>
      <c r="J1975"/>
      <c r="K1975"/>
      <c r="L1975"/>
      <c r="M1975"/>
      <c r="N1975"/>
      <c r="O1975"/>
      <c r="P1975"/>
      <c r="Q1975" s="11"/>
    </row>
    <row r="1976" spans="2:17" x14ac:dyDescent="0.35">
      <c r="B1976"/>
      <c r="C1976"/>
      <c r="D1976"/>
      <c r="E1976"/>
      <c r="F1976"/>
      <c r="G1976"/>
      <c r="H1976"/>
      <c r="I1976"/>
      <c r="J1976"/>
      <c r="K1976"/>
      <c r="L1976"/>
      <c r="M1976"/>
      <c r="N1976"/>
      <c r="O1976"/>
      <c r="P1976"/>
      <c r="Q1976" s="11"/>
    </row>
    <row r="1977" spans="2:17" x14ac:dyDescent="0.35">
      <c r="B1977"/>
      <c r="C1977"/>
      <c r="D1977"/>
      <c r="E1977"/>
      <c r="F1977"/>
      <c r="G1977"/>
      <c r="H1977"/>
      <c r="I1977"/>
      <c r="J1977"/>
      <c r="K1977"/>
      <c r="L1977"/>
      <c r="M1977"/>
      <c r="N1977"/>
      <c r="O1977"/>
      <c r="P1977"/>
      <c r="Q1977" s="11"/>
    </row>
    <row r="1978" spans="2:17" x14ac:dyDescent="0.35">
      <c r="B1978"/>
      <c r="C1978"/>
      <c r="D1978"/>
      <c r="E1978"/>
      <c r="F1978"/>
      <c r="G1978"/>
      <c r="H1978"/>
      <c r="I1978"/>
      <c r="J1978"/>
      <c r="K1978"/>
      <c r="L1978"/>
      <c r="M1978"/>
      <c r="N1978"/>
      <c r="O1978"/>
      <c r="P1978"/>
      <c r="Q1978" s="11"/>
    </row>
    <row r="1979" spans="2:17" x14ac:dyDescent="0.35">
      <c r="B1979"/>
      <c r="C1979"/>
      <c r="D1979"/>
      <c r="E1979"/>
      <c r="F1979"/>
      <c r="G1979"/>
      <c r="H1979"/>
      <c r="I1979"/>
      <c r="J1979"/>
      <c r="K1979"/>
      <c r="L1979"/>
      <c r="M1979"/>
      <c r="N1979"/>
      <c r="O1979"/>
      <c r="P1979"/>
      <c r="Q1979" s="11"/>
    </row>
    <row r="1980" spans="2:17" x14ac:dyDescent="0.35">
      <c r="B1980"/>
      <c r="C1980"/>
      <c r="D1980"/>
      <c r="E1980"/>
      <c r="F1980"/>
      <c r="G1980"/>
      <c r="H1980"/>
      <c r="I1980"/>
      <c r="J1980"/>
      <c r="K1980"/>
      <c r="L1980"/>
      <c r="M1980"/>
      <c r="N1980"/>
      <c r="O1980"/>
      <c r="P1980"/>
      <c r="Q1980" s="11"/>
    </row>
    <row r="1981" spans="2:17" x14ac:dyDescent="0.35">
      <c r="B1981"/>
      <c r="C1981"/>
      <c r="D1981"/>
      <c r="E1981"/>
      <c r="F1981"/>
      <c r="G1981"/>
      <c r="H1981"/>
      <c r="I1981"/>
      <c r="J1981"/>
      <c r="K1981"/>
      <c r="L1981"/>
      <c r="M1981"/>
      <c r="N1981"/>
      <c r="O1981"/>
      <c r="P1981"/>
      <c r="Q1981" s="11"/>
    </row>
    <row r="1982" spans="2:17" x14ac:dyDescent="0.35">
      <c r="B1982"/>
      <c r="C1982"/>
      <c r="D1982"/>
      <c r="E1982"/>
      <c r="F1982"/>
      <c r="G1982"/>
      <c r="H1982"/>
      <c r="I1982"/>
      <c r="J1982"/>
      <c r="K1982"/>
      <c r="L1982"/>
      <c r="M1982"/>
      <c r="N1982"/>
      <c r="O1982"/>
      <c r="P1982"/>
      <c r="Q1982" s="11"/>
    </row>
    <row r="1983" spans="2:17" x14ac:dyDescent="0.35">
      <c r="B1983"/>
      <c r="C1983"/>
      <c r="D1983"/>
      <c r="E1983"/>
      <c r="F1983"/>
      <c r="G1983"/>
      <c r="H1983"/>
      <c r="I1983"/>
      <c r="J1983"/>
      <c r="K1983"/>
      <c r="L1983"/>
      <c r="M1983"/>
      <c r="N1983"/>
      <c r="O1983"/>
      <c r="P1983"/>
      <c r="Q1983" s="11"/>
    </row>
    <row r="1984" spans="2:17" x14ac:dyDescent="0.35">
      <c r="B1984"/>
      <c r="C1984"/>
      <c r="D1984"/>
      <c r="E1984"/>
      <c r="F1984"/>
      <c r="G1984"/>
      <c r="H1984"/>
      <c r="I1984"/>
      <c r="J1984"/>
      <c r="K1984"/>
      <c r="L1984"/>
      <c r="M1984"/>
      <c r="N1984"/>
      <c r="O1984"/>
      <c r="P1984"/>
      <c r="Q1984" s="11"/>
    </row>
    <row r="1985" spans="2:17" x14ac:dyDescent="0.35">
      <c r="B1985"/>
      <c r="C1985"/>
      <c r="D1985"/>
      <c r="E1985"/>
      <c r="F1985"/>
      <c r="G1985"/>
      <c r="H1985"/>
      <c r="I1985"/>
      <c r="J1985"/>
      <c r="K1985"/>
      <c r="L1985"/>
      <c r="M1985"/>
      <c r="N1985"/>
      <c r="O1985"/>
      <c r="P1985"/>
      <c r="Q1985" s="11"/>
    </row>
    <row r="1986" spans="2:17" x14ac:dyDescent="0.35">
      <c r="B1986"/>
      <c r="C1986"/>
      <c r="D1986"/>
      <c r="E1986"/>
      <c r="F1986"/>
      <c r="G1986"/>
      <c r="H1986"/>
      <c r="I1986"/>
      <c r="J1986"/>
      <c r="K1986"/>
      <c r="L1986"/>
      <c r="M1986"/>
      <c r="N1986"/>
      <c r="O1986"/>
      <c r="P1986"/>
      <c r="Q1986" s="11"/>
    </row>
    <row r="1987" spans="2:17" x14ac:dyDescent="0.35">
      <c r="B1987"/>
      <c r="C1987"/>
      <c r="D1987"/>
      <c r="E1987"/>
      <c r="F1987"/>
      <c r="G1987"/>
      <c r="H1987"/>
      <c r="I1987"/>
      <c r="J1987"/>
      <c r="K1987"/>
      <c r="L1987"/>
      <c r="M1987"/>
      <c r="N1987"/>
      <c r="O1987"/>
      <c r="P1987"/>
      <c r="Q1987" s="11"/>
    </row>
    <row r="1988" spans="2:17" x14ac:dyDescent="0.35">
      <c r="B1988"/>
      <c r="C1988"/>
      <c r="D1988"/>
      <c r="E1988"/>
      <c r="F1988"/>
      <c r="G1988"/>
      <c r="H1988"/>
      <c r="I1988"/>
      <c r="J1988"/>
      <c r="K1988"/>
      <c r="L1988"/>
      <c r="M1988"/>
      <c r="N1988"/>
      <c r="O1988"/>
      <c r="P1988"/>
      <c r="Q1988" s="11"/>
    </row>
    <row r="1989" spans="2:17" x14ac:dyDescent="0.35">
      <c r="B1989"/>
      <c r="C1989"/>
      <c r="D1989"/>
      <c r="E1989"/>
      <c r="F1989"/>
      <c r="G1989"/>
      <c r="H1989"/>
      <c r="I1989"/>
      <c r="J1989"/>
      <c r="K1989"/>
      <c r="L1989"/>
      <c r="M1989"/>
      <c r="N1989"/>
      <c r="O1989"/>
      <c r="P1989"/>
      <c r="Q1989" s="11"/>
    </row>
    <row r="1990" spans="2:17" x14ac:dyDescent="0.35">
      <c r="B1990"/>
      <c r="C1990"/>
      <c r="D1990"/>
      <c r="E1990"/>
      <c r="F1990"/>
      <c r="G1990"/>
      <c r="H1990"/>
      <c r="I1990"/>
      <c r="J1990"/>
      <c r="K1990"/>
      <c r="L1990"/>
      <c r="M1990"/>
      <c r="N1990"/>
      <c r="O1990"/>
      <c r="P1990"/>
      <c r="Q1990" s="11"/>
    </row>
    <row r="1991" spans="2:17" x14ac:dyDescent="0.35">
      <c r="B1991"/>
      <c r="C1991"/>
      <c r="D1991"/>
      <c r="E1991"/>
      <c r="F1991"/>
      <c r="G1991"/>
      <c r="H1991"/>
      <c r="I1991"/>
      <c r="J1991"/>
      <c r="K1991"/>
      <c r="L1991"/>
      <c r="M1991"/>
      <c r="N1991"/>
      <c r="O1991"/>
      <c r="P1991"/>
      <c r="Q1991" s="11"/>
    </row>
    <row r="1992" spans="2:17" x14ac:dyDescent="0.35">
      <c r="B1992"/>
      <c r="C1992"/>
      <c r="D1992"/>
      <c r="E1992"/>
      <c r="F1992"/>
      <c r="G1992"/>
      <c r="H1992"/>
      <c r="I1992"/>
      <c r="J1992"/>
      <c r="K1992"/>
      <c r="L1992"/>
      <c r="M1992"/>
      <c r="N1992"/>
      <c r="O1992"/>
      <c r="P1992"/>
      <c r="Q1992" s="11"/>
    </row>
    <row r="1993" spans="2:17" x14ac:dyDescent="0.35">
      <c r="B1993"/>
      <c r="C1993"/>
      <c r="D1993"/>
      <c r="E1993"/>
      <c r="F1993"/>
      <c r="G1993"/>
      <c r="H1993"/>
      <c r="I1993"/>
      <c r="J1993"/>
      <c r="K1993"/>
      <c r="L1993"/>
      <c r="M1993"/>
      <c r="N1993"/>
      <c r="O1993"/>
      <c r="P1993"/>
      <c r="Q1993" s="11"/>
    </row>
    <row r="1994" spans="2:17" x14ac:dyDescent="0.35">
      <c r="B1994"/>
      <c r="C1994"/>
      <c r="D1994"/>
      <c r="E1994"/>
      <c r="F1994"/>
      <c r="G1994"/>
      <c r="H1994"/>
      <c r="I1994"/>
      <c r="J1994"/>
      <c r="K1994"/>
      <c r="L1994"/>
      <c r="M1994"/>
      <c r="N1994"/>
      <c r="O1994"/>
      <c r="P1994"/>
      <c r="Q1994" s="11"/>
    </row>
    <row r="1995" spans="2:17" x14ac:dyDescent="0.35">
      <c r="B1995"/>
      <c r="C1995"/>
      <c r="D1995"/>
      <c r="E1995"/>
      <c r="F1995"/>
      <c r="G1995"/>
      <c r="H1995"/>
      <c r="I1995"/>
      <c r="J1995"/>
      <c r="K1995"/>
      <c r="L1995"/>
      <c r="M1995"/>
      <c r="N1995"/>
      <c r="O1995"/>
      <c r="P1995"/>
      <c r="Q1995" s="11"/>
    </row>
    <row r="1996" spans="2:17" x14ac:dyDescent="0.35">
      <c r="B1996"/>
      <c r="C1996"/>
      <c r="D1996"/>
      <c r="E1996"/>
      <c r="F1996"/>
      <c r="G1996"/>
      <c r="H1996"/>
      <c r="I1996"/>
      <c r="J1996"/>
      <c r="K1996"/>
      <c r="L1996"/>
      <c r="M1996"/>
      <c r="N1996"/>
      <c r="O1996"/>
      <c r="P1996"/>
      <c r="Q1996" s="11"/>
    </row>
    <row r="1997" spans="2:17" x14ac:dyDescent="0.35">
      <c r="B1997"/>
      <c r="C1997"/>
      <c r="D1997"/>
      <c r="E1997"/>
      <c r="F1997"/>
      <c r="G1997"/>
      <c r="H1997"/>
      <c r="I1997"/>
      <c r="J1997"/>
      <c r="K1997"/>
      <c r="L1997"/>
      <c r="M1997"/>
      <c r="N1997"/>
      <c r="O1997"/>
      <c r="P1997"/>
      <c r="Q1997" s="11"/>
    </row>
    <row r="1998" spans="2:17" x14ac:dyDescent="0.35">
      <c r="B1998"/>
      <c r="C1998"/>
      <c r="D1998"/>
      <c r="E1998"/>
      <c r="F1998"/>
      <c r="G1998"/>
      <c r="H1998"/>
      <c r="I1998"/>
      <c r="J1998"/>
      <c r="K1998"/>
      <c r="L1998"/>
      <c r="M1998"/>
      <c r="N1998"/>
      <c r="O1998"/>
      <c r="P1998"/>
      <c r="Q1998" s="11"/>
    </row>
    <row r="1999" spans="2:17" x14ac:dyDescent="0.35">
      <c r="B1999"/>
      <c r="C1999"/>
      <c r="D1999"/>
      <c r="E1999"/>
      <c r="F1999"/>
      <c r="G1999"/>
      <c r="H1999"/>
      <c r="I1999"/>
      <c r="J1999"/>
      <c r="K1999"/>
      <c r="L1999"/>
      <c r="M1999"/>
      <c r="N1999"/>
      <c r="O1999"/>
      <c r="P1999"/>
      <c r="Q1999" s="11"/>
    </row>
    <row r="2000" spans="2:17" x14ac:dyDescent="0.35">
      <c r="B2000"/>
      <c r="C2000"/>
      <c r="D2000"/>
      <c r="E2000"/>
      <c r="F2000"/>
      <c r="G2000"/>
      <c r="H2000"/>
      <c r="I2000"/>
      <c r="J2000"/>
      <c r="K2000"/>
      <c r="L2000"/>
      <c r="M2000"/>
      <c r="N2000"/>
      <c r="O2000"/>
      <c r="P2000"/>
      <c r="Q2000" s="11"/>
    </row>
    <row r="2001" spans="2:17" x14ac:dyDescent="0.35">
      <c r="B2001"/>
      <c r="C2001"/>
      <c r="D2001"/>
      <c r="E2001"/>
      <c r="F2001"/>
      <c r="G2001"/>
      <c r="H2001"/>
      <c r="I2001"/>
      <c r="J2001"/>
      <c r="K2001"/>
      <c r="L2001"/>
      <c r="M2001"/>
      <c r="N2001"/>
      <c r="O2001"/>
      <c r="P2001"/>
      <c r="Q2001" s="11"/>
    </row>
    <row r="2002" spans="2:17" x14ac:dyDescent="0.35">
      <c r="B2002"/>
      <c r="C2002"/>
      <c r="D2002"/>
      <c r="E2002"/>
      <c r="F2002"/>
      <c r="G2002"/>
      <c r="H2002"/>
      <c r="I2002"/>
      <c r="J2002"/>
      <c r="K2002"/>
      <c r="L2002"/>
      <c r="M2002"/>
      <c r="N2002"/>
      <c r="O2002"/>
      <c r="P2002"/>
      <c r="Q2002" s="11"/>
    </row>
    <row r="2003" spans="2:17" x14ac:dyDescent="0.35">
      <c r="B2003"/>
      <c r="C2003"/>
      <c r="D2003"/>
      <c r="E2003"/>
      <c r="F2003"/>
      <c r="G2003"/>
      <c r="H2003"/>
      <c r="I2003"/>
      <c r="J2003"/>
      <c r="K2003"/>
      <c r="L2003"/>
      <c r="M2003"/>
      <c r="N2003"/>
      <c r="O2003"/>
      <c r="P2003"/>
      <c r="Q2003" s="11"/>
    </row>
    <row r="2004" spans="2:17" x14ac:dyDescent="0.35">
      <c r="B2004"/>
      <c r="C2004"/>
      <c r="D2004"/>
      <c r="E2004"/>
      <c r="F2004"/>
      <c r="G2004"/>
      <c r="H2004"/>
      <c r="I2004"/>
      <c r="J2004"/>
      <c r="K2004"/>
      <c r="L2004"/>
      <c r="M2004"/>
      <c r="N2004"/>
      <c r="O2004"/>
      <c r="P2004"/>
      <c r="Q2004" s="11"/>
    </row>
    <row r="2005" spans="2:17" x14ac:dyDescent="0.35">
      <c r="B2005"/>
      <c r="C2005"/>
      <c r="D2005"/>
      <c r="E2005"/>
      <c r="F2005"/>
      <c r="G2005"/>
      <c r="H2005"/>
      <c r="I2005"/>
      <c r="J2005"/>
      <c r="K2005"/>
      <c r="L2005"/>
      <c r="M2005"/>
      <c r="N2005"/>
      <c r="O2005"/>
      <c r="P2005"/>
    </row>
    <row r="2006" spans="2:17" x14ac:dyDescent="0.35">
      <c r="B2006"/>
      <c r="C2006"/>
      <c r="D2006"/>
      <c r="E2006"/>
      <c r="F2006"/>
      <c r="G2006"/>
      <c r="H2006"/>
      <c r="I2006"/>
      <c r="J2006"/>
      <c r="K2006"/>
      <c r="L2006"/>
      <c r="M2006"/>
      <c r="N2006"/>
      <c r="O2006"/>
      <c r="P2006"/>
    </row>
    <row r="2007" spans="2:17" x14ac:dyDescent="0.35">
      <c r="B2007"/>
      <c r="C2007"/>
      <c r="D2007"/>
      <c r="E2007"/>
      <c r="F2007"/>
      <c r="G2007"/>
      <c r="H2007"/>
      <c r="I2007"/>
      <c r="J2007"/>
      <c r="K2007"/>
      <c r="L2007"/>
      <c r="M2007"/>
      <c r="N2007"/>
      <c r="O2007"/>
      <c r="P2007"/>
    </row>
    <row r="2008" spans="2:17" x14ac:dyDescent="0.35">
      <c r="B2008"/>
      <c r="C2008"/>
      <c r="D2008"/>
      <c r="E2008"/>
      <c r="F2008"/>
      <c r="G2008"/>
      <c r="H2008"/>
      <c r="I2008"/>
      <c r="J2008"/>
      <c r="K2008"/>
      <c r="L2008"/>
      <c r="M2008"/>
      <c r="N2008"/>
      <c r="O2008"/>
      <c r="P2008"/>
    </row>
    <row r="2009" spans="2:17" x14ac:dyDescent="0.35">
      <c r="B2009"/>
      <c r="C2009"/>
      <c r="D2009"/>
      <c r="E2009"/>
      <c r="F2009"/>
      <c r="G2009"/>
      <c r="H2009"/>
      <c r="I2009"/>
      <c r="J2009"/>
      <c r="K2009"/>
      <c r="L2009"/>
      <c r="M2009"/>
      <c r="N2009"/>
      <c r="O2009"/>
      <c r="P2009"/>
    </row>
    <row r="2010" spans="2:17" x14ac:dyDescent="0.35">
      <c r="B2010"/>
      <c r="C2010"/>
      <c r="D2010"/>
      <c r="E2010"/>
      <c r="F2010"/>
      <c r="G2010"/>
      <c r="H2010"/>
      <c r="I2010"/>
      <c r="J2010"/>
      <c r="K2010"/>
      <c r="L2010"/>
      <c r="M2010"/>
      <c r="N2010"/>
      <c r="O2010"/>
      <c r="P2010"/>
    </row>
    <row r="2011" spans="2:17" x14ac:dyDescent="0.35">
      <c r="B2011"/>
      <c r="C2011"/>
      <c r="D2011"/>
      <c r="E2011"/>
      <c r="F2011"/>
      <c r="G2011"/>
      <c r="H2011"/>
      <c r="I2011"/>
      <c r="J2011"/>
      <c r="K2011"/>
      <c r="L2011"/>
      <c r="M2011"/>
      <c r="N2011"/>
      <c r="O2011"/>
      <c r="P2011"/>
    </row>
    <row r="2012" spans="2:17" x14ac:dyDescent="0.35">
      <c r="B2012"/>
      <c r="C2012"/>
      <c r="D2012"/>
      <c r="E2012"/>
      <c r="F2012"/>
      <c r="G2012"/>
      <c r="H2012"/>
      <c r="I2012"/>
      <c r="J2012"/>
      <c r="K2012"/>
      <c r="L2012"/>
      <c r="M2012"/>
      <c r="N2012"/>
      <c r="O2012"/>
      <c r="P2012"/>
    </row>
    <row r="2013" spans="2:17" x14ac:dyDescent="0.35">
      <c r="B2013"/>
      <c r="C2013"/>
      <c r="D2013"/>
      <c r="E2013"/>
      <c r="F2013"/>
      <c r="G2013"/>
      <c r="H2013"/>
      <c r="I2013"/>
      <c r="J2013"/>
      <c r="K2013"/>
      <c r="L2013"/>
      <c r="M2013"/>
      <c r="N2013"/>
      <c r="O2013"/>
      <c r="P2013"/>
    </row>
    <row r="2014" spans="2:17" x14ac:dyDescent="0.35">
      <c r="B2014"/>
      <c r="C2014"/>
      <c r="D2014"/>
      <c r="E2014"/>
      <c r="F2014"/>
      <c r="G2014"/>
      <c r="H2014"/>
      <c r="I2014"/>
      <c r="J2014"/>
      <c r="K2014"/>
      <c r="L2014"/>
      <c r="M2014"/>
      <c r="N2014"/>
      <c r="O2014"/>
      <c r="P2014"/>
    </row>
    <row r="2015" spans="2:17" x14ac:dyDescent="0.35">
      <c r="B2015"/>
      <c r="C2015"/>
      <c r="D2015"/>
      <c r="E2015"/>
      <c r="F2015"/>
      <c r="G2015"/>
      <c r="H2015"/>
      <c r="I2015"/>
      <c r="J2015"/>
      <c r="K2015"/>
      <c r="L2015"/>
      <c r="M2015"/>
      <c r="N2015"/>
      <c r="O2015"/>
      <c r="P2015"/>
    </row>
    <row r="2016" spans="2:17" x14ac:dyDescent="0.35">
      <c r="B2016"/>
      <c r="C2016"/>
      <c r="D2016"/>
      <c r="E2016"/>
      <c r="F2016"/>
      <c r="G2016"/>
      <c r="H2016"/>
      <c r="I2016"/>
      <c r="J2016"/>
      <c r="K2016"/>
      <c r="L2016"/>
      <c r="M2016"/>
      <c r="N2016"/>
      <c r="O2016"/>
      <c r="P2016"/>
    </row>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spans="2:14" customFormat="1" x14ac:dyDescent="0.35"/>
    <row r="2722" spans="2:14" customFormat="1" x14ac:dyDescent="0.35"/>
    <row r="2723" spans="2:14" customFormat="1" x14ac:dyDescent="0.35"/>
    <row r="2724" spans="2:14" customFormat="1" x14ac:dyDescent="0.35"/>
    <row r="2725" spans="2:14" customFormat="1" x14ac:dyDescent="0.35"/>
    <row r="2726" spans="2:14" customFormat="1" x14ac:dyDescent="0.35"/>
    <row r="2727" spans="2:14" customFormat="1" x14ac:dyDescent="0.35"/>
    <row r="2728" spans="2:14" customFormat="1" x14ac:dyDescent="0.35"/>
    <row r="2729" spans="2:14" customFormat="1" x14ac:dyDescent="0.35"/>
    <row r="2730" spans="2:14" customFormat="1" x14ac:dyDescent="0.35"/>
    <row r="2731" spans="2:14" x14ac:dyDescent="0.35">
      <c r="B2731"/>
      <c r="C2731"/>
      <c r="D2731"/>
      <c r="E2731"/>
      <c r="F2731"/>
      <c r="G2731"/>
      <c r="H2731"/>
      <c r="I2731"/>
      <c r="J2731"/>
      <c r="K2731"/>
      <c r="L2731"/>
      <c r="M2731"/>
      <c r="N2731"/>
    </row>
    <row r="2732" spans="2:14" x14ac:dyDescent="0.35">
      <c r="B2732"/>
      <c r="C2732"/>
      <c r="D2732"/>
      <c r="E2732"/>
      <c r="F2732"/>
      <c r="G2732"/>
      <c r="H2732"/>
      <c r="I2732"/>
      <c r="J2732"/>
      <c r="K2732"/>
      <c r="L2732"/>
      <c r="M2732"/>
      <c r="N2732"/>
    </row>
    <row r="2733" spans="2:14" x14ac:dyDescent="0.35">
      <c r="B2733"/>
      <c r="C2733"/>
      <c r="D2733"/>
      <c r="E2733"/>
      <c r="F2733"/>
      <c r="G2733"/>
      <c r="H2733"/>
      <c r="I2733"/>
      <c r="J2733"/>
      <c r="K2733"/>
      <c r="L2733"/>
      <c r="M2733"/>
      <c r="N2733"/>
    </row>
    <row r="2734" spans="2:14" x14ac:dyDescent="0.35">
      <c r="B2734"/>
      <c r="C2734"/>
      <c r="D2734"/>
      <c r="E2734"/>
      <c r="F2734"/>
      <c r="G2734"/>
      <c r="H2734"/>
      <c r="I2734"/>
      <c r="J2734"/>
      <c r="K2734"/>
      <c r="L2734"/>
      <c r="M2734"/>
      <c r="N2734"/>
    </row>
    <row r="2735" spans="2:14" x14ac:dyDescent="0.35">
      <c r="B2735"/>
      <c r="C2735"/>
      <c r="D2735"/>
      <c r="E2735"/>
      <c r="F2735"/>
      <c r="G2735"/>
      <c r="H2735"/>
      <c r="I2735"/>
      <c r="J2735"/>
      <c r="K2735"/>
      <c r="L2735"/>
      <c r="M2735"/>
      <c r="N2735"/>
    </row>
    <row r="2736" spans="2:14" x14ac:dyDescent="0.35">
      <c r="B2736"/>
      <c r="C2736"/>
      <c r="D2736"/>
      <c r="E2736"/>
      <c r="F2736"/>
      <c r="G2736"/>
      <c r="H2736"/>
      <c r="I2736"/>
      <c r="J2736"/>
      <c r="K2736"/>
      <c r="L2736"/>
      <c r="M2736"/>
      <c r="N2736"/>
    </row>
    <row r="2737" spans="2:14" x14ac:dyDescent="0.35">
      <c r="B2737"/>
      <c r="C2737"/>
      <c r="D2737"/>
      <c r="E2737"/>
      <c r="F2737"/>
      <c r="G2737"/>
      <c r="H2737"/>
      <c r="I2737"/>
      <c r="J2737"/>
      <c r="K2737"/>
      <c r="L2737"/>
      <c r="M2737"/>
      <c r="N2737"/>
    </row>
    <row r="2738" spans="2:14" x14ac:dyDescent="0.35">
      <c r="B2738"/>
      <c r="C2738"/>
      <c r="D2738"/>
      <c r="E2738"/>
      <c r="F2738"/>
      <c r="G2738"/>
      <c r="H2738"/>
      <c r="I2738"/>
      <c r="J2738"/>
      <c r="K2738"/>
      <c r="L2738"/>
      <c r="M2738"/>
      <c r="N2738"/>
    </row>
    <row r="2739" spans="2:14" x14ac:dyDescent="0.35">
      <c r="B2739"/>
      <c r="C2739"/>
      <c r="D2739"/>
      <c r="E2739"/>
      <c r="F2739"/>
      <c r="G2739"/>
      <c r="H2739"/>
      <c r="I2739"/>
      <c r="J2739"/>
      <c r="K2739"/>
      <c r="L2739"/>
      <c r="M2739"/>
      <c r="N2739"/>
    </row>
    <row r="2740" spans="2:14" x14ac:dyDescent="0.35">
      <c r="B2740"/>
      <c r="C2740"/>
      <c r="D2740"/>
      <c r="E2740"/>
      <c r="F2740"/>
      <c r="G2740"/>
      <c r="H2740"/>
      <c r="I2740"/>
      <c r="J2740"/>
      <c r="K2740"/>
      <c r="L2740"/>
      <c r="M2740"/>
      <c r="N2740"/>
    </row>
    <row r="2741" spans="2:14" x14ac:dyDescent="0.35">
      <c r="B2741"/>
      <c r="C2741"/>
      <c r="D2741"/>
      <c r="E2741"/>
      <c r="F2741"/>
      <c r="G2741"/>
      <c r="H2741"/>
      <c r="I2741"/>
      <c r="J2741"/>
      <c r="K2741"/>
      <c r="L2741"/>
      <c r="M2741"/>
      <c r="N2741"/>
    </row>
    <row r="2742" spans="2:14" x14ac:dyDescent="0.35">
      <c r="B2742"/>
      <c r="C2742"/>
      <c r="D2742"/>
      <c r="E2742"/>
      <c r="F2742"/>
      <c r="G2742"/>
      <c r="H2742"/>
      <c r="I2742"/>
      <c r="J2742"/>
      <c r="K2742"/>
      <c r="L2742"/>
      <c r="M2742"/>
      <c r="N2742"/>
    </row>
    <row r="2743" spans="2:14" x14ac:dyDescent="0.35">
      <c r="B2743"/>
      <c r="C2743"/>
      <c r="D2743"/>
      <c r="E2743"/>
      <c r="F2743"/>
      <c r="G2743"/>
      <c r="H2743"/>
      <c r="I2743"/>
      <c r="J2743"/>
      <c r="K2743"/>
      <c r="L2743"/>
      <c r="M2743"/>
      <c r="N2743"/>
    </row>
    <row r="2744" spans="2:14" x14ac:dyDescent="0.35">
      <c r="B2744"/>
      <c r="C2744"/>
      <c r="D2744"/>
      <c r="E2744"/>
      <c r="F2744"/>
      <c r="G2744"/>
      <c r="H2744"/>
      <c r="I2744"/>
      <c r="J2744"/>
      <c r="K2744"/>
      <c r="L2744"/>
      <c r="M2744"/>
      <c r="N2744"/>
    </row>
    <row r="2745" spans="2:14" x14ac:dyDescent="0.35">
      <c r="B2745"/>
      <c r="C2745"/>
      <c r="D2745"/>
      <c r="E2745"/>
      <c r="F2745"/>
      <c r="G2745"/>
      <c r="H2745"/>
      <c r="I2745"/>
      <c r="J2745"/>
      <c r="K2745"/>
      <c r="L2745"/>
      <c r="M2745"/>
      <c r="N2745"/>
    </row>
    <row r="2746" spans="2:14" x14ac:dyDescent="0.35">
      <c r="B2746"/>
      <c r="C2746"/>
      <c r="D2746"/>
      <c r="E2746"/>
      <c r="F2746"/>
      <c r="G2746"/>
      <c r="H2746"/>
      <c r="I2746"/>
      <c r="J2746"/>
      <c r="K2746"/>
      <c r="L2746"/>
      <c r="M2746"/>
      <c r="N2746"/>
    </row>
    <row r="2747" spans="2:14" x14ac:dyDescent="0.35">
      <c r="B2747"/>
      <c r="C2747"/>
      <c r="D2747"/>
      <c r="E2747"/>
      <c r="F2747"/>
      <c r="G2747"/>
      <c r="H2747"/>
      <c r="I2747"/>
      <c r="J2747"/>
      <c r="K2747"/>
      <c r="L2747"/>
      <c r="M2747"/>
      <c r="N2747"/>
    </row>
    <row r="2748" spans="2:14" x14ac:dyDescent="0.35">
      <c r="B2748"/>
      <c r="C2748"/>
      <c r="D2748"/>
      <c r="E2748"/>
      <c r="F2748"/>
      <c r="G2748"/>
      <c r="H2748"/>
      <c r="I2748"/>
      <c r="J2748"/>
      <c r="K2748"/>
      <c r="L2748"/>
      <c r="M2748"/>
      <c r="N2748"/>
    </row>
    <row r="2749" spans="2:14" x14ac:dyDescent="0.35">
      <c r="B2749"/>
      <c r="C2749"/>
      <c r="D2749"/>
      <c r="E2749"/>
      <c r="F2749"/>
      <c r="G2749"/>
      <c r="H2749"/>
      <c r="I2749"/>
      <c r="J2749"/>
      <c r="K2749"/>
      <c r="L2749"/>
      <c r="M2749"/>
      <c r="N2749"/>
    </row>
    <row r="2750" spans="2:14" x14ac:dyDescent="0.35">
      <c r="B2750"/>
      <c r="C2750"/>
      <c r="D2750"/>
      <c r="E2750"/>
      <c r="F2750"/>
      <c r="G2750"/>
      <c r="H2750"/>
      <c r="I2750"/>
      <c r="J2750"/>
      <c r="K2750"/>
      <c r="L2750"/>
      <c r="M2750"/>
      <c r="N2750"/>
    </row>
    <row r="2751" spans="2:14" x14ac:dyDescent="0.35">
      <c r="B2751"/>
      <c r="C2751"/>
      <c r="D2751"/>
      <c r="E2751"/>
      <c r="F2751"/>
      <c r="G2751"/>
      <c r="H2751"/>
      <c r="I2751"/>
      <c r="J2751"/>
      <c r="K2751"/>
      <c r="L2751"/>
      <c r="M2751"/>
      <c r="N2751"/>
    </row>
    <row r="2752" spans="2:14" x14ac:dyDescent="0.35">
      <c r="B2752"/>
      <c r="C2752"/>
      <c r="D2752"/>
      <c r="E2752"/>
      <c r="F2752"/>
      <c r="G2752"/>
      <c r="H2752"/>
      <c r="I2752"/>
      <c r="J2752"/>
      <c r="K2752"/>
      <c r="L2752"/>
      <c r="M2752"/>
      <c r="N2752"/>
    </row>
    <row r="2753" spans="2:14" x14ac:dyDescent="0.35">
      <c r="B2753"/>
      <c r="C2753"/>
      <c r="D2753"/>
      <c r="E2753"/>
      <c r="F2753"/>
      <c r="G2753"/>
      <c r="H2753"/>
      <c r="I2753"/>
      <c r="J2753"/>
      <c r="K2753"/>
      <c r="L2753"/>
      <c r="M2753"/>
      <c r="N2753"/>
    </row>
    <row r="2754" spans="2:14" x14ac:dyDescent="0.35">
      <c r="B2754"/>
      <c r="C2754"/>
      <c r="D2754"/>
      <c r="E2754"/>
      <c r="F2754"/>
      <c r="G2754"/>
      <c r="H2754"/>
      <c r="I2754"/>
      <c r="J2754"/>
      <c r="K2754"/>
      <c r="L2754"/>
      <c r="M2754"/>
      <c r="N2754"/>
    </row>
    <row r="2755" spans="2:14" x14ac:dyDescent="0.35">
      <c r="B2755"/>
      <c r="C2755"/>
      <c r="D2755"/>
      <c r="E2755"/>
      <c r="F2755"/>
      <c r="G2755"/>
      <c r="H2755"/>
      <c r="I2755"/>
      <c r="J2755"/>
      <c r="K2755"/>
      <c r="L2755"/>
      <c r="M2755"/>
      <c r="N2755"/>
    </row>
    <row r="2756" spans="2:14" x14ac:dyDescent="0.35">
      <c r="B2756"/>
      <c r="C2756"/>
      <c r="D2756"/>
      <c r="E2756"/>
      <c r="F2756"/>
      <c r="G2756"/>
      <c r="H2756"/>
      <c r="I2756"/>
      <c r="J2756"/>
      <c r="K2756"/>
      <c r="L2756"/>
      <c r="M2756"/>
      <c r="N2756"/>
    </row>
    <row r="2757" spans="2:14" x14ac:dyDescent="0.35">
      <c r="B2757"/>
      <c r="C2757"/>
      <c r="D2757"/>
      <c r="E2757"/>
      <c r="F2757"/>
      <c r="G2757"/>
      <c r="H2757"/>
      <c r="I2757"/>
      <c r="J2757"/>
      <c r="K2757"/>
      <c r="L2757"/>
      <c r="M2757"/>
      <c r="N2757"/>
    </row>
    <row r="2758" spans="2:14" x14ac:dyDescent="0.35">
      <c r="B2758"/>
      <c r="C2758"/>
      <c r="D2758"/>
      <c r="E2758"/>
      <c r="F2758"/>
      <c r="G2758"/>
      <c r="H2758"/>
      <c r="I2758"/>
      <c r="J2758"/>
      <c r="K2758"/>
      <c r="L2758"/>
      <c r="M2758"/>
      <c r="N2758"/>
    </row>
    <row r="2759" spans="2:14" x14ac:dyDescent="0.35">
      <c r="B2759"/>
      <c r="C2759"/>
      <c r="D2759"/>
      <c r="E2759"/>
      <c r="F2759"/>
      <c r="G2759"/>
      <c r="H2759"/>
      <c r="I2759"/>
      <c r="J2759"/>
      <c r="K2759"/>
      <c r="L2759"/>
      <c r="M2759"/>
      <c r="N2759"/>
    </row>
    <row r="2760" spans="2:14" x14ac:dyDescent="0.35">
      <c r="B2760"/>
      <c r="C2760"/>
      <c r="D2760"/>
      <c r="E2760"/>
      <c r="F2760"/>
      <c r="G2760"/>
      <c r="H2760"/>
      <c r="I2760"/>
      <c r="J2760"/>
      <c r="K2760"/>
      <c r="L2760"/>
      <c r="M2760"/>
      <c r="N2760"/>
    </row>
    <row r="2761" spans="2:14" x14ac:dyDescent="0.35">
      <c r="B2761"/>
      <c r="C2761"/>
      <c r="D2761"/>
      <c r="E2761"/>
      <c r="F2761"/>
      <c r="G2761"/>
      <c r="H2761"/>
      <c r="I2761"/>
      <c r="J2761"/>
      <c r="K2761"/>
      <c r="L2761"/>
      <c r="M2761"/>
      <c r="N2761"/>
    </row>
    <row r="2762" spans="2:14" x14ac:dyDescent="0.35">
      <c r="B2762"/>
      <c r="C2762"/>
      <c r="D2762"/>
      <c r="E2762"/>
      <c r="F2762"/>
      <c r="G2762"/>
      <c r="H2762"/>
      <c r="I2762"/>
      <c r="J2762"/>
      <c r="K2762"/>
      <c r="L2762"/>
      <c r="M2762"/>
      <c r="N2762"/>
    </row>
    <row r="2763" spans="2:14" x14ac:dyDescent="0.35">
      <c r="B2763"/>
      <c r="C2763"/>
      <c r="D2763"/>
      <c r="E2763"/>
      <c r="F2763"/>
      <c r="G2763"/>
      <c r="H2763"/>
      <c r="I2763"/>
      <c r="J2763"/>
      <c r="K2763"/>
      <c r="L2763"/>
      <c r="M2763"/>
      <c r="N2763"/>
    </row>
    <row r="2764" spans="2:14" x14ac:dyDescent="0.35">
      <c r="B2764"/>
      <c r="C2764"/>
      <c r="D2764"/>
      <c r="E2764"/>
      <c r="F2764"/>
      <c r="G2764"/>
      <c r="H2764"/>
      <c r="I2764"/>
      <c r="J2764"/>
      <c r="K2764"/>
      <c r="L2764"/>
      <c r="M2764"/>
      <c r="N2764"/>
    </row>
    <row r="2765" spans="2:14" x14ac:dyDescent="0.35">
      <c r="B2765"/>
      <c r="C2765"/>
      <c r="D2765"/>
      <c r="E2765"/>
      <c r="F2765"/>
      <c r="G2765"/>
      <c r="H2765"/>
      <c r="I2765"/>
      <c r="J2765"/>
      <c r="K2765"/>
      <c r="L2765"/>
      <c r="M2765"/>
      <c r="N2765"/>
    </row>
    <row r="2766" spans="2:14" x14ac:dyDescent="0.35">
      <c r="B2766"/>
      <c r="C2766"/>
      <c r="D2766"/>
      <c r="E2766"/>
      <c r="F2766"/>
      <c r="G2766"/>
      <c r="H2766"/>
      <c r="I2766"/>
      <c r="J2766"/>
      <c r="K2766"/>
      <c r="L2766"/>
      <c r="M2766"/>
      <c r="N2766"/>
    </row>
    <row r="2767" spans="2:14" x14ac:dyDescent="0.35">
      <c r="B2767"/>
      <c r="C2767"/>
      <c r="D2767"/>
      <c r="E2767"/>
      <c r="F2767"/>
      <c r="G2767"/>
      <c r="H2767"/>
      <c r="I2767"/>
      <c r="J2767"/>
      <c r="K2767"/>
      <c r="L2767"/>
      <c r="M2767"/>
      <c r="N2767"/>
    </row>
    <row r="2768" spans="2:14" x14ac:dyDescent="0.35">
      <c r="B2768"/>
      <c r="C2768"/>
      <c r="D2768"/>
      <c r="E2768"/>
      <c r="F2768"/>
      <c r="G2768"/>
      <c r="H2768"/>
      <c r="I2768"/>
      <c r="J2768"/>
      <c r="K2768"/>
      <c r="L2768"/>
      <c r="M2768"/>
      <c r="N2768"/>
    </row>
    <row r="2769" spans="2:14" x14ac:dyDescent="0.35">
      <c r="B2769"/>
      <c r="C2769"/>
      <c r="D2769"/>
      <c r="E2769"/>
      <c r="F2769"/>
      <c r="G2769"/>
      <c r="H2769"/>
      <c r="I2769"/>
      <c r="J2769"/>
      <c r="K2769"/>
      <c r="L2769"/>
      <c r="M2769"/>
      <c r="N2769"/>
    </row>
    <row r="2770" spans="2:14" x14ac:dyDescent="0.35">
      <c r="B2770"/>
      <c r="C2770"/>
      <c r="D2770"/>
      <c r="E2770"/>
      <c r="F2770"/>
      <c r="G2770"/>
      <c r="H2770"/>
      <c r="I2770"/>
      <c r="J2770"/>
      <c r="K2770"/>
      <c r="L2770"/>
      <c r="M2770"/>
      <c r="N2770"/>
    </row>
    <row r="2771" spans="2:14" x14ac:dyDescent="0.35">
      <c r="B2771"/>
      <c r="C2771"/>
      <c r="D2771"/>
      <c r="E2771"/>
      <c r="F2771"/>
      <c r="G2771"/>
      <c r="H2771"/>
      <c r="I2771"/>
      <c r="J2771"/>
      <c r="K2771"/>
      <c r="L2771"/>
      <c r="M2771"/>
      <c r="N2771"/>
    </row>
    <row r="2772" spans="2:14" x14ac:dyDescent="0.35">
      <c r="B2772"/>
      <c r="C2772"/>
      <c r="D2772"/>
      <c r="E2772"/>
      <c r="F2772"/>
      <c r="G2772"/>
      <c r="H2772"/>
      <c r="I2772"/>
      <c r="J2772"/>
      <c r="K2772"/>
      <c r="L2772"/>
      <c r="M2772"/>
      <c r="N2772"/>
    </row>
    <row r="2773" spans="2:14" x14ac:dyDescent="0.35">
      <c r="B2773"/>
      <c r="C2773"/>
      <c r="D2773"/>
      <c r="E2773"/>
      <c r="F2773"/>
      <c r="G2773"/>
      <c r="H2773"/>
      <c r="I2773"/>
      <c r="J2773"/>
      <c r="K2773"/>
      <c r="L2773"/>
      <c r="M2773"/>
      <c r="N2773"/>
    </row>
    <row r="2774" spans="2:14" x14ac:dyDescent="0.35">
      <c r="B2774"/>
      <c r="C2774"/>
      <c r="D2774"/>
      <c r="E2774"/>
      <c r="F2774"/>
      <c r="G2774"/>
      <c r="H2774"/>
      <c r="I2774"/>
      <c r="J2774"/>
      <c r="K2774"/>
      <c r="L2774"/>
      <c r="M2774"/>
      <c r="N2774"/>
    </row>
    <row r="2775" spans="2:14" x14ac:dyDescent="0.35">
      <c r="B2775"/>
      <c r="C2775"/>
      <c r="D2775"/>
      <c r="E2775"/>
      <c r="F2775"/>
      <c r="G2775"/>
      <c r="H2775"/>
      <c r="I2775"/>
      <c r="J2775"/>
      <c r="K2775"/>
      <c r="L2775"/>
      <c r="M2775"/>
      <c r="N2775"/>
    </row>
    <row r="2776" spans="2:14" x14ac:dyDescent="0.35">
      <c r="B2776"/>
      <c r="C2776"/>
      <c r="D2776"/>
      <c r="E2776"/>
      <c r="F2776"/>
      <c r="G2776"/>
      <c r="H2776"/>
      <c r="I2776"/>
      <c r="J2776"/>
      <c r="K2776"/>
      <c r="L2776"/>
      <c r="M2776"/>
      <c r="N2776"/>
    </row>
    <row r="2777" spans="2:14" x14ac:dyDescent="0.35">
      <c r="B2777"/>
      <c r="C2777"/>
      <c r="D2777"/>
      <c r="E2777"/>
      <c r="F2777"/>
      <c r="G2777"/>
      <c r="H2777"/>
      <c r="I2777"/>
      <c r="J2777"/>
      <c r="K2777"/>
      <c r="L2777"/>
      <c r="M2777"/>
      <c r="N2777"/>
    </row>
    <row r="2778" spans="2:14" x14ac:dyDescent="0.35">
      <c r="B2778"/>
      <c r="C2778"/>
      <c r="D2778"/>
      <c r="E2778"/>
      <c r="F2778"/>
      <c r="G2778"/>
      <c r="H2778"/>
      <c r="I2778"/>
      <c r="J2778"/>
      <c r="K2778"/>
      <c r="L2778"/>
      <c r="M2778"/>
      <c r="N2778"/>
    </row>
    <row r="2779" spans="2:14" x14ac:dyDescent="0.35">
      <c r="B2779"/>
      <c r="C2779"/>
      <c r="D2779"/>
      <c r="E2779"/>
      <c r="F2779"/>
      <c r="G2779"/>
      <c r="H2779"/>
      <c r="I2779"/>
      <c r="J2779"/>
      <c r="K2779"/>
      <c r="L2779"/>
      <c r="M2779"/>
      <c r="N2779"/>
    </row>
    <row r="2780" spans="2:14" x14ac:dyDescent="0.35">
      <c r="B2780"/>
      <c r="C2780"/>
      <c r="D2780"/>
      <c r="E2780"/>
      <c r="F2780"/>
      <c r="G2780"/>
      <c r="H2780"/>
      <c r="I2780"/>
      <c r="J2780"/>
      <c r="K2780"/>
      <c r="L2780"/>
      <c r="M2780"/>
      <c r="N2780"/>
    </row>
    <row r="2781" spans="2:14" x14ac:dyDescent="0.35">
      <c r="B2781"/>
      <c r="C2781"/>
      <c r="D2781"/>
      <c r="E2781"/>
      <c r="F2781"/>
      <c r="G2781"/>
      <c r="H2781"/>
      <c r="I2781"/>
      <c r="J2781"/>
      <c r="K2781"/>
      <c r="L2781"/>
      <c r="M2781"/>
      <c r="N2781"/>
    </row>
    <row r="2782" spans="2:14" x14ac:dyDescent="0.35">
      <c r="B2782"/>
      <c r="C2782"/>
      <c r="D2782"/>
      <c r="E2782"/>
      <c r="F2782"/>
      <c r="G2782"/>
      <c r="H2782"/>
      <c r="I2782"/>
      <c r="J2782"/>
      <c r="K2782"/>
      <c r="L2782"/>
      <c r="M2782"/>
      <c r="N2782"/>
    </row>
    <row r="2783" spans="2:14" x14ac:dyDescent="0.35">
      <c r="B2783"/>
      <c r="C2783"/>
      <c r="D2783"/>
      <c r="E2783"/>
      <c r="F2783"/>
      <c r="G2783"/>
      <c r="H2783"/>
      <c r="I2783"/>
      <c r="J2783"/>
      <c r="K2783"/>
      <c r="L2783"/>
      <c r="M2783"/>
      <c r="N2783"/>
    </row>
    <row r="2784" spans="2:14" x14ac:dyDescent="0.35">
      <c r="B2784"/>
      <c r="C2784"/>
      <c r="D2784"/>
      <c r="E2784"/>
      <c r="F2784"/>
      <c r="G2784"/>
      <c r="H2784"/>
      <c r="I2784"/>
      <c r="J2784"/>
      <c r="K2784"/>
      <c r="L2784"/>
      <c r="M2784"/>
      <c r="N2784"/>
    </row>
    <row r="2785" spans="2:14" x14ac:dyDescent="0.35">
      <c r="B2785"/>
      <c r="C2785"/>
      <c r="D2785"/>
      <c r="E2785"/>
      <c r="F2785"/>
      <c r="G2785"/>
      <c r="H2785"/>
      <c r="I2785"/>
      <c r="J2785"/>
      <c r="K2785"/>
      <c r="L2785"/>
      <c r="M2785"/>
      <c r="N2785"/>
    </row>
    <row r="2786" spans="2:14" x14ac:dyDescent="0.35">
      <c r="B2786"/>
      <c r="C2786"/>
      <c r="D2786"/>
      <c r="E2786"/>
      <c r="F2786"/>
      <c r="G2786"/>
      <c r="H2786"/>
      <c r="I2786"/>
      <c r="J2786"/>
      <c r="K2786"/>
      <c r="L2786"/>
      <c r="M2786"/>
      <c r="N2786"/>
    </row>
    <row r="2787" spans="2:14" x14ac:dyDescent="0.35">
      <c r="B2787"/>
      <c r="C2787"/>
      <c r="D2787"/>
      <c r="E2787"/>
      <c r="F2787"/>
      <c r="G2787"/>
      <c r="H2787"/>
      <c r="I2787"/>
      <c r="J2787"/>
      <c r="K2787"/>
      <c r="L2787"/>
      <c r="M2787"/>
      <c r="N2787"/>
    </row>
    <row r="2788" spans="2:14" x14ac:dyDescent="0.35">
      <c r="B2788"/>
      <c r="C2788"/>
      <c r="D2788"/>
      <c r="E2788"/>
      <c r="F2788"/>
      <c r="G2788"/>
      <c r="H2788"/>
      <c r="I2788"/>
      <c r="J2788"/>
      <c r="K2788"/>
      <c r="L2788"/>
      <c r="M2788"/>
      <c r="N2788"/>
    </row>
    <row r="2789" spans="2:14" x14ac:dyDescent="0.35">
      <c r="B2789"/>
      <c r="C2789"/>
      <c r="D2789"/>
      <c r="E2789"/>
      <c r="F2789"/>
      <c r="G2789"/>
      <c r="H2789"/>
      <c r="I2789"/>
      <c r="J2789"/>
      <c r="K2789"/>
      <c r="L2789"/>
      <c r="M2789"/>
      <c r="N2789"/>
    </row>
    <row r="2790" spans="2:14" x14ac:dyDescent="0.35">
      <c r="B2790"/>
      <c r="C2790"/>
      <c r="D2790"/>
      <c r="E2790"/>
      <c r="F2790"/>
      <c r="G2790"/>
      <c r="H2790"/>
      <c r="I2790"/>
      <c r="J2790"/>
      <c r="K2790"/>
      <c r="L2790"/>
      <c r="M2790"/>
      <c r="N2790"/>
    </row>
    <row r="2791" spans="2:14" x14ac:dyDescent="0.35">
      <c r="B2791"/>
      <c r="C2791"/>
      <c r="D2791"/>
      <c r="E2791"/>
      <c r="F2791"/>
      <c r="G2791"/>
      <c r="H2791"/>
      <c r="I2791"/>
      <c r="J2791"/>
      <c r="K2791"/>
      <c r="L2791"/>
      <c r="M2791"/>
      <c r="N2791"/>
    </row>
    <row r="2792" spans="2:14" x14ac:dyDescent="0.35">
      <c r="B2792"/>
      <c r="C2792"/>
      <c r="D2792"/>
      <c r="E2792"/>
      <c r="F2792"/>
      <c r="G2792"/>
      <c r="H2792"/>
      <c r="I2792"/>
      <c r="J2792"/>
      <c r="K2792"/>
      <c r="L2792"/>
      <c r="M2792"/>
      <c r="N2792"/>
    </row>
    <row r="2793" spans="2:14" x14ac:dyDescent="0.35">
      <c r="B2793"/>
      <c r="C2793"/>
      <c r="D2793"/>
      <c r="E2793"/>
      <c r="F2793"/>
      <c r="G2793"/>
      <c r="H2793"/>
      <c r="I2793"/>
      <c r="J2793"/>
      <c r="K2793"/>
      <c r="L2793"/>
      <c r="M2793"/>
      <c r="N2793"/>
    </row>
    <row r="2794" spans="2:14" x14ac:dyDescent="0.35">
      <c r="B2794"/>
      <c r="C2794"/>
      <c r="D2794"/>
      <c r="E2794"/>
      <c r="F2794"/>
      <c r="G2794"/>
      <c r="H2794"/>
      <c r="I2794"/>
      <c r="J2794"/>
      <c r="K2794"/>
      <c r="L2794"/>
      <c r="M2794"/>
      <c r="N2794"/>
    </row>
    <row r="2795" spans="2:14" x14ac:dyDescent="0.35">
      <c r="B2795"/>
      <c r="C2795"/>
      <c r="D2795"/>
      <c r="E2795"/>
      <c r="F2795"/>
      <c r="G2795"/>
      <c r="H2795"/>
      <c r="I2795"/>
      <c r="J2795"/>
      <c r="K2795"/>
      <c r="L2795"/>
      <c r="M2795"/>
      <c r="N2795"/>
    </row>
    <row r="2796" spans="2:14" x14ac:dyDescent="0.35">
      <c r="B2796"/>
      <c r="C2796"/>
      <c r="D2796"/>
      <c r="E2796"/>
      <c r="F2796"/>
      <c r="G2796"/>
      <c r="H2796"/>
      <c r="I2796"/>
      <c r="J2796"/>
      <c r="K2796"/>
      <c r="L2796"/>
      <c r="M2796"/>
      <c r="N2796"/>
    </row>
    <row r="2797" spans="2:14" x14ac:dyDescent="0.35">
      <c r="B2797"/>
      <c r="C2797"/>
      <c r="D2797"/>
      <c r="E2797"/>
      <c r="F2797"/>
      <c r="G2797"/>
      <c r="H2797"/>
      <c r="I2797"/>
      <c r="J2797"/>
      <c r="K2797"/>
      <c r="L2797"/>
      <c r="M2797"/>
      <c r="N2797"/>
    </row>
    <row r="2798" spans="2:14" x14ac:dyDescent="0.35">
      <c r="B2798"/>
      <c r="C2798"/>
      <c r="D2798"/>
      <c r="E2798"/>
      <c r="F2798"/>
      <c r="G2798"/>
      <c r="H2798"/>
      <c r="I2798"/>
      <c r="J2798"/>
      <c r="K2798"/>
      <c r="L2798"/>
      <c r="M2798"/>
      <c r="N2798"/>
    </row>
    <row r="2799" spans="2:14" x14ac:dyDescent="0.35">
      <c r="B2799"/>
      <c r="C2799"/>
      <c r="D2799"/>
      <c r="E2799"/>
      <c r="F2799"/>
      <c r="G2799"/>
      <c r="H2799"/>
      <c r="I2799"/>
      <c r="J2799"/>
      <c r="K2799"/>
      <c r="L2799"/>
      <c r="M2799"/>
      <c r="N2799"/>
    </row>
    <row r="2800" spans="2:14" x14ac:dyDescent="0.35">
      <c r="B2800"/>
      <c r="C2800"/>
      <c r="D2800"/>
      <c r="E2800"/>
      <c r="F2800"/>
      <c r="G2800"/>
      <c r="H2800"/>
      <c r="I2800"/>
      <c r="J2800"/>
      <c r="K2800"/>
      <c r="L2800"/>
      <c r="M2800"/>
      <c r="N2800"/>
    </row>
    <row r="2801" spans="2:14" x14ac:dyDescent="0.35">
      <c r="B2801"/>
      <c r="C2801"/>
      <c r="D2801"/>
      <c r="E2801"/>
      <c r="F2801"/>
      <c r="G2801"/>
      <c r="H2801"/>
      <c r="I2801"/>
      <c r="J2801"/>
      <c r="K2801"/>
      <c r="L2801"/>
      <c r="M2801"/>
      <c r="N2801"/>
    </row>
    <row r="2802" spans="2:14" x14ac:dyDescent="0.35">
      <c r="B2802"/>
      <c r="C2802"/>
      <c r="D2802"/>
      <c r="E2802"/>
      <c r="F2802"/>
      <c r="G2802"/>
      <c r="H2802"/>
      <c r="I2802"/>
      <c r="J2802"/>
      <c r="K2802"/>
      <c r="L2802"/>
      <c r="M2802"/>
      <c r="N2802"/>
    </row>
    <row r="2803" spans="2:14" x14ac:dyDescent="0.35">
      <c r="B2803"/>
      <c r="C2803"/>
      <c r="D2803"/>
      <c r="E2803"/>
      <c r="F2803"/>
      <c r="G2803"/>
      <c r="H2803"/>
      <c r="I2803"/>
      <c r="J2803"/>
      <c r="K2803"/>
      <c r="L2803"/>
      <c r="M2803"/>
      <c r="N2803"/>
    </row>
    <row r="2804" spans="2:14" x14ac:dyDescent="0.35">
      <c r="B2804"/>
      <c r="C2804"/>
      <c r="D2804"/>
      <c r="E2804"/>
      <c r="F2804"/>
      <c r="G2804"/>
      <c r="H2804"/>
      <c r="I2804"/>
      <c r="J2804"/>
      <c r="K2804"/>
      <c r="L2804"/>
      <c r="M2804"/>
      <c r="N2804"/>
    </row>
    <row r="2805" spans="2:14" x14ac:dyDescent="0.35">
      <c r="B2805"/>
      <c r="C2805"/>
      <c r="D2805"/>
      <c r="E2805"/>
      <c r="F2805"/>
      <c r="G2805"/>
      <c r="H2805"/>
      <c r="I2805"/>
      <c r="J2805"/>
      <c r="K2805"/>
      <c r="L2805"/>
      <c r="M2805"/>
      <c r="N2805"/>
    </row>
    <row r="2806" spans="2:14" x14ac:dyDescent="0.35">
      <c r="B2806"/>
      <c r="C2806"/>
      <c r="D2806"/>
      <c r="E2806"/>
      <c r="F2806"/>
      <c r="G2806"/>
      <c r="H2806"/>
      <c r="I2806"/>
      <c r="J2806"/>
      <c r="K2806"/>
      <c r="L2806"/>
      <c r="M2806"/>
      <c r="N2806"/>
    </row>
    <row r="2807" spans="2:14" x14ac:dyDescent="0.35">
      <c r="B2807"/>
      <c r="C2807"/>
      <c r="D2807"/>
      <c r="E2807"/>
      <c r="F2807"/>
      <c r="G2807"/>
      <c r="H2807"/>
      <c r="I2807"/>
      <c r="J2807"/>
      <c r="K2807"/>
      <c r="L2807"/>
      <c r="M2807"/>
      <c r="N2807"/>
    </row>
    <row r="2808" spans="2:14" x14ac:dyDescent="0.35">
      <c r="B2808"/>
      <c r="C2808"/>
      <c r="D2808"/>
      <c r="E2808"/>
      <c r="F2808"/>
      <c r="G2808"/>
      <c r="H2808"/>
      <c r="I2808"/>
      <c r="J2808"/>
      <c r="K2808"/>
      <c r="L2808"/>
      <c r="M2808"/>
      <c r="N2808"/>
    </row>
    <row r="2809" spans="2:14" x14ac:dyDescent="0.35">
      <c r="B2809"/>
      <c r="C2809"/>
      <c r="D2809"/>
      <c r="E2809"/>
      <c r="F2809"/>
      <c r="G2809"/>
      <c r="H2809"/>
      <c r="I2809"/>
      <c r="J2809"/>
      <c r="K2809"/>
      <c r="L2809"/>
      <c r="M2809"/>
      <c r="N2809"/>
    </row>
    <row r="2810" spans="2:14" x14ac:dyDescent="0.35">
      <c r="B2810"/>
      <c r="C2810"/>
      <c r="D2810"/>
      <c r="E2810"/>
      <c r="F2810"/>
      <c r="G2810"/>
      <c r="H2810"/>
      <c r="I2810"/>
      <c r="J2810"/>
      <c r="K2810"/>
      <c r="L2810"/>
      <c r="M2810"/>
      <c r="N2810"/>
    </row>
    <row r="2811" spans="2:14" x14ac:dyDescent="0.35">
      <c r="B2811"/>
      <c r="C2811"/>
      <c r="D2811"/>
      <c r="E2811"/>
      <c r="F2811"/>
      <c r="G2811"/>
      <c r="H2811"/>
      <c r="I2811"/>
      <c r="J2811"/>
      <c r="K2811"/>
      <c r="L2811"/>
      <c r="M2811"/>
      <c r="N2811"/>
    </row>
    <row r="2812" spans="2:14" x14ac:dyDescent="0.35">
      <c r="B2812"/>
      <c r="C2812"/>
      <c r="D2812"/>
      <c r="E2812"/>
      <c r="F2812"/>
      <c r="G2812"/>
      <c r="H2812"/>
      <c r="I2812"/>
      <c r="J2812"/>
      <c r="K2812"/>
      <c r="L2812"/>
      <c r="M2812"/>
      <c r="N2812"/>
    </row>
    <row r="2813" spans="2:14" x14ac:dyDescent="0.35">
      <c r="B2813"/>
      <c r="C2813"/>
      <c r="D2813"/>
      <c r="E2813"/>
      <c r="F2813"/>
      <c r="G2813"/>
      <c r="H2813"/>
      <c r="I2813"/>
      <c r="J2813"/>
      <c r="K2813"/>
      <c r="L2813"/>
      <c r="M2813"/>
      <c r="N2813"/>
    </row>
    <row r="2814" spans="2:14" x14ac:dyDescent="0.35">
      <c r="B2814"/>
      <c r="C2814"/>
      <c r="D2814"/>
      <c r="E2814"/>
      <c r="F2814"/>
      <c r="G2814"/>
      <c r="H2814"/>
      <c r="I2814"/>
      <c r="J2814"/>
      <c r="K2814"/>
      <c r="L2814"/>
      <c r="M2814"/>
      <c r="N2814"/>
    </row>
    <row r="2815" spans="2:14" x14ac:dyDescent="0.35">
      <c r="B2815"/>
      <c r="C2815"/>
      <c r="D2815"/>
      <c r="E2815"/>
      <c r="F2815"/>
      <c r="G2815"/>
      <c r="H2815"/>
      <c r="I2815"/>
      <c r="J2815"/>
      <c r="K2815"/>
      <c r="L2815"/>
      <c r="M2815"/>
      <c r="N2815"/>
    </row>
    <row r="2816" spans="2:14" x14ac:dyDescent="0.35">
      <c r="B2816"/>
      <c r="C2816"/>
      <c r="D2816"/>
      <c r="E2816"/>
      <c r="F2816"/>
      <c r="G2816"/>
      <c r="H2816"/>
      <c r="I2816"/>
      <c r="J2816"/>
      <c r="K2816"/>
      <c r="L2816"/>
      <c r="M2816"/>
      <c r="N2816"/>
    </row>
    <row r="2817" spans="2:14" x14ac:dyDescent="0.35">
      <c r="B2817"/>
      <c r="C2817"/>
      <c r="D2817"/>
      <c r="E2817"/>
      <c r="F2817"/>
      <c r="G2817"/>
      <c r="H2817"/>
      <c r="I2817"/>
      <c r="J2817"/>
      <c r="K2817"/>
      <c r="L2817"/>
      <c r="M2817"/>
      <c r="N2817"/>
    </row>
    <row r="2818" spans="2:14" x14ac:dyDescent="0.35">
      <c r="B2818"/>
      <c r="C2818"/>
      <c r="D2818"/>
      <c r="E2818"/>
      <c r="F2818"/>
      <c r="G2818"/>
      <c r="H2818"/>
      <c r="I2818"/>
      <c r="J2818"/>
      <c r="K2818"/>
      <c r="L2818"/>
      <c r="M2818"/>
      <c r="N2818"/>
    </row>
    <row r="2819" spans="2:14" x14ac:dyDescent="0.35">
      <c r="B2819"/>
      <c r="C2819"/>
      <c r="D2819"/>
      <c r="E2819"/>
      <c r="F2819"/>
      <c r="G2819"/>
      <c r="H2819"/>
      <c r="I2819"/>
      <c r="J2819"/>
      <c r="K2819"/>
      <c r="L2819"/>
      <c r="M2819"/>
      <c r="N2819"/>
    </row>
    <row r="2820" spans="2:14" x14ac:dyDescent="0.35">
      <c r="B2820"/>
      <c r="C2820"/>
      <c r="D2820"/>
      <c r="E2820"/>
      <c r="F2820"/>
      <c r="G2820"/>
      <c r="H2820"/>
      <c r="I2820"/>
      <c r="J2820"/>
      <c r="K2820"/>
      <c r="L2820"/>
      <c r="M2820"/>
      <c r="N2820"/>
    </row>
    <row r="2821" spans="2:14" x14ac:dyDescent="0.35">
      <c r="B2821"/>
      <c r="C2821"/>
      <c r="D2821"/>
      <c r="E2821"/>
      <c r="F2821"/>
      <c r="G2821"/>
      <c r="H2821"/>
      <c r="I2821"/>
      <c r="J2821"/>
      <c r="K2821"/>
      <c r="L2821"/>
      <c r="M2821"/>
      <c r="N2821"/>
    </row>
    <row r="2822" spans="2:14" x14ac:dyDescent="0.35">
      <c r="B2822"/>
      <c r="C2822"/>
      <c r="D2822"/>
      <c r="E2822"/>
      <c r="F2822"/>
      <c r="G2822"/>
      <c r="H2822"/>
      <c r="I2822"/>
      <c r="J2822"/>
      <c r="K2822"/>
      <c r="L2822"/>
      <c r="M2822"/>
      <c r="N2822"/>
    </row>
    <row r="2823" spans="2:14" x14ac:dyDescent="0.35">
      <c r="B2823"/>
      <c r="C2823"/>
      <c r="D2823"/>
      <c r="E2823"/>
      <c r="F2823"/>
      <c r="G2823"/>
      <c r="H2823"/>
      <c r="I2823"/>
      <c r="J2823"/>
      <c r="K2823"/>
      <c r="L2823"/>
      <c r="M2823"/>
      <c r="N2823"/>
    </row>
    <row r="2824" spans="2:14" x14ac:dyDescent="0.35">
      <c r="B2824"/>
      <c r="C2824"/>
      <c r="D2824"/>
      <c r="E2824"/>
      <c r="F2824"/>
      <c r="G2824"/>
      <c r="H2824"/>
      <c r="I2824"/>
      <c r="J2824"/>
      <c r="K2824"/>
      <c r="L2824"/>
      <c r="M2824"/>
      <c r="N2824"/>
    </row>
    <row r="2825" spans="2:14" x14ac:dyDescent="0.35">
      <c r="B2825"/>
      <c r="C2825"/>
      <c r="D2825"/>
      <c r="E2825"/>
      <c r="F2825"/>
      <c r="G2825"/>
      <c r="H2825"/>
      <c r="I2825"/>
      <c r="J2825"/>
      <c r="K2825"/>
      <c r="L2825"/>
      <c r="M2825"/>
      <c r="N2825"/>
    </row>
    <row r="2826" spans="2:14" x14ac:dyDescent="0.35">
      <c r="B2826"/>
      <c r="C2826"/>
      <c r="D2826"/>
      <c r="E2826"/>
      <c r="F2826"/>
      <c r="G2826"/>
      <c r="H2826"/>
      <c r="I2826"/>
      <c r="J2826"/>
      <c r="K2826"/>
      <c r="L2826"/>
      <c r="M2826"/>
      <c r="N2826"/>
    </row>
    <row r="2827" spans="2:14" x14ac:dyDescent="0.35">
      <c r="B2827"/>
      <c r="C2827"/>
      <c r="D2827"/>
      <c r="E2827"/>
      <c r="F2827"/>
      <c r="G2827"/>
      <c r="H2827"/>
      <c r="I2827"/>
      <c r="J2827"/>
      <c r="K2827"/>
      <c r="L2827"/>
      <c r="M2827"/>
      <c r="N2827"/>
    </row>
    <row r="2828" spans="2:14" x14ac:dyDescent="0.35">
      <c r="B2828"/>
      <c r="C2828"/>
      <c r="D2828"/>
      <c r="E2828"/>
      <c r="F2828"/>
      <c r="G2828"/>
      <c r="H2828"/>
      <c r="I2828"/>
      <c r="J2828"/>
      <c r="K2828"/>
      <c r="L2828"/>
      <c r="M2828"/>
      <c r="N2828"/>
    </row>
    <row r="2829" spans="2:14" x14ac:dyDescent="0.35">
      <c r="B2829"/>
      <c r="C2829"/>
      <c r="D2829"/>
      <c r="E2829"/>
      <c r="F2829"/>
      <c r="G2829"/>
      <c r="H2829"/>
      <c r="I2829"/>
      <c r="J2829"/>
      <c r="K2829"/>
      <c r="L2829"/>
      <c r="M2829"/>
      <c r="N2829"/>
    </row>
    <row r="2830" spans="2:14" x14ac:dyDescent="0.35">
      <c r="B2830"/>
      <c r="C2830"/>
      <c r="D2830"/>
      <c r="E2830"/>
      <c r="F2830"/>
      <c r="G2830"/>
      <c r="H2830"/>
      <c r="I2830"/>
      <c r="J2830"/>
      <c r="K2830"/>
      <c r="L2830"/>
      <c r="M2830"/>
      <c r="N2830"/>
    </row>
    <row r="2831" spans="2:14" x14ac:dyDescent="0.35">
      <c r="B2831"/>
      <c r="C2831"/>
      <c r="D2831"/>
      <c r="E2831"/>
      <c r="F2831"/>
      <c r="G2831"/>
      <c r="H2831"/>
      <c r="I2831"/>
      <c r="J2831"/>
      <c r="K2831"/>
      <c r="L2831"/>
      <c r="M2831"/>
      <c r="N2831"/>
    </row>
    <row r="2832" spans="2:14" x14ac:dyDescent="0.35">
      <c r="B2832"/>
      <c r="C2832"/>
      <c r="D2832"/>
      <c r="E2832"/>
      <c r="F2832"/>
      <c r="G2832"/>
      <c r="H2832"/>
      <c r="I2832"/>
      <c r="J2832"/>
      <c r="K2832"/>
      <c r="L2832"/>
      <c r="M2832"/>
      <c r="N2832"/>
    </row>
    <row r="2833" spans="2:14" x14ac:dyDescent="0.35">
      <c r="B2833"/>
      <c r="C2833"/>
      <c r="D2833"/>
      <c r="E2833"/>
      <c r="F2833"/>
      <c r="G2833"/>
      <c r="H2833"/>
      <c r="I2833"/>
      <c r="J2833"/>
      <c r="K2833"/>
      <c r="L2833"/>
      <c r="M2833"/>
      <c r="N2833"/>
    </row>
    <row r="2834" spans="2:14" x14ac:dyDescent="0.35">
      <c r="B2834"/>
      <c r="C2834"/>
      <c r="D2834"/>
      <c r="E2834"/>
      <c r="F2834"/>
      <c r="G2834"/>
      <c r="H2834"/>
      <c r="I2834"/>
      <c r="J2834"/>
      <c r="K2834"/>
      <c r="L2834"/>
      <c r="M2834"/>
      <c r="N2834"/>
    </row>
    <row r="2835" spans="2:14" x14ac:dyDescent="0.35">
      <c r="B2835"/>
      <c r="C2835"/>
      <c r="D2835"/>
      <c r="E2835"/>
      <c r="F2835"/>
      <c r="G2835"/>
      <c r="H2835"/>
      <c r="I2835"/>
      <c r="J2835"/>
      <c r="K2835"/>
      <c r="L2835"/>
      <c r="M2835"/>
      <c r="N2835"/>
    </row>
    <row r="2836" spans="2:14" x14ac:dyDescent="0.35">
      <c r="B2836"/>
      <c r="C2836"/>
      <c r="D2836"/>
      <c r="E2836"/>
      <c r="F2836"/>
      <c r="G2836"/>
      <c r="H2836"/>
      <c r="I2836"/>
      <c r="J2836"/>
      <c r="K2836"/>
      <c r="L2836"/>
      <c r="M2836"/>
      <c r="N2836"/>
    </row>
    <row r="2837" spans="2:14" x14ac:dyDescent="0.35">
      <c r="B2837"/>
      <c r="C2837"/>
      <c r="D2837"/>
      <c r="E2837"/>
      <c r="F2837"/>
      <c r="G2837"/>
      <c r="H2837"/>
      <c r="I2837"/>
      <c r="J2837"/>
      <c r="K2837"/>
      <c r="L2837"/>
      <c r="M2837"/>
      <c r="N2837"/>
    </row>
    <row r="2838" spans="2:14" x14ac:dyDescent="0.35">
      <c r="B2838"/>
      <c r="C2838"/>
      <c r="D2838"/>
      <c r="E2838"/>
      <c r="F2838"/>
      <c r="G2838"/>
      <c r="H2838"/>
      <c r="I2838"/>
      <c r="J2838"/>
      <c r="K2838"/>
      <c r="L2838"/>
      <c r="M2838"/>
      <c r="N2838"/>
    </row>
    <row r="2839" spans="2:14" x14ac:dyDescent="0.35">
      <c r="B2839"/>
      <c r="C2839"/>
      <c r="D2839"/>
      <c r="E2839"/>
      <c r="F2839"/>
      <c r="G2839"/>
      <c r="H2839"/>
      <c r="I2839"/>
      <c r="J2839"/>
      <c r="K2839"/>
      <c r="L2839"/>
      <c r="M2839"/>
      <c r="N2839"/>
    </row>
    <row r="2840" spans="2:14" x14ac:dyDescent="0.35">
      <c r="B2840"/>
      <c r="C2840"/>
      <c r="D2840"/>
      <c r="E2840"/>
      <c r="F2840"/>
      <c r="G2840"/>
      <c r="H2840"/>
      <c r="I2840"/>
      <c r="J2840"/>
      <c r="K2840"/>
      <c r="L2840"/>
      <c r="M2840"/>
      <c r="N2840"/>
    </row>
    <row r="2841" spans="2:14" x14ac:dyDescent="0.35">
      <c r="B2841"/>
      <c r="C2841"/>
      <c r="D2841"/>
      <c r="E2841"/>
      <c r="F2841"/>
      <c r="G2841"/>
      <c r="H2841"/>
      <c r="I2841"/>
      <c r="J2841"/>
      <c r="K2841"/>
      <c r="L2841"/>
      <c r="M2841"/>
      <c r="N2841"/>
    </row>
    <row r="2842" spans="2:14" x14ac:dyDescent="0.35">
      <c r="B2842"/>
      <c r="C2842"/>
      <c r="D2842"/>
      <c r="E2842"/>
      <c r="F2842"/>
      <c r="G2842"/>
      <c r="H2842"/>
      <c r="I2842"/>
      <c r="J2842"/>
      <c r="K2842"/>
      <c r="L2842"/>
      <c r="M2842"/>
      <c r="N2842"/>
    </row>
    <row r="2843" spans="2:14" x14ac:dyDescent="0.35">
      <c r="B2843"/>
      <c r="C2843"/>
      <c r="D2843"/>
      <c r="E2843"/>
      <c r="F2843"/>
      <c r="G2843"/>
      <c r="H2843"/>
      <c r="I2843"/>
      <c r="J2843"/>
      <c r="K2843"/>
      <c r="L2843"/>
      <c r="M2843"/>
      <c r="N2843"/>
    </row>
    <row r="2844" spans="2:14" x14ac:dyDescent="0.35">
      <c r="B2844"/>
      <c r="C2844"/>
      <c r="D2844"/>
      <c r="E2844"/>
      <c r="F2844"/>
      <c r="G2844"/>
      <c r="H2844"/>
      <c r="I2844"/>
      <c r="J2844"/>
      <c r="K2844"/>
      <c r="L2844"/>
      <c r="M2844"/>
      <c r="N2844"/>
    </row>
    <row r="2845" spans="2:14" x14ac:dyDescent="0.35">
      <c r="B2845"/>
      <c r="C2845"/>
      <c r="D2845"/>
      <c r="E2845"/>
      <c r="F2845"/>
      <c r="G2845"/>
      <c r="H2845"/>
      <c r="I2845"/>
      <c r="J2845"/>
      <c r="K2845"/>
      <c r="L2845"/>
      <c r="M2845"/>
      <c r="N2845"/>
    </row>
    <row r="2846" spans="2:14" x14ac:dyDescent="0.35">
      <c r="B2846"/>
      <c r="C2846"/>
      <c r="D2846"/>
      <c r="E2846"/>
      <c r="F2846"/>
      <c r="G2846"/>
      <c r="H2846"/>
      <c r="I2846"/>
      <c r="J2846"/>
      <c r="K2846"/>
      <c r="L2846"/>
      <c r="M2846"/>
      <c r="N2846"/>
    </row>
    <row r="2847" spans="2:14" x14ac:dyDescent="0.35">
      <c r="B2847"/>
      <c r="C2847"/>
      <c r="D2847"/>
      <c r="E2847"/>
      <c r="F2847"/>
      <c r="G2847"/>
      <c r="H2847"/>
      <c r="I2847"/>
      <c r="J2847"/>
      <c r="K2847"/>
      <c r="L2847"/>
      <c r="M2847"/>
      <c r="N2847"/>
    </row>
    <row r="2848" spans="2:14" x14ac:dyDescent="0.35">
      <c r="B2848"/>
      <c r="C2848"/>
      <c r="D2848"/>
      <c r="E2848"/>
      <c r="F2848"/>
      <c r="G2848"/>
      <c r="H2848"/>
      <c r="I2848"/>
      <c r="J2848"/>
      <c r="K2848"/>
      <c r="L2848"/>
      <c r="M2848"/>
      <c r="N2848"/>
    </row>
    <row r="2849" spans="2:14" x14ac:dyDescent="0.35">
      <c r="B2849"/>
      <c r="C2849"/>
      <c r="D2849"/>
      <c r="E2849"/>
      <c r="F2849"/>
      <c r="G2849"/>
      <c r="H2849"/>
      <c r="I2849"/>
      <c r="J2849"/>
      <c r="K2849"/>
      <c r="L2849"/>
      <c r="M2849"/>
      <c r="N2849"/>
    </row>
    <row r="2850" spans="2:14" x14ac:dyDescent="0.35">
      <c r="B2850"/>
      <c r="C2850"/>
      <c r="D2850"/>
      <c r="E2850"/>
      <c r="F2850"/>
      <c r="G2850"/>
      <c r="H2850"/>
      <c r="I2850"/>
      <c r="J2850"/>
      <c r="K2850"/>
      <c r="L2850"/>
      <c r="M2850"/>
      <c r="N2850"/>
    </row>
    <row r="2851" spans="2:14" x14ac:dyDescent="0.35">
      <c r="B2851"/>
      <c r="C2851"/>
      <c r="D2851"/>
      <c r="E2851"/>
      <c r="F2851"/>
      <c r="G2851"/>
      <c r="H2851"/>
      <c r="I2851"/>
      <c r="J2851"/>
      <c r="K2851"/>
      <c r="L2851"/>
      <c r="M2851"/>
      <c r="N2851"/>
    </row>
    <row r="2852" spans="2:14" x14ac:dyDescent="0.35">
      <c r="B2852"/>
      <c r="C2852"/>
      <c r="D2852"/>
      <c r="E2852"/>
      <c r="F2852"/>
      <c r="G2852"/>
      <c r="H2852"/>
      <c r="I2852"/>
      <c r="J2852"/>
      <c r="K2852"/>
      <c r="L2852"/>
      <c r="M2852"/>
      <c r="N2852"/>
    </row>
    <row r="2853" spans="2:14" x14ac:dyDescent="0.35">
      <c r="B2853"/>
      <c r="C2853"/>
      <c r="D2853"/>
      <c r="E2853"/>
      <c r="F2853"/>
      <c r="G2853"/>
      <c r="H2853"/>
      <c r="I2853"/>
      <c r="J2853"/>
      <c r="K2853"/>
      <c r="L2853"/>
      <c r="M2853"/>
      <c r="N2853"/>
    </row>
    <row r="2854" spans="2:14" x14ac:dyDescent="0.35">
      <c r="B2854"/>
      <c r="C2854"/>
      <c r="D2854"/>
      <c r="E2854"/>
      <c r="F2854"/>
      <c r="G2854"/>
      <c r="H2854"/>
      <c r="I2854"/>
      <c r="J2854"/>
      <c r="K2854"/>
      <c r="L2854"/>
      <c r="M2854"/>
      <c r="N2854"/>
    </row>
    <row r="2855" spans="2:14" x14ac:dyDescent="0.35">
      <c r="B2855"/>
      <c r="C2855"/>
      <c r="D2855"/>
      <c r="E2855"/>
      <c r="F2855"/>
      <c r="G2855"/>
      <c r="H2855"/>
      <c r="I2855"/>
      <c r="J2855"/>
      <c r="K2855"/>
      <c r="L2855"/>
      <c r="M2855"/>
      <c r="N2855"/>
    </row>
    <row r="2856" spans="2:14" x14ac:dyDescent="0.35">
      <c r="B2856"/>
      <c r="C2856"/>
      <c r="D2856"/>
      <c r="E2856"/>
      <c r="F2856"/>
      <c r="G2856"/>
      <c r="H2856"/>
      <c r="I2856"/>
      <c r="J2856"/>
      <c r="K2856"/>
      <c r="L2856"/>
      <c r="M2856"/>
      <c r="N2856"/>
    </row>
    <row r="2857" spans="2:14" x14ac:dyDescent="0.35">
      <c r="B2857"/>
      <c r="C2857"/>
      <c r="D2857"/>
      <c r="E2857"/>
      <c r="F2857"/>
      <c r="G2857"/>
      <c r="H2857"/>
      <c r="I2857"/>
      <c r="J2857"/>
      <c r="K2857"/>
      <c r="L2857"/>
      <c r="M2857"/>
      <c r="N2857"/>
    </row>
    <row r="2858" spans="2:14" x14ac:dyDescent="0.35">
      <c r="B2858"/>
      <c r="C2858"/>
      <c r="D2858"/>
      <c r="E2858"/>
      <c r="F2858"/>
      <c r="G2858"/>
      <c r="H2858"/>
      <c r="I2858"/>
      <c r="J2858"/>
      <c r="K2858"/>
      <c r="L2858"/>
      <c r="M2858"/>
      <c r="N2858"/>
    </row>
    <row r="2859" spans="2:14" x14ac:dyDescent="0.35">
      <c r="B2859"/>
      <c r="C2859"/>
      <c r="D2859"/>
      <c r="E2859"/>
      <c r="F2859"/>
      <c r="G2859"/>
      <c r="H2859"/>
      <c r="I2859"/>
      <c r="J2859"/>
      <c r="K2859"/>
      <c r="L2859"/>
      <c r="M2859"/>
      <c r="N2859"/>
    </row>
    <row r="2860" spans="2:14" x14ac:dyDescent="0.35">
      <c r="B2860"/>
      <c r="C2860"/>
      <c r="D2860"/>
      <c r="E2860"/>
      <c r="F2860"/>
      <c r="G2860"/>
      <c r="H2860"/>
      <c r="I2860"/>
      <c r="J2860"/>
      <c r="K2860"/>
      <c r="L2860"/>
      <c r="M2860"/>
      <c r="N2860"/>
    </row>
    <row r="2861" spans="2:14" x14ac:dyDescent="0.35">
      <c r="B2861"/>
      <c r="C2861"/>
      <c r="D2861"/>
      <c r="E2861"/>
      <c r="F2861"/>
      <c r="G2861"/>
      <c r="H2861"/>
      <c r="I2861"/>
      <c r="J2861"/>
      <c r="K2861"/>
      <c r="L2861"/>
      <c r="M2861"/>
      <c r="N2861"/>
    </row>
    <row r="2862" spans="2:14" x14ac:dyDescent="0.35">
      <c r="B2862"/>
      <c r="C2862"/>
      <c r="D2862"/>
      <c r="E2862"/>
      <c r="F2862"/>
      <c r="G2862"/>
      <c r="H2862"/>
      <c r="I2862"/>
      <c r="J2862"/>
      <c r="K2862"/>
      <c r="L2862"/>
      <c r="M2862"/>
      <c r="N2862"/>
    </row>
    <row r="2863" spans="2:14" x14ac:dyDescent="0.35">
      <c r="B2863"/>
      <c r="C2863"/>
      <c r="D2863"/>
      <c r="E2863"/>
      <c r="F2863"/>
      <c r="G2863"/>
      <c r="H2863"/>
      <c r="I2863"/>
      <c r="J2863"/>
      <c r="K2863"/>
      <c r="L2863"/>
      <c r="M2863"/>
      <c r="N2863"/>
    </row>
    <row r="2864" spans="2:14" x14ac:dyDescent="0.35">
      <c r="B2864"/>
      <c r="C2864"/>
      <c r="D2864"/>
      <c r="E2864"/>
      <c r="F2864"/>
      <c r="G2864"/>
      <c r="H2864"/>
      <c r="I2864"/>
      <c r="J2864"/>
      <c r="K2864"/>
      <c r="L2864"/>
      <c r="M2864"/>
      <c r="N2864"/>
    </row>
    <row r="2865" spans="2:14" x14ac:dyDescent="0.35">
      <c r="B2865"/>
      <c r="C2865"/>
      <c r="D2865"/>
      <c r="E2865"/>
      <c r="F2865"/>
      <c r="G2865"/>
      <c r="H2865"/>
      <c r="I2865"/>
      <c r="J2865"/>
      <c r="K2865"/>
      <c r="L2865"/>
      <c r="M2865"/>
      <c r="N2865"/>
    </row>
    <row r="2866" spans="2:14" x14ac:dyDescent="0.35">
      <c r="B2866"/>
      <c r="C2866"/>
      <c r="D2866"/>
      <c r="E2866"/>
      <c r="F2866"/>
      <c r="G2866"/>
      <c r="H2866"/>
      <c r="I2866"/>
      <c r="J2866"/>
      <c r="K2866"/>
      <c r="L2866"/>
      <c r="M2866"/>
      <c r="N2866"/>
    </row>
    <row r="2867" spans="2:14" x14ac:dyDescent="0.35">
      <c r="B2867"/>
      <c r="C2867"/>
      <c r="D2867"/>
      <c r="E2867"/>
      <c r="F2867"/>
      <c r="G2867"/>
      <c r="H2867"/>
      <c r="I2867"/>
      <c r="J2867"/>
      <c r="K2867"/>
      <c r="L2867"/>
      <c r="M2867"/>
      <c r="N2867"/>
    </row>
    <row r="2868" spans="2:14" x14ac:dyDescent="0.35">
      <c r="B2868"/>
      <c r="C2868"/>
      <c r="D2868"/>
      <c r="E2868"/>
      <c r="F2868"/>
      <c r="G2868"/>
      <c r="H2868"/>
      <c r="I2868"/>
      <c r="J2868"/>
      <c r="K2868"/>
      <c r="L2868"/>
      <c r="M2868"/>
      <c r="N2868"/>
    </row>
    <row r="2869" spans="2:14" x14ac:dyDescent="0.35">
      <c r="B2869"/>
      <c r="C2869"/>
      <c r="D2869"/>
      <c r="E2869"/>
      <c r="F2869"/>
      <c r="G2869"/>
      <c r="H2869"/>
      <c r="I2869"/>
      <c r="J2869"/>
      <c r="K2869"/>
      <c r="L2869"/>
      <c r="M2869"/>
      <c r="N2869"/>
    </row>
    <row r="2870" spans="2:14" x14ac:dyDescent="0.35">
      <c r="B2870"/>
      <c r="C2870"/>
      <c r="D2870"/>
      <c r="E2870"/>
      <c r="F2870"/>
      <c r="G2870"/>
      <c r="H2870"/>
      <c r="I2870"/>
      <c r="J2870"/>
      <c r="K2870"/>
      <c r="L2870"/>
      <c r="M2870"/>
      <c r="N2870"/>
    </row>
    <row r="2871" spans="2:14" x14ac:dyDescent="0.35">
      <c r="B2871"/>
      <c r="C2871"/>
      <c r="D2871"/>
      <c r="E2871"/>
      <c r="F2871"/>
      <c r="G2871"/>
      <c r="H2871"/>
      <c r="I2871"/>
      <c r="J2871"/>
      <c r="K2871"/>
      <c r="L2871"/>
      <c r="M2871"/>
      <c r="N2871"/>
    </row>
    <row r="2872" spans="2:14" x14ac:dyDescent="0.35">
      <c r="B2872"/>
      <c r="C2872"/>
      <c r="D2872"/>
      <c r="E2872"/>
      <c r="F2872"/>
      <c r="G2872"/>
      <c r="H2872"/>
      <c r="I2872"/>
      <c r="J2872"/>
      <c r="K2872"/>
      <c r="L2872"/>
      <c r="M2872"/>
      <c r="N2872"/>
    </row>
    <row r="2873" spans="2:14" x14ac:dyDescent="0.35">
      <c r="B2873"/>
      <c r="C2873"/>
      <c r="D2873"/>
      <c r="E2873"/>
      <c r="F2873"/>
      <c r="G2873"/>
      <c r="H2873"/>
      <c r="I2873"/>
      <c r="J2873"/>
      <c r="K2873"/>
      <c r="L2873"/>
      <c r="M2873"/>
      <c r="N2873"/>
    </row>
    <row r="2874" spans="2:14" x14ac:dyDescent="0.35">
      <c r="B2874"/>
      <c r="C2874"/>
      <c r="D2874"/>
      <c r="E2874"/>
      <c r="F2874"/>
      <c r="G2874"/>
      <c r="H2874"/>
      <c r="I2874"/>
      <c r="J2874"/>
      <c r="K2874"/>
      <c r="L2874"/>
      <c r="M2874"/>
      <c r="N2874"/>
    </row>
    <row r="2875" spans="2:14" x14ac:dyDescent="0.35">
      <c r="B2875"/>
      <c r="C2875"/>
      <c r="D2875"/>
      <c r="E2875"/>
      <c r="F2875"/>
      <c r="G2875"/>
      <c r="H2875"/>
      <c r="I2875"/>
      <c r="J2875"/>
      <c r="K2875"/>
      <c r="L2875"/>
      <c r="M2875"/>
      <c r="N2875"/>
    </row>
    <row r="2876" spans="2:14" x14ac:dyDescent="0.35">
      <c r="B2876"/>
      <c r="C2876"/>
      <c r="D2876"/>
      <c r="E2876"/>
      <c r="F2876"/>
      <c r="G2876"/>
      <c r="H2876"/>
      <c r="I2876"/>
      <c r="J2876"/>
      <c r="K2876"/>
      <c r="L2876"/>
      <c r="M2876"/>
      <c r="N2876"/>
    </row>
    <row r="2877" spans="2:14" x14ac:dyDescent="0.35">
      <c r="B2877"/>
      <c r="C2877"/>
      <c r="D2877"/>
      <c r="E2877"/>
      <c r="F2877"/>
      <c r="G2877"/>
      <c r="H2877"/>
      <c r="I2877"/>
      <c r="J2877"/>
      <c r="K2877"/>
      <c r="L2877"/>
      <c r="M2877"/>
      <c r="N2877"/>
    </row>
    <row r="2878" spans="2:14" x14ac:dyDescent="0.35">
      <c r="B2878"/>
      <c r="C2878"/>
      <c r="D2878"/>
      <c r="E2878"/>
      <c r="F2878"/>
      <c r="G2878"/>
      <c r="H2878"/>
      <c r="I2878"/>
      <c r="J2878"/>
      <c r="K2878"/>
      <c r="L2878"/>
      <c r="M2878"/>
      <c r="N2878"/>
    </row>
    <row r="2879" spans="2:14" x14ac:dyDescent="0.35">
      <c r="B2879"/>
      <c r="C2879"/>
      <c r="D2879"/>
      <c r="E2879"/>
      <c r="F2879"/>
      <c r="G2879"/>
      <c r="H2879"/>
      <c r="I2879"/>
      <c r="J2879"/>
      <c r="K2879"/>
      <c r="L2879"/>
      <c r="M2879"/>
      <c r="N2879"/>
    </row>
    <row r="2880" spans="2:14" x14ac:dyDescent="0.35">
      <c r="B2880"/>
      <c r="C2880"/>
      <c r="D2880"/>
      <c r="E2880"/>
      <c r="F2880"/>
      <c r="G2880"/>
      <c r="H2880"/>
      <c r="I2880"/>
      <c r="J2880"/>
      <c r="K2880"/>
      <c r="L2880"/>
      <c r="M2880"/>
      <c r="N2880"/>
    </row>
    <row r="2881" spans="2:14" x14ac:dyDescent="0.35">
      <c r="B2881"/>
      <c r="C2881"/>
      <c r="D2881"/>
      <c r="E2881"/>
      <c r="F2881"/>
      <c r="G2881"/>
      <c r="H2881"/>
      <c r="I2881"/>
      <c r="J2881"/>
      <c r="K2881"/>
      <c r="L2881"/>
      <c r="M2881"/>
      <c r="N2881"/>
    </row>
    <row r="2882" spans="2:14" x14ac:dyDescent="0.35">
      <c r="B2882"/>
      <c r="C2882"/>
      <c r="D2882"/>
      <c r="E2882"/>
      <c r="F2882"/>
      <c r="G2882"/>
      <c r="H2882"/>
      <c r="I2882"/>
      <c r="J2882"/>
      <c r="K2882"/>
      <c r="L2882"/>
      <c r="M2882"/>
      <c r="N2882"/>
    </row>
    <row r="2883" spans="2:14" x14ac:dyDescent="0.35">
      <c r="B2883"/>
      <c r="C2883"/>
      <c r="D2883"/>
      <c r="E2883"/>
      <c r="F2883"/>
      <c r="G2883"/>
      <c r="H2883"/>
      <c r="I2883"/>
      <c r="J2883"/>
      <c r="K2883"/>
      <c r="L2883"/>
      <c r="M2883"/>
      <c r="N2883"/>
    </row>
    <row r="2884" spans="2:14" x14ac:dyDescent="0.35">
      <c r="B2884"/>
      <c r="C2884"/>
      <c r="D2884"/>
      <c r="E2884"/>
      <c r="F2884"/>
      <c r="G2884"/>
      <c r="H2884"/>
      <c r="I2884"/>
      <c r="J2884"/>
      <c r="K2884"/>
      <c r="L2884"/>
      <c r="M2884"/>
      <c r="N2884"/>
    </row>
    <row r="2885" spans="2:14" x14ac:dyDescent="0.35">
      <c r="B2885"/>
      <c r="C2885"/>
      <c r="D2885"/>
      <c r="E2885"/>
      <c r="F2885"/>
      <c r="G2885"/>
      <c r="H2885"/>
      <c r="I2885"/>
      <c r="J2885"/>
      <c r="K2885"/>
      <c r="L2885"/>
      <c r="M2885"/>
      <c r="N2885"/>
    </row>
    <row r="2886" spans="2:14" x14ac:dyDescent="0.35">
      <c r="B2886"/>
      <c r="C2886"/>
      <c r="D2886"/>
      <c r="E2886"/>
      <c r="F2886"/>
      <c r="G2886"/>
      <c r="H2886"/>
      <c r="I2886"/>
      <c r="J2886"/>
      <c r="K2886"/>
      <c r="L2886"/>
      <c r="M2886"/>
      <c r="N2886"/>
    </row>
    <row r="2887" spans="2:14" x14ac:dyDescent="0.35">
      <c r="B2887"/>
      <c r="C2887"/>
      <c r="D2887"/>
      <c r="E2887"/>
      <c r="F2887"/>
      <c r="G2887"/>
      <c r="H2887"/>
      <c r="I2887"/>
      <c r="J2887"/>
      <c r="K2887"/>
      <c r="L2887"/>
      <c r="M2887"/>
      <c r="N2887"/>
    </row>
    <row r="2888" spans="2:14" x14ac:dyDescent="0.35">
      <c r="B2888"/>
      <c r="C2888"/>
      <c r="D2888"/>
      <c r="E2888"/>
      <c r="F2888"/>
      <c r="G2888"/>
      <c r="H2888"/>
      <c r="I2888"/>
      <c r="J2888"/>
      <c r="K2888"/>
      <c r="L2888"/>
      <c r="M2888"/>
      <c r="N2888"/>
    </row>
    <row r="2889" spans="2:14" x14ac:dyDescent="0.35">
      <c r="B2889"/>
      <c r="C2889"/>
      <c r="D2889"/>
      <c r="E2889"/>
      <c r="F2889"/>
      <c r="G2889"/>
      <c r="H2889"/>
      <c r="I2889"/>
      <c r="J2889"/>
      <c r="K2889"/>
      <c r="L2889"/>
      <c r="M2889"/>
      <c r="N2889"/>
    </row>
    <row r="2890" spans="2:14" x14ac:dyDescent="0.35">
      <c r="B2890"/>
      <c r="C2890"/>
      <c r="D2890"/>
      <c r="E2890"/>
      <c r="F2890"/>
      <c r="G2890"/>
      <c r="H2890"/>
      <c r="I2890"/>
      <c r="J2890"/>
      <c r="K2890"/>
      <c r="L2890"/>
      <c r="M2890"/>
      <c r="N2890"/>
    </row>
    <row r="2891" spans="2:14" x14ac:dyDescent="0.35">
      <c r="B2891"/>
      <c r="C2891"/>
      <c r="D2891"/>
      <c r="E2891"/>
      <c r="F2891"/>
      <c r="G2891"/>
      <c r="H2891"/>
      <c r="I2891"/>
      <c r="J2891"/>
      <c r="K2891"/>
      <c r="L2891"/>
      <c r="M2891"/>
      <c r="N2891"/>
    </row>
    <row r="2892" spans="2:14" x14ac:dyDescent="0.35">
      <c r="B2892"/>
      <c r="C2892"/>
      <c r="D2892"/>
      <c r="E2892"/>
      <c r="F2892"/>
      <c r="G2892"/>
      <c r="H2892"/>
      <c r="I2892"/>
      <c r="J2892"/>
      <c r="K2892"/>
      <c r="L2892"/>
      <c r="M2892"/>
      <c r="N2892"/>
    </row>
    <row r="2893" spans="2:14" x14ac:dyDescent="0.35">
      <c r="B2893"/>
      <c r="C2893"/>
      <c r="D2893"/>
      <c r="E2893"/>
      <c r="F2893"/>
      <c r="G2893"/>
      <c r="H2893"/>
      <c r="I2893"/>
      <c r="J2893"/>
      <c r="K2893"/>
      <c r="L2893"/>
      <c r="M2893"/>
      <c r="N2893"/>
    </row>
    <row r="2894" spans="2:14" x14ac:dyDescent="0.35">
      <c r="B2894"/>
      <c r="C2894"/>
      <c r="D2894"/>
      <c r="E2894"/>
      <c r="F2894"/>
      <c r="G2894"/>
      <c r="H2894"/>
      <c r="I2894"/>
      <c r="J2894"/>
      <c r="K2894"/>
      <c r="L2894"/>
      <c r="M2894"/>
      <c r="N2894"/>
    </row>
    <row r="2895" spans="2:14" x14ac:dyDescent="0.35">
      <c r="B2895"/>
      <c r="C2895"/>
      <c r="D2895"/>
      <c r="E2895"/>
      <c r="F2895"/>
      <c r="G2895"/>
      <c r="H2895"/>
      <c r="I2895"/>
      <c r="J2895"/>
      <c r="K2895"/>
      <c r="L2895"/>
      <c r="M2895"/>
      <c r="N2895"/>
    </row>
    <row r="2896" spans="2:14" x14ac:dyDescent="0.35">
      <c r="B2896"/>
      <c r="C2896"/>
      <c r="D2896"/>
      <c r="E2896"/>
      <c r="F2896"/>
      <c r="G2896"/>
      <c r="H2896"/>
      <c r="I2896"/>
      <c r="J2896"/>
      <c r="K2896"/>
      <c r="L2896"/>
      <c r="M2896"/>
      <c r="N2896"/>
    </row>
    <row r="2897" spans="2:14" x14ac:dyDescent="0.35">
      <c r="B2897"/>
      <c r="C2897"/>
      <c r="D2897"/>
      <c r="E2897"/>
      <c r="F2897"/>
      <c r="G2897"/>
      <c r="H2897"/>
      <c r="I2897"/>
      <c r="J2897"/>
      <c r="K2897"/>
      <c r="L2897"/>
      <c r="M2897"/>
      <c r="N2897"/>
    </row>
    <row r="2898" spans="2:14" x14ac:dyDescent="0.35">
      <c r="B2898"/>
      <c r="C2898"/>
      <c r="D2898"/>
      <c r="E2898"/>
      <c r="F2898"/>
      <c r="G2898"/>
      <c r="H2898"/>
      <c r="I2898"/>
      <c r="J2898"/>
      <c r="K2898"/>
      <c r="L2898"/>
      <c r="M2898"/>
      <c r="N2898"/>
    </row>
    <row r="2899" spans="2:14" x14ac:dyDescent="0.35">
      <c r="B2899"/>
      <c r="C2899"/>
      <c r="D2899"/>
      <c r="E2899"/>
      <c r="F2899"/>
      <c r="G2899"/>
      <c r="H2899"/>
      <c r="I2899"/>
      <c r="J2899"/>
      <c r="K2899"/>
      <c r="L2899"/>
      <c r="M2899"/>
      <c r="N2899"/>
    </row>
    <row r="2900" spans="2:14" x14ac:dyDescent="0.35">
      <c r="B2900"/>
      <c r="C2900"/>
      <c r="D2900"/>
      <c r="E2900"/>
      <c r="F2900"/>
      <c r="G2900"/>
      <c r="H2900"/>
      <c r="I2900"/>
      <c r="J2900"/>
      <c r="K2900"/>
      <c r="L2900"/>
      <c r="M2900"/>
      <c r="N2900"/>
    </row>
    <row r="2901" spans="2:14" x14ac:dyDescent="0.35">
      <c r="B2901"/>
      <c r="C2901"/>
      <c r="D2901"/>
      <c r="E2901"/>
      <c r="F2901"/>
      <c r="G2901"/>
      <c r="H2901"/>
      <c r="I2901"/>
      <c r="J2901"/>
      <c r="K2901"/>
      <c r="L2901"/>
      <c r="M2901"/>
      <c r="N2901"/>
    </row>
    <row r="2902" spans="2:14" x14ac:dyDescent="0.35">
      <c r="B2902"/>
      <c r="C2902"/>
      <c r="D2902"/>
      <c r="E2902"/>
      <c r="F2902"/>
      <c r="G2902"/>
      <c r="H2902"/>
      <c r="I2902"/>
      <c r="J2902"/>
      <c r="K2902"/>
      <c r="L2902"/>
      <c r="M2902"/>
      <c r="N2902"/>
    </row>
    <row r="2903" spans="2:14" x14ac:dyDescent="0.35">
      <c r="B2903"/>
      <c r="C2903"/>
      <c r="D2903"/>
      <c r="E2903"/>
      <c r="F2903"/>
      <c r="G2903"/>
      <c r="H2903"/>
      <c r="I2903"/>
      <c r="J2903"/>
      <c r="K2903"/>
      <c r="L2903"/>
      <c r="M2903"/>
      <c r="N2903"/>
    </row>
    <row r="2904" spans="2:14" x14ac:dyDescent="0.35">
      <c r="B2904"/>
      <c r="C2904"/>
      <c r="D2904"/>
      <c r="E2904"/>
      <c r="F2904"/>
      <c r="G2904"/>
      <c r="H2904"/>
      <c r="I2904"/>
      <c r="J2904"/>
      <c r="K2904"/>
      <c r="L2904"/>
      <c r="M2904"/>
      <c r="N2904"/>
    </row>
    <row r="2905" spans="2:14" x14ac:dyDescent="0.35">
      <c r="B2905"/>
      <c r="C2905"/>
      <c r="D2905"/>
      <c r="E2905"/>
      <c r="F2905"/>
      <c r="G2905"/>
      <c r="H2905"/>
      <c r="I2905"/>
      <c r="J2905"/>
      <c r="K2905"/>
      <c r="L2905"/>
      <c r="M2905"/>
      <c r="N2905"/>
    </row>
    <row r="2906" spans="2:14" x14ac:dyDescent="0.35">
      <c r="B2906"/>
      <c r="C2906"/>
      <c r="D2906"/>
      <c r="E2906"/>
      <c r="F2906"/>
      <c r="G2906"/>
      <c r="H2906"/>
      <c r="I2906"/>
      <c r="J2906"/>
      <c r="K2906"/>
      <c r="L2906"/>
      <c r="M2906"/>
      <c r="N2906"/>
    </row>
    <row r="2907" spans="2:14" x14ac:dyDescent="0.35">
      <c r="B2907"/>
      <c r="C2907"/>
      <c r="D2907"/>
      <c r="E2907"/>
      <c r="F2907"/>
      <c r="G2907"/>
      <c r="H2907"/>
      <c r="I2907"/>
      <c r="J2907"/>
      <c r="K2907"/>
      <c r="L2907"/>
      <c r="M2907"/>
      <c r="N2907"/>
    </row>
    <row r="2908" spans="2:14" x14ac:dyDescent="0.35">
      <c r="B2908"/>
      <c r="C2908"/>
      <c r="D2908"/>
      <c r="E2908"/>
      <c r="F2908"/>
      <c r="G2908"/>
      <c r="H2908"/>
      <c r="I2908"/>
      <c r="J2908"/>
      <c r="K2908"/>
      <c r="L2908"/>
      <c r="M2908"/>
      <c r="N2908"/>
    </row>
    <row r="2909" spans="2:14" x14ac:dyDescent="0.35">
      <c r="B2909"/>
      <c r="C2909"/>
      <c r="D2909"/>
      <c r="E2909"/>
      <c r="F2909"/>
      <c r="G2909"/>
      <c r="H2909"/>
      <c r="I2909"/>
      <c r="J2909"/>
      <c r="K2909"/>
      <c r="L2909"/>
      <c r="M2909"/>
      <c r="N2909"/>
    </row>
    <row r="2910" spans="2:14" x14ac:dyDescent="0.35">
      <c r="B2910"/>
      <c r="C2910"/>
      <c r="D2910"/>
      <c r="E2910"/>
      <c r="F2910"/>
      <c r="G2910"/>
      <c r="H2910"/>
      <c r="I2910"/>
      <c r="J2910"/>
      <c r="K2910"/>
      <c r="L2910"/>
      <c r="M2910"/>
      <c r="N2910"/>
    </row>
    <row r="2911" spans="2:14" x14ac:dyDescent="0.35">
      <c r="B2911"/>
      <c r="C2911"/>
      <c r="D2911"/>
      <c r="E2911"/>
      <c r="F2911"/>
      <c r="G2911"/>
      <c r="H2911"/>
      <c r="I2911"/>
      <c r="J2911"/>
      <c r="K2911"/>
      <c r="L2911"/>
      <c r="M2911"/>
      <c r="N2911"/>
    </row>
    <row r="2912" spans="2:14" x14ac:dyDescent="0.35">
      <c r="B2912"/>
      <c r="C2912"/>
      <c r="D2912"/>
      <c r="E2912"/>
      <c r="F2912"/>
      <c r="G2912"/>
      <c r="H2912"/>
      <c r="I2912"/>
      <c r="J2912"/>
      <c r="K2912"/>
      <c r="L2912"/>
      <c r="M2912"/>
      <c r="N2912"/>
    </row>
    <row r="2913" spans="2:14" x14ac:dyDescent="0.35">
      <c r="B2913"/>
      <c r="C2913"/>
      <c r="D2913"/>
      <c r="E2913"/>
      <c r="F2913"/>
      <c r="G2913"/>
      <c r="H2913"/>
      <c r="I2913"/>
      <c r="J2913"/>
      <c r="K2913"/>
      <c r="L2913"/>
      <c r="M2913"/>
      <c r="N2913"/>
    </row>
    <row r="2914" spans="2:14" x14ac:dyDescent="0.35">
      <c r="B2914"/>
      <c r="C2914"/>
      <c r="D2914"/>
      <c r="E2914"/>
      <c r="F2914"/>
      <c r="G2914"/>
      <c r="H2914"/>
      <c r="I2914"/>
      <c r="J2914"/>
      <c r="K2914"/>
      <c r="L2914"/>
      <c r="M2914"/>
      <c r="N2914"/>
    </row>
    <row r="2915" spans="2:14" x14ac:dyDescent="0.35">
      <c r="B2915"/>
      <c r="C2915"/>
      <c r="D2915"/>
      <c r="E2915"/>
      <c r="F2915"/>
      <c r="G2915"/>
      <c r="H2915"/>
      <c r="I2915"/>
      <c r="J2915"/>
      <c r="K2915"/>
      <c r="L2915"/>
      <c r="M2915"/>
      <c r="N2915"/>
    </row>
    <row r="2916" spans="2:14" x14ac:dyDescent="0.35">
      <c r="B2916"/>
      <c r="C2916"/>
      <c r="D2916"/>
      <c r="E2916"/>
      <c r="F2916"/>
      <c r="G2916"/>
      <c r="H2916"/>
      <c r="I2916"/>
      <c r="J2916"/>
      <c r="K2916"/>
      <c r="L2916"/>
      <c r="M2916"/>
      <c r="N2916"/>
    </row>
    <row r="2917" spans="2:14" x14ac:dyDescent="0.35">
      <c r="B2917"/>
      <c r="C2917"/>
      <c r="D2917"/>
      <c r="E2917"/>
      <c r="F2917"/>
      <c r="G2917"/>
      <c r="H2917"/>
      <c r="I2917"/>
      <c r="J2917"/>
      <c r="K2917"/>
      <c r="L2917"/>
      <c r="M2917"/>
      <c r="N2917"/>
    </row>
    <row r="2918" spans="2:14" x14ac:dyDescent="0.35">
      <c r="B2918"/>
      <c r="C2918"/>
      <c r="D2918"/>
      <c r="E2918"/>
      <c r="F2918"/>
      <c r="G2918"/>
      <c r="H2918"/>
      <c r="I2918"/>
      <c r="J2918"/>
      <c r="K2918"/>
      <c r="L2918"/>
      <c r="M2918"/>
      <c r="N2918"/>
    </row>
    <row r="2919" spans="2:14" x14ac:dyDescent="0.35">
      <c r="B2919"/>
      <c r="C2919"/>
      <c r="D2919"/>
      <c r="E2919"/>
      <c r="F2919"/>
      <c r="G2919"/>
      <c r="H2919"/>
      <c r="I2919"/>
      <c r="J2919"/>
      <c r="K2919"/>
      <c r="L2919"/>
      <c r="M2919"/>
      <c r="N2919"/>
    </row>
    <row r="2920" spans="2:14" x14ac:dyDescent="0.35">
      <c r="B2920"/>
      <c r="C2920"/>
      <c r="D2920"/>
      <c r="E2920"/>
      <c r="F2920"/>
      <c r="G2920"/>
      <c r="H2920"/>
      <c r="I2920"/>
      <c r="J2920"/>
      <c r="K2920"/>
      <c r="L2920"/>
      <c r="M2920"/>
      <c r="N2920"/>
    </row>
    <row r="2921" spans="2:14" x14ac:dyDescent="0.35">
      <c r="B2921"/>
      <c r="C2921"/>
      <c r="D2921"/>
      <c r="E2921"/>
      <c r="F2921"/>
      <c r="G2921"/>
      <c r="H2921"/>
      <c r="I2921"/>
      <c r="J2921"/>
      <c r="K2921"/>
      <c r="L2921"/>
      <c r="M2921"/>
      <c r="N2921"/>
    </row>
    <row r="2922" spans="2:14" x14ac:dyDescent="0.35">
      <c r="B2922"/>
      <c r="C2922"/>
      <c r="D2922"/>
      <c r="E2922"/>
      <c r="F2922"/>
      <c r="G2922"/>
      <c r="H2922"/>
      <c r="I2922"/>
      <c r="J2922"/>
      <c r="K2922"/>
      <c r="L2922"/>
      <c r="M2922"/>
      <c r="N2922"/>
    </row>
    <row r="2923" spans="2:14" x14ac:dyDescent="0.35">
      <c r="B2923"/>
      <c r="C2923"/>
      <c r="D2923"/>
      <c r="E2923"/>
      <c r="F2923"/>
      <c r="G2923"/>
      <c r="H2923"/>
      <c r="I2923"/>
      <c r="J2923"/>
      <c r="K2923"/>
      <c r="L2923"/>
      <c r="M2923"/>
      <c r="N2923"/>
    </row>
    <row r="2924" spans="2:14" x14ac:dyDescent="0.35">
      <c r="B2924"/>
      <c r="C2924"/>
      <c r="D2924"/>
      <c r="E2924"/>
      <c r="F2924"/>
      <c r="G2924"/>
      <c r="H2924"/>
      <c r="I2924"/>
      <c r="J2924"/>
      <c r="K2924"/>
      <c r="L2924"/>
      <c r="M2924"/>
      <c r="N2924"/>
    </row>
    <row r="2925" spans="2:14" x14ac:dyDescent="0.35">
      <c r="B2925"/>
      <c r="C2925"/>
      <c r="D2925"/>
      <c r="E2925"/>
      <c r="F2925"/>
      <c r="G2925"/>
      <c r="H2925"/>
      <c r="I2925"/>
      <c r="J2925"/>
      <c r="K2925"/>
      <c r="L2925"/>
      <c r="M2925"/>
      <c r="N2925"/>
    </row>
    <row r="2926" spans="2:14" x14ac:dyDescent="0.35">
      <c r="B2926"/>
      <c r="C2926"/>
      <c r="D2926"/>
      <c r="E2926"/>
      <c r="F2926"/>
      <c r="G2926"/>
      <c r="H2926"/>
      <c r="I2926"/>
      <c r="J2926"/>
      <c r="K2926"/>
      <c r="L2926"/>
      <c r="M2926"/>
      <c r="N2926"/>
    </row>
    <row r="2927" spans="2:14" x14ac:dyDescent="0.35">
      <c r="B2927"/>
      <c r="C2927"/>
      <c r="D2927"/>
      <c r="E2927"/>
      <c r="F2927"/>
      <c r="G2927"/>
      <c r="H2927"/>
      <c r="I2927"/>
      <c r="J2927"/>
      <c r="K2927"/>
      <c r="L2927"/>
      <c r="M2927"/>
      <c r="N2927"/>
    </row>
    <row r="2928" spans="2:14" x14ac:dyDescent="0.35">
      <c r="B2928"/>
      <c r="C2928"/>
      <c r="D2928"/>
      <c r="E2928"/>
      <c r="F2928"/>
      <c r="G2928"/>
      <c r="H2928"/>
      <c r="I2928"/>
      <c r="J2928"/>
      <c r="K2928"/>
      <c r="L2928"/>
      <c r="M2928"/>
      <c r="N2928"/>
    </row>
    <row r="2929" spans="2:14" x14ac:dyDescent="0.35">
      <c r="B2929"/>
      <c r="C2929"/>
      <c r="D2929"/>
      <c r="E2929"/>
      <c r="F2929"/>
      <c r="G2929"/>
      <c r="H2929"/>
      <c r="I2929"/>
      <c r="J2929"/>
      <c r="K2929"/>
      <c r="L2929"/>
      <c r="M2929"/>
      <c r="N2929"/>
    </row>
    <row r="2930" spans="2:14" x14ac:dyDescent="0.35">
      <c r="B2930"/>
      <c r="C2930"/>
      <c r="D2930"/>
      <c r="E2930"/>
      <c r="F2930"/>
      <c r="G2930"/>
      <c r="H2930"/>
      <c r="I2930"/>
      <c r="J2930"/>
      <c r="K2930"/>
      <c r="L2930"/>
      <c r="M2930"/>
      <c r="N2930"/>
    </row>
    <row r="2931" spans="2:14" x14ac:dyDescent="0.35">
      <c r="B2931"/>
      <c r="C2931"/>
      <c r="D2931"/>
      <c r="E2931"/>
      <c r="F2931"/>
      <c r="G2931"/>
      <c r="H2931"/>
      <c r="I2931"/>
      <c r="J2931"/>
      <c r="K2931"/>
      <c r="L2931"/>
      <c r="M2931"/>
      <c r="N2931"/>
    </row>
    <row r="2932" spans="2:14" x14ac:dyDescent="0.35">
      <c r="B2932"/>
      <c r="C2932"/>
      <c r="D2932"/>
      <c r="E2932"/>
      <c r="F2932"/>
      <c r="G2932"/>
      <c r="H2932"/>
      <c r="I2932"/>
      <c r="J2932"/>
      <c r="K2932"/>
      <c r="L2932"/>
      <c r="M2932"/>
      <c r="N2932"/>
    </row>
    <row r="2933" spans="2:14" x14ac:dyDescent="0.35">
      <c r="B2933"/>
      <c r="C2933"/>
      <c r="D2933"/>
      <c r="E2933"/>
      <c r="F2933"/>
      <c r="G2933"/>
      <c r="H2933"/>
      <c r="I2933"/>
      <c r="J2933"/>
      <c r="K2933"/>
      <c r="L2933"/>
      <c r="M2933"/>
      <c r="N2933"/>
    </row>
    <row r="2934" spans="2:14" x14ac:dyDescent="0.35">
      <c r="B2934"/>
      <c r="C2934"/>
      <c r="D2934"/>
      <c r="E2934"/>
      <c r="F2934"/>
      <c r="G2934"/>
      <c r="H2934"/>
      <c r="I2934"/>
      <c r="J2934"/>
      <c r="K2934"/>
      <c r="L2934"/>
      <c r="M2934"/>
      <c r="N2934"/>
    </row>
    <row r="2935" spans="2:14" x14ac:dyDescent="0.35">
      <c r="B2935"/>
      <c r="C2935"/>
      <c r="D2935"/>
      <c r="E2935"/>
      <c r="F2935"/>
      <c r="G2935"/>
      <c r="H2935"/>
      <c r="I2935"/>
      <c r="J2935"/>
      <c r="K2935"/>
      <c r="L2935"/>
      <c r="M2935"/>
      <c r="N2935"/>
    </row>
    <row r="2936" spans="2:14" x14ac:dyDescent="0.35">
      <c r="B2936"/>
      <c r="C2936"/>
      <c r="D2936"/>
      <c r="E2936"/>
      <c r="F2936"/>
      <c r="G2936"/>
      <c r="H2936"/>
      <c r="I2936"/>
      <c r="J2936"/>
      <c r="K2936"/>
      <c r="L2936"/>
      <c r="M2936"/>
      <c r="N2936"/>
    </row>
    <row r="2937" spans="2:14" x14ac:dyDescent="0.35">
      <c r="B2937"/>
      <c r="C2937"/>
      <c r="D2937"/>
      <c r="E2937"/>
      <c r="F2937"/>
      <c r="G2937"/>
      <c r="H2937"/>
      <c r="I2937"/>
      <c r="J2937"/>
      <c r="K2937"/>
      <c r="L2937"/>
      <c r="M2937"/>
      <c r="N2937"/>
    </row>
    <row r="2938" spans="2:14" x14ac:dyDescent="0.35">
      <c r="B2938"/>
      <c r="C2938"/>
      <c r="D2938"/>
      <c r="E2938"/>
      <c r="F2938"/>
      <c r="G2938"/>
      <c r="H2938"/>
      <c r="I2938"/>
      <c r="J2938"/>
      <c r="K2938"/>
      <c r="L2938"/>
      <c r="M2938"/>
      <c r="N2938"/>
    </row>
    <row r="2939" spans="2:14" x14ac:dyDescent="0.35">
      <c r="B2939"/>
      <c r="C2939"/>
      <c r="D2939"/>
      <c r="E2939"/>
      <c r="F2939"/>
      <c r="G2939"/>
      <c r="H2939"/>
      <c r="I2939"/>
      <c r="J2939"/>
      <c r="K2939"/>
      <c r="L2939"/>
      <c r="M2939"/>
      <c r="N2939"/>
    </row>
    <row r="2940" spans="2:14" x14ac:dyDescent="0.35">
      <c r="B2940"/>
      <c r="C2940"/>
      <c r="D2940"/>
      <c r="E2940"/>
      <c r="F2940"/>
      <c r="G2940"/>
      <c r="H2940"/>
      <c r="I2940"/>
      <c r="J2940"/>
      <c r="K2940"/>
      <c r="L2940"/>
      <c r="M2940"/>
      <c r="N2940"/>
    </row>
    <row r="2941" spans="2:14" x14ac:dyDescent="0.35">
      <c r="B2941"/>
      <c r="C2941"/>
      <c r="D2941"/>
      <c r="E2941"/>
      <c r="F2941"/>
      <c r="G2941"/>
      <c r="H2941"/>
      <c r="I2941"/>
      <c r="J2941"/>
      <c r="K2941"/>
      <c r="L2941"/>
      <c r="M2941"/>
      <c r="N2941"/>
    </row>
    <row r="2942" spans="2:14" x14ac:dyDescent="0.35">
      <c r="B2942"/>
      <c r="C2942"/>
      <c r="D2942"/>
      <c r="E2942"/>
      <c r="F2942"/>
      <c r="G2942"/>
      <c r="H2942"/>
      <c r="I2942"/>
      <c r="J2942"/>
      <c r="K2942"/>
      <c r="L2942"/>
      <c r="M2942"/>
      <c r="N2942"/>
    </row>
    <row r="2943" spans="2:14" x14ac:dyDescent="0.35">
      <c r="B2943"/>
      <c r="C2943"/>
      <c r="D2943"/>
      <c r="E2943"/>
      <c r="F2943"/>
      <c r="G2943"/>
      <c r="H2943"/>
      <c r="I2943"/>
      <c r="J2943"/>
      <c r="K2943"/>
      <c r="L2943"/>
      <c r="M2943"/>
      <c r="N2943"/>
    </row>
    <row r="2944" spans="2:14" x14ac:dyDescent="0.35">
      <c r="B2944"/>
      <c r="C2944"/>
      <c r="D2944"/>
      <c r="E2944"/>
      <c r="F2944"/>
      <c r="G2944"/>
      <c r="H2944"/>
      <c r="I2944"/>
      <c r="J2944"/>
      <c r="K2944"/>
      <c r="L2944"/>
      <c r="M2944"/>
      <c r="N2944"/>
    </row>
    <row r="2945" spans="2:14" x14ac:dyDescent="0.35">
      <c r="B2945"/>
      <c r="C2945"/>
      <c r="D2945"/>
      <c r="E2945"/>
      <c r="F2945"/>
      <c r="G2945"/>
      <c r="H2945"/>
      <c r="I2945"/>
      <c r="J2945"/>
      <c r="K2945"/>
      <c r="L2945"/>
      <c r="M2945"/>
      <c r="N2945"/>
    </row>
    <row r="2946" spans="2:14" x14ac:dyDescent="0.35">
      <c r="B2946"/>
      <c r="C2946"/>
      <c r="D2946"/>
      <c r="E2946"/>
      <c r="F2946"/>
      <c r="G2946"/>
      <c r="H2946"/>
      <c r="I2946"/>
      <c r="J2946"/>
      <c r="K2946"/>
      <c r="L2946"/>
      <c r="M2946"/>
      <c r="N2946"/>
    </row>
    <row r="2947" spans="2:14" x14ac:dyDescent="0.35">
      <c r="B2947"/>
      <c r="C2947"/>
      <c r="D2947"/>
      <c r="E2947"/>
      <c r="F2947"/>
      <c r="G2947"/>
      <c r="H2947"/>
      <c r="I2947"/>
      <c r="J2947"/>
      <c r="K2947"/>
      <c r="L2947"/>
      <c r="M2947"/>
      <c r="N2947"/>
    </row>
    <row r="2948" spans="2:14" x14ac:dyDescent="0.35">
      <c r="B2948"/>
      <c r="C2948"/>
      <c r="D2948"/>
      <c r="E2948"/>
      <c r="F2948"/>
      <c r="G2948"/>
      <c r="H2948"/>
      <c r="I2948"/>
      <c r="J2948"/>
      <c r="K2948"/>
      <c r="L2948"/>
      <c r="M2948"/>
      <c r="N2948"/>
    </row>
    <row r="2949" spans="2:14" x14ac:dyDescent="0.35">
      <c r="B2949"/>
      <c r="C2949"/>
      <c r="D2949"/>
      <c r="E2949"/>
      <c r="F2949"/>
      <c r="G2949"/>
      <c r="H2949"/>
      <c r="I2949"/>
      <c r="J2949"/>
      <c r="K2949"/>
      <c r="L2949"/>
      <c r="M2949"/>
      <c r="N2949"/>
    </row>
    <row r="2950" spans="2:14" x14ac:dyDescent="0.35">
      <c r="B2950"/>
      <c r="C2950"/>
      <c r="D2950"/>
      <c r="E2950"/>
      <c r="F2950"/>
      <c r="G2950"/>
      <c r="H2950"/>
      <c r="I2950"/>
      <c r="J2950"/>
      <c r="K2950"/>
      <c r="L2950"/>
      <c r="M2950"/>
      <c r="N2950"/>
    </row>
    <row r="2951" spans="2:14" x14ac:dyDescent="0.35">
      <c r="B2951"/>
      <c r="C2951"/>
      <c r="D2951"/>
      <c r="E2951"/>
      <c r="F2951"/>
      <c r="G2951"/>
      <c r="H2951"/>
      <c r="I2951"/>
      <c r="J2951"/>
      <c r="K2951"/>
      <c r="L2951"/>
      <c r="M2951"/>
      <c r="N2951"/>
    </row>
    <row r="2952" spans="2:14" x14ac:dyDescent="0.35">
      <c r="B2952"/>
      <c r="C2952"/>
      <c r="D2952"/>
      <c r="E2952"/>
      <c r="F2952"/>
      <c r="G2952"/>
      <c r="H2952"/>
      <c r="I2952"/>
      <c r="J2952"/>
      <c r="K2952"/>
      <c r="L2952"/>
      <c r="M2952"/>
      <c r="N2952"/>
    </row>
    <row r="2953" spans="2:14" x14ac:dyDescent="0.35">
      <c r="B2953"/>
      <c r="C2953"/>
      <c r="D2953"/>
      <c r="E2953"/>
      <c r="F2953"/>
      <c r="G2953"/>
      <c r="H2953"/>
      <c r="I2953"/>
      <c r="J2953"/>
      <c r="K2953"/>
      <c r="L2953"/>
      <c r="M2953"/>
      <c r="N2953"/>
    </row>
    <row r="2954" spans="2:14" x14ac:dyDescent="0.35">
      <c r="B2954"/>
      <c r="C2954"/>
      <c r="D2954"/>
      <c r="E2954"/>
      <c r="F2954"/>
      <c r="G2954"/>
      <c r="H2954"/>
      <c r="I2954"/>
      <c r="J2954"/>
      <c r="K2954"/>
      <c r="L2954"/>
      <c r="M2954"/>
      <c r="N2954"/>
    </row>
    <row r="2955" spans="2:14" x14ac:dyDescent="0.35">
      <c r="B2955"/>
      <c r="C2955"/>
      <c r="D2955"/>
      <c r="E2955"/>
      <c r="F2955"/>
      <c r="G2955"/>
      <c r="H2955"/>
      <c r="I2955"/>
      <c r="J2955"/>
      <c r="K2955"/>
      <c r="L2955"/>
      <c r="M2955"/>
      <c r="N2955"/>
    </row>
    <row r="2956" spans="2:14" x14ac:dyDescent="0.35">
      <c r="B2956"/>
      <c r="C2956"/>
      <c r="D2956"/>
      <c r="E2956"/>
      <c r="F2956"/>
      <c r="G2956"/>
      <c r="H2956"/>
      <c r="I2956"/>
      <c r="J2956"/>
      <c r="K2956"/>
      <c r="L2956"/>
      <c r="M2956"/>
      <c r="N2956"/>
    </row>
    <row r="2957" spans="2:14" x14ac:dyDescent="0.35">
      <c r="B2957"/>
      <c r="C2957"/>
      <c r="D2957"/>
      <c r="E2957"/>
      <c r="F2957"/>
      <c r="G2957"/>
      <c r="H2957"/>
      <c r="I2957"/>
      <c r="J2957"/>
      <c r="K2957"/>
      <c r="L2957"/>
      <c r="M2957"/>
      <c r="N2957"/>
    </row>
    <row r="2958" spans="2:14" x14ac:dyDescent="0.35">
      <c r="B2958"/>
      <c r="C2958"/>
      <c r="D2958"/>
      <c r="E2958"/>
      <c r="F2958"/>
      <c r="G2958"/>
      <c r="H2958"/>
      <c r="I2958"/>
      <c r="J2958"/>
      <c r="K2958"/>
      <c r="L2958"/>
      <c r="M2958"/>
      <c r="N2958"/>
    </row>
    <row r="2959" spans="2:14" x14ac:dyDescent="0.35">
      <c r="B2959"/>
      <c r="C2959"/>
      <c r="D2959"/>
      <c r="E2959"/>
      <c r="F2959"/>
      <c r="G2959"/>
      <c r="H2959"/>
      <c r="I2959"/>
      <c r="J2959"/>
      <c r="K2959"/>
      <c r="L2959"/>
      <c r="M2959"/>
      <c r="N2959"/>
    </row>
    <row r="2960" spans="2:14" x14ac:dyDescent="0.35">
      <c r="B2960"/>
      <c r="C2960"/>
      <c r="D2960"/>
      <c r="E2960"/>
      <c r="F2960"/>
      <c r="G2960"/>
      <c r="H2960"/>
      <c r="I2960"/>
      <c r="J2960"/>
      <c r="K2960"/>
      <c r="L2960"/>
      <c r="M2960"/>
      <c r="N2960"/>
    </row>
    <row r="2961" spans="2:14" x14ac:dyDescent="0.35">
      <c r="B2961"/>
      <c r="C2961"/>
      <c r="D2961"/>
      <c r="E2961"/>
      <c r="F2961"/>
      <c r="G2961"/>
      <c r="H2961"/>
      <c r="I2961"/>
      <c r="J2961"/>
      <c r="K2961"/>
      <c r="L2961"/>
      <c r="M2961"/>
      <c r="N2961"/>
    </row>
    <row r="2962" spans="2:14" x14ac:dyDescent="0.35">
      <c r="B2962"/>
      <c r="C2962"/>
      <c r="D2962"/>
      <c r="E2962"/>
      <c r="F2962"/>
      <c r="G2962"/>
      <c r="H2962"/>
      <c r="I2962"/>
      <c r="J2962"/>
      <c r="K2962"/>
      <c r="L2962"/>
      <c r="M2962"/>
      <c r="N2962"/>
    </row>
    <row r="2963" spans="2:14" x14ac:dyDescent="0.35">
      <c r="B2963"/>
      <c r="C2963"/>
      <c r="D2963"/>
      <c r="E2963"/>
      <c r="F2963"/>
      <c r="G2963"/>
      <c r="H2963"/>
      <c r="I2963"/>
      <c r="J2963"/>
      <c r="K2963"/>
      <c r="L2963"/>
      <c r="M2963"/>
      <c r="N2963"/>
    </row>
    <row r="2964" spans="2:14" x14ac:dyDescent="0.35">
      <c r="B2964"/>
      <c r="C2964"/>
      <c r="D2964"/>
      <c r="E2964"/>
      <c r="F2964"/>
      <c r="G2964"/>
      <c r="H2964"/>
      <c r="I2964"/>
      <c r="J2964"/>
      <c r="K2964"/>
      <c r="L2964"/>
      <c r="M2964"/>
      <c r="N2964"/>
    </row>
    <row r="2965" spans="2:14" x14ac:dyDescent="0.35">
      <c r="B2965"/>
      <c r="C2965"/>
      <c r="D2965"/>
      <c r="E2965"/>
      <c r="F2965"/>
      <c r="G2965"/>
      <c r="H2965"/>
      <c r="I2965"/>
      <c r="J2965"/>
      <c r="K2965"/>
      <c r="L2965"/>
      <c r="M2965"/>
      <c r="N2965"/>
    </row>
    <row r="2966" spans="2:14" x14ac:dyDescent="0.35">
      <c r="B2966"/>
      <c r="C2966"/>
      <c r="D2966"/>
      <c r="E2966"/>
      <c r="F2966"/>
      <c r="G2966"/>
      <c r="H2966"/>
      <c r="I2966"/>
      <c r="J2966"/>
      <c r="K2966"/>
      <c r="L2966"/>
      <c r="M2966"/>
      <c r="N2966"/>
    </row>
    <row r="2967" spans="2:14" x14ac:dyDescent="0.35">
      <c r="B2967"/>
      <c r="C2967"/>
      <c r="D2967"/>
      <c r="E2967"/>
      <c r="F2967"/>
      <c r="G2967"/>
      <c r="H2967"/>
      <c r="I2967"/>
      <c r="J2967"/>
      <c r="K2967"/>
      <c r="L2967"/>
      <c r="M2967"/>
      <c r="N2967"/>
    </row>
    <row r="2968" spans="2:14" x14ac:dyDescent="0.35">
      <c r="B2968"/>
      <c r="C2968"/>
      <c r="D2968"/>
      <c r="E2968"/>
      <c r="F2968"/>
      <c r="G2968"/>
      <c r="H2968"/>
      <c r="I2968"/>
      <c r="J2968"/>
      <c r="K2968"/>
      <c r="L2968"/>
      <c r="M2968"/>
      <c r="N2968"/>
    </row>
    <row r="2969" spans="2:14" x14ac:dyDescent="0.35">
      <c r="B2969"/>
      <c r="C2969"/>
      <c r="D2969"/>
      <c r="E2969"/>
      <c r="F2969"/>
      <c r="G2969"/>
      <c r="H2969"/>
      <c r="I2969"/>
      <c r="J2969"/>
      <c r="K2969"/>
      <c r="L2969"/>
      <c r="M2969"/>
      <c r="N2969"/>
    </row>
    <row r="2970" spans="2:14" x14ac:dyDescent="0.35">
      <c r="B2970"/>
      <c r="C2970"/>
      <c r="D2970"/>
      <c r="E2970"/>
      <c r="F2970"/>
      <c r="G2970"/>
      <c r="H2970"/>
      <c r="I2970"/>
      <c r="J2970"/>
      <c r="K2970"/>
      <c r="L2970"/>
      <c r="M2970"/>
      <c r="N2970"/>
    </row>
    <row r="2971" spans="2:14" x14ac:dyDescent="0.35">
      <c r="B2971"/>
      <c r="C2971"/>
      <c r="D2971"/>
      <c r="E2971"/>
      <c r="F2971"/>
      <c r="G2971"/>
      <c r="H2971"/>
      <c r="I2971"/>
      <c r="J2971"/>
      <c r="K2971"/>
      <c r="L2971"/>
      <c r="M2971"/>
      <c r="N2971"/>
    </row>
    <row r="2972" spans="2:14" x14ac:dyDescent="0.35">
      <c r="B2972"/>
      <c r="C2972"/>
      <c r="D2972"/>
      <c r="E2972"/>
      <c r="F2972"/>
      <c r="G2972"/>
      <c r="H2972"/>
      <c r="I2972"/>
      <c r="J2972"/>
      <c r="K2972"/>
      <c r="L2972"/>
      <c r="M2972"/>
      <c r="N2972"/>
    </row>
    <row r="2973" spans="2:14" x14ac:dyDescent="0.35">
      <c r="B2973"/>
      <c r="C2973"/>
      <c r="D2973"/>
      <c r="E2973"/>
      <c r="F2973"/>
      <c r="G2973"/>
      <c r="H2973"/>
      <c r="I2973"/>
      <c r="J2973"/>
      <c r="K2973"/>
      <c r="L2973"/>
      <c r="M2973"/>
      <c r="N2973"/>
    </row>
    <row r="2974" spans="2:14" x14ac:dyDescent="0.35">
      <c r="B2974"/>
      <c r="C2974"/>
      <c r="D2974"/>
      <c r="E2974"/>
      <c r="F2974"/>
      <c r="G2974"/>
      <c r="H2974"/>
      <c r="I2974"/>
      <c r="J2974"/>
      <c r="K2974"/>
      <c r="L2974"/>
      <c r="M2974"/>
      <c r="N2974"/>
    </row>
    <row r="2975" spans="2:14" x14ac:dyDescent="0.35">
      <c r="B2975"/>
      <c r="C2975"/>
      <c r="D2975"/>
      <c r="E2975"/>
      <c r="F2975"/>
      <c r="G2975"/>
      <c r="H2975"/>
      <c r="I2975"/>
      <c r="J2975"/>
      <c r="K2975"/>
      <c r="L2975"/>
      <c r="M2975"/>
      <c r="N2975"/>
    </row>
    <row r="2976" spans="2:14" x14ac:dyDescent="0.35">
      <c r="B2976"/>
      <c r="C2976"/>
      <c r="D2976"/>
      <c r="E2976"/>
      <c r="F2976"/>
      <c r="G2976"/>
      <c r="H2976"/>
      <c r="I2976"/>
      <c r="J2976"/>
      <c r="K2976"/>
      <c r="L2976"/>
      <c r="M2976"/>
      <c r="N2976"/>
    </row>
    <row r="2977" spans="2:14" x14ac:dyDescent="0.35">
      <c r="B2977"/>
      <c r="C2977"/>
      <c r="D2977"/>
      <c r="E2977"/>
      <c r="F2977"/>
      <c r="G2977"/>
      <c r="H2977"/>
      <c r="I2977"/>
      <c r="J2977"/>
      <c r="K2977"/>
      <c r="L2977"/>
      <c r="M2977"/>
      <c r="N2977"/>
    </row>
    <row r="2978" spans="2:14" x14ac:dyDescent="0.35">
      <c r="B2978"/>
      <c r="C2978"/>
      <c r="D2978"/>
      <c r="E2978"/>
      <c r="F2978"/>
      <c r="G2978"/>
      <c r="H2978"/>
      <c r="I2978"/>
      <c r="J2978"/>
      <c r="K2978"/>
      <c r="L2978"/>
      <c r="M2978"/>
      <c r="N2978"/>
    </row>
    <row r="2979" spans="2:14" x14ac:dyDescent="0.35">
      <c r="B2979"/>
      <c r="C2979"/>
      <c r="D2979"/>
      <c r="E2979"/>
      <c r="F2979"/>
      <c r="G2979"/>
      <c r="H2979"/>
      <c r="I2979"/>
      <c r="J2979"/>
      <c r="K2979"/>
      <c r="L2979"/>
      <c r="M2979"/>
      <c r="N2979"/>
    </row>
    <row r="2980" spans="2:14" x14ac:dyDescent="0.35">
      <c r="B2980"/>
      <c r="C2980"/>
      <c r="D2980"/>
      <c r="E2980"/>
      <c r="F2980"/>
      <c r="G2980"/>
      <c r="H2980"/>
      <c r="I2980"/>
      <c r="J2980"/>
      <c r="K2980"/>
      <c r="L2980"/>
      <c r="M2980"/>
      <c r="N2980"/>
    </row>
    <row r="2981" spans="2:14" x14ac:dyDescent="0.35">
      <c r="B2981"/>
      <c r="C2981"/>
      <c r="D2981"/>
      <c r="E2981"/>
      <c r="F2981"/>
      <c r="G2981"/>
      <c r="H2981"/>
      <c r="I2981"/>
      <c r="J2981"/>
      <c r="K2981"/>
      <c r="L2981"/>
      <c r="M2981"/>
      <c r="N2981"/>
    </row>
    <row r="2982" spans="2:14" x14ac:dyDescent="0.35">
      <c r="B2982"/>
      <c r="C2982"/>
      <c r="D2982"/>
      <c r="E2982"/>
      <c r="F2982"/>
      <c r="G2982"/>
      <c r="H2982"/>
      <c r="I2982"/>
      <c r="J2982"/>
      <c r="K2982"/>
      <c r="L2982"/>
      <c r="M2982"/>
      <c r="N2982"/>
    </row>
    <row r="2983" spans="2:14" x14ac:dyDescent="0.35">
      <c r="B2983"/>
      <c r="C2983"/>
      <c r="D2983"/>
      <c r="E2983"/>
      <c r="F2983"/>
      <c r="G2983"/>
      <c r="H2983"/>
      <c r="I2983"/>
      <c r="J2983"/>
      <c r="K2983"/>
      <c r="L2983"/>
      <c r="M2983"/>
      <c r="N2983"/>
    </row>
    <row r="2984" spans="2:14" x14ac:dyDescent="0.35">
      <c r="B2984"/>
      <c r="C2984"/>
      <c r="D2984"/>
      <c r="E2984"/>
      <c r="F2984"/>
      <c r="G2984"/>
      <c r="H2984"/>
      <c r="I2984"/>
      <c r="J2984"/>
      <c r="K2984"/>
      <c r="L2984"/>
      <c r="M2984"/>
      <c r="N2984"/>
    </row>
    <row r="2985" spans="2:14" x14ac:dyDescent="0.35">
      <c r="B2985"/>
      <c r="C2985"/>
      <c r="D2985"/>
      <c r="E2985"/>
      <c r="F2985"/>
      <c r="G2985"/>
      <c r="H2985"/>
      <c r="I2985"/>
      <c r="J2985"/>
      <c r="K2985"/>
      <c r="L2985"/>
      <c r="M2985"/>
      <c r="N2985"/>
    </row>
    <row r="2986" spans="2:14" x14ac:dyDescent="0.35">
      <c r="B2986"/>
      <c r="C2986"/>
      <c r="D2986"/>
      <c r="E2986"/>
      <c r="F2986"/>
      <c r="G2986"/>
      <c r="H2986"/>
      <c r="I2986"/>
      <c r="J2986"/>
      <c r="K2986"/>
      <c r="L2986"/>
      <c r="M2986"/>
      <c r="N2986"/>
    </row>
    <row r="2987" spans="2:14" x14ac:dyDescent="0.35">
      <c r="B2987"/>
      <c r="C2987"/>
      <c r="D2987"/>
      <c r="E2987"/>
      <c r="F2987"/>
      <c r="G2987"/>
      <c r="H2987"/>
      <c r="I2987"/>
      <c r="J2987"/>
      <c r="K2987"/>
      <c r="L2987"/>
      <c r="M2987"/>
      <c r="N2987"/>
    </row>
    <row r="2988" spans="2:14" x14ac:dyDescent="0.35">
      <c r="B2988"/>
      <c r="C2988"/>
      <c r="D2988"/>
      <c r="E2988"/>
      <c r="F2988"/>
      <c r="G2988"/>
      <c r="H2988"/>
      <c r="I2988"/>
      <c r="J2988"/>
      <c r="K2988"/>
      <c r="L2988"/>
      <c r="M2988"/>
      <c r="N2988"/>
    </row>
    <row r="2989" spans="2:14" x14ac:dyDescent="0.35">
      <c r="B2989"/>
      <c r="C2989"/>
      <c r="D2989"/>
      <c r="E2989"/>
      <c r="F2989"/>
      <c r="G2989"/>
      <c r="H2989"/>
      <c r="I2989"/>
      <c r="J2989"/>
      <c r="K2989"/>
      <c r="L2989"/>
      <c r="M2989"/>
      <c r="N2989"/>
    </row>
    <row r="2990" spans="2:14" x14ac:dyDescent="0.35">
      <c r="B2990"/>
      <c r="C2990"/>
      <c r="D2990"/>
      <c r="E2990"/>
      <c r="F2990"/>
      <c r="G2990"/>
      <c r="H2990"/>
      <c r="I2990"/>
      <c r="J2990"/>
      <c r="K2990"/>
      <c r="L2990"/>
      <c r="M2990"/>
      <c r="N2990"/>
    </row>
    <row r="2991" spans="2:14" x14ac:dyDescent="0.35">
      <c r="B2991"/>
      <c r="C2991"/>
      <c r="D2991"/>
      <c r="E2991"/>
      <c r="F2991"/>
      <c r="G2991"/>
      <c r="H2991"/>
      <c r="I2991"/>
      <c r="J2991"/>
      <c r="K2991"/>
      <c r="L2991"/>
      <c r="M2991"/>
      <c r="N2991"/>
    </row>
    <row r="2992" spans="2:14" x14ac:dyDescent="0.35">
      <c r="B2992"/>
      <c r="C2992"/>
      <c r="D2992"/>
      <c r="E2992"/>
      <c r="F2992"/>
      <c r="G2992"/>
      <c r="H2992"/>
      <c r="I2992"/>
      <c r="J2992"/>
      <c r="K2992"/>
      <c r="L2992"/>
      <c r="M2992"/>
      <c r="N2992"/>
    </row>
    <row r="2993" spans="2:14" x14ac:dyDescent="0.35">
      <c r="B2993"/>
      <c r="C2993"/>
      <c r="D2993"/>
      <c r="E2993"/>
      <c r="F2993"/>
      <c r="G2993"/>
      <c r="H2993"/>
      <c r="I2993"/>
      <c r="J2993"/>
      <c r="K2993"/>
      <c r="L2993"/>
      <c r="M2993"/>
      <c r="N2993"/>
    </row>
    <row r="2994" spans="2:14" x14ac:dyDescent="0.35">
      <c r="B2994"/>
      <c r="C2994"/>
      <c r="D2994"/>
      <c r="E2994"/>
      <c r="F2994"/>
      <c r="G2994"/>
      <c r="H2994"/>
      <c r="I2994"/>
      <c r="J2994"/>
      <c r="K2994"/>
      <c r="L2994"/>
      <c r="M2994"/>
      <c r="N2994"/>
    </row>
    <row r="2995" spans="2:14" x14ac:dyDescent="0.35">
      <c r="B2995"/>
      <c r="C2995"/>
      <c r="D2995"/>
      <c r="E2995"/>
      <c r="F2995"/>
      <c r="G2995"/>
      <c r="H2995"/>
      <c r="I2995"/>
      <c r="J2995"/>
      <c r="K2995"/>
      <c r="L2995"/>
      <c r="M2995"/>
      <c r="N2995"/>
    </row>
    <row r="2996" spans="2:14" x14ac:dyDescent="0.35">
      <c r="B2996"/>
      <c r="C2996"/>
      <c r="D2996"/>
      <c r="E2996"/>
      <c r="F2996"/>
      <c r="G2996"/>
      <c r="H2996"/>
      <c r="I2996"/>
      <c r="J2996"/>
      <c r="K2996"/>
      <c r="L2996"/>
      <c r="M2996"/>
      <c r="N2996"/>
    </row>
    <row r="2997" spans="2:14" x14ac:dyDescent="0.35">
      <c r="B2997"/>
      <c r="C2997"/>
      <c r="D2997"/>
      <c r="E2997"/>
      <c r="F2997"/>
      <c r="G2997"/>
      <c r="H2997"/>
      <c r="I2997"/>
      <c r="J2997"/>
      <c r="K2997"/>
      <c r="L2997"/>
      <c r="M2997"/>
      <c r="N2997"/>
    </row>
    <row r="2998" spans="2:14" x14ac:dyDescent="0.35">
      <c r="B2998"/>
      <c r="C2998"/>
      <c r="D2998"/>
      <c r="E2998"/>
      <c r="F2998"/>
      <c r="G2998"/>
      <c r="H2998"/>
      <c r="I2998"/>
      <c r="J2998"/>
      <c r="K2998"/>
      <c r="L2998"/>
      <c r="M2998"/>
      <c r="N2998"/>
    </row>
    <row r="2999" spans="2:14" x14ac:dyDescent="0.35">
      <c r="B2999"/>
      <c r="C2999"/>
      <c r="D2999"/>
      <c r="E2999"/>
      <c r="F2999"/>
      <c r="G2999"/>
      <c r="H2999"/>
      <c r="I2999"/>
      <c r="J2999"/>
      <c r="K2999"/>
      <c r="L2999"/>
      <c r="M2999"/>
      <c r="N2999"/>
    </row>
    <row r="3000" spans="2:14" x14ac:dyDescent="0.35">
      <c r="B3000"/>
      <c r="C3000"/>
      <c r="D3000"/>
      <c r="E3000"/>
      <c r="F3000"/>
      <c r="G3000"/>
      <c r="H3000"/>
      <c r="I3000"/>
      <c r="J3000"/>
      <c r="K3000"/>
      <c r="L3000"/>
      <c r="M3000"/>
      <c r="N3000"/>
    </row>
    <row r="3001" spans="2:14" x14ac:dyDescent="0.35">
      <c r="B3001"/>
      <c r="C3001"/>
      <c r="D3001"/>
      <c r="E3001"/>
      <c r="F3001"/>
      <c r="G3001"/>
      <c r="H3001"/>
      <c r="I3001"/>
      <c r="J3001"/>
      <c r="K3001"/>
      <c r="L3001"/>
      <c r="M3001"/>
      <c r="N3001"/>
    </row>
    <row r="3002" spans="2:14" x14ac:dyDescent="0.35">
      <c r="B3002"/>
      <c r="C3002"/>
      <c r="D3002"/>
      <c r="E3002"/>
      <c r="F3002"/>
      <c r="G3002"/>
      <c r="H3002"/>
      <c r="I3002"/>
      <c r="J3002"/>
      <c r="K3002"/>
      <c r="L3002"/>
      <c r="M3002"/>
      <c r="N3002"/>
    </row>
    <row r="3003" spans="2:14" x14ac:dyDescent="0.35">
      <c r="B3003"/>
      <c r="C3003"/>
      <c r="D3003"/>
      <c r="E3003"/>
      <c r="F3003"/>
      <c r="G3003"/>
      <c r="H3003"/>
      <c r="I3003"/>
      <c r="J3003"/>
      <c r="K3003"/>
      <c r="L3003"/>
      <c r="M3003"/>
      <c r="N3003"/>
    </row>
    <row r="3004" spans="2:14" x14ac:dyDescent="0.35">
      <c r="B3004"/>
      <c r="C3004"/>
      <c r="D3004"/>
      <c r="E3004"/>
      <c r="F3004"/>
      <c r="G3004"/>
      <c r="H3004"/>
      <c r="I3004"/>
      <c r="J3004"/>
      <c r="K3004"/>
      <c r="L3004"/>
      <c r="M3004"/>
      <c r="N3004"/>
    </row>
    <row r="3005" spans="2:14" x14ac:dyDescent="0.35">
      <c r="B3005"/>
      <c r="C3005"/>
      <c r="D3005"/>
      <c r="E3005"/>
      <c r="F3005"/>
      <c r="G3005"/>
      <c r="H3005"/>
      <c r="I3005"/>
      <c r="J3005"/>
      <c r="K3005"/>
      <c r="L3005"/>
      <c r="M3005"/>
      <c r="N3005"/>
    </row>
    <row r="3006" spans="2:14" x14ac:dyDescent="0.35">
      <c r="B3006"/>
      <c r="C3006"/>
      <c r="D3006"/>
      <c r="E3006"/>
      <c r="F3006"/>
      <c r="G3006"/>
      <c r="H3006"/>
      <c r="I3006"/>
      <c r="J3006"/>
      <c r="K3006"/>
      <c r="L3006"/>
      <c r="M3006"/>
      <c r="N3006"/>
    </row>
    <row r="3007" spans="2:14" x14ac:dyDescent="0.35">
      <c r="B3007"/>
      <c r="C3007"/>
      <c r="D3007"/>
      <c r="E3007"/>
      <c r="F3007"/>
      <c r="G3007"/>
      <c r="H3007"/>
      <c r="I3007"/>
      <c r="J3007"/>
      <c r="K3007"/>
      <c r="L3007"/>
      <c r="M3007"/>
      <c r="N3007"/>
    </row>
    <row r="3008" spans="2:14" x14ac:dyDescent="0.35">
      <c r="B3008"/>
      <c r="C3008"/>
      <c r="D3008"/>
      <c r="E3008"/>
      <c r="F3008"/>
      <c r="G3008"/>
      <c r="H3008"/>
      <c r="I3008"/>
      <c r="J3008"/>
      <c r="K3008"/>
      <c r="L3008"/>
      <c r="M3008"/>
      <c r="N3008"/>
    </row>
    <row r="3009" spans="2:14" x14ac:dyDescent="0.35">
      <c r="B3009"/>
      <c r="C3009"/>
      <c r="D3009"/>
      <c r="E3009"/>
      <c r="F3009"/>
      <c r="G3009"/>
      <c r="H3009"/>
      <c r="I3009"/>
      <c r="J3009"/>
      <c r="K3009"/>
      <c r="L3009"/>
      <c r="M3009"/>
      <c r="N3009"/>
    </row>
    <row r="3010" spans="2:14" x14ac:dyDescent="0.35">
      <c r="B3010"/>
      <c r="C3010"/>
      <c r="D3010"/>
      <c r="E3010"/>
      <c r="F3010"/>
      <c r="G3010"/>
      <c r="H3010"/>
      <c r="I3010"/>
      <c r="J3010"/>
      <c r="K3010"/>
      <c r="L3010"/>
      <c r="M3010"/>
      <c r="N3010"/>
    </row>
    <row r="3011" spans="2:14" x14ac:dyDescent="0.35">
      <c r="B3011"/>
      <c r="C3011"/>
      <c r="D3011"/>
      <c r="E3011"/>
      <c r="F3011"/>
      <c r="G3011"/>
      <c r="H3011"/>
      <c r="I3011"/>
      <c r="J3011"/>
      <c r="K3011"/>
      <c r="L3011"/>
      <c r="M3011"/>
      <c r="N3011"/>
    </row>
    <row r="3012" spans="2:14" x14ac:dyDescent="0.35">
      <c r="B3012"/>
      <c r="C3012"/>
      <c r="D3012"/>
      <c r="E3012"/>
      <c r="F3012"/>
      <c r="G3012"/>
      <c r="H3012"/>
      <c r="I3012"/>
      <c r="J3012"/>
      <c r="K3012"/>
      <c r="L3012"/>
      <c r="M3012"/>
      <c r="N3012"/>
    </row>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2361-15A1-4877-BC5C-32169D0D04D5}">
  <sheetPr codeName="Sheet18"/>
  <dimension ref="A1:AF3193"/>
  <sheetViews>
    <sheetView showGridLines="0" topLeftCell="D1117" workbookViewId="0">
      <selection activeCell="F1137" sqref="F1137"/>
    </sheetView>
  </sheetViews>
  <sheetFormatPr defaultRowHeight="14.5" x14ac:dyDescent="0.35"/>
  <cols>
    <col min="2" max="2" width="23.54296875" bestFit="1" customWidth="1"/>
    <col min="3" max="3" width="18.54296875" bestFit="1" customWidth="1"/>
    <col min="4" max="5" width="18.54296875" customWidth="1"/>
    <col min="6" max="13" width="9.1796875" style="6"/>
  </cols>
  <sheetData>
    <row r="1" spans="1:20" ht="15" customHeight="1" x14ac:dyDescent="0.35">
      <c r="A1" s="36" t="s">
        <v>53</v>
      </c>
      <c r="B1" s="36"/>
      <c r="C1" s="36"/>
      <c r="D1" s="36"/>
      <c r="E1" s="36"/>
      <c r="F1" s="36"/>
      <c r="G1" s="36"/>
      <c r="H1" s="36"/>
      <c r="I1" s="36"/>
      <c r="J1" s="36"/>
      <c r="K1" s="36"/>
      <c r="L1" s="36"/>
      <c r="M1" s="36"/>
    </row>
    <row r="2" spans="1:20" ht="15" customHeight="1" x14ac:dyDescent="0.35">
      <c r="A2" s="36"/>
      <c r="B2" s="36"/>
      <c r="C2" s="36"/>
      <c r="D2" s="36"/>
      <c r="E2" s="36"/>
      <c r="F2" s="36"/>
      <c r="G2" s="36"/>
      <c r="H2" s="36"/>
      <c r="I2" s="36"/>
      <c r="J2" s="36"/>
      <c r="K2" s="36"/>
      <c r="L2" s="36"/>
      <c r="M2" s="36"/>
    </row>
    <row r="3" spans="1:20" ht="15" customHeight="1" x14ac:dyDescent="0.35">
      <c r="A3" s="36"/>
      <c r="B3" s="36"/>
      <c r="C3" s="36"/>
      <c r="D3" s="36"/>
      <c r="E3" s="36"/>
      <c r="F3" s="36"/>
      <c r="G3" s="36"/>
      <c r="H3" s="36"/>
      <c r="I3" s="36"/>
      <c r="J3" s="36"/>
      <c r="K3" s="36"/>
      <c r="L3" s="36"/>
      <c r="M3" s="36"/>
    </row>
    <row r="4" spans="1:20" x14ac:dyDescent="0.35">
      <c r="F4"/>
      <c r="G4"/>
      <c r="H4"/>
      <c r="I4"/>
      <c r="J4"/>
      <c r="K4"/>
      <c r="L4"/>
      <c r="M4"/>
    </row>
    <row r="5" spans="1:20" x14ac:dyDescent="0.35">
      <c r="A5" s="15">
        <f>COUNTA(A6:A9660)+5</f>
        <v>1136</v>
      </c>
      <c r="B5" s="9" t="s">
        <v>22</v>
      </c>
      <c r="F5"/>
      <c r="G5"/>
      <c r="H5"/>
      <c r="I5"/>
      <c r="J5"/>
      <c r="K5"/>
      <c r="L5"/>
      <c r="M5"/>
    </row>
    <row r="6" spans="1:20" x14ac:dyDescent="0.35">
      <c r="A6" s="16" t="s">
        <v>14</v>
      </c>
      <c r="B6" s="5" t="s">
        <v>17</v>
      </c>
      <c r="C6" s="5" t="s">
        <v>18</v>
      </c>
      <c r="D6" s="5" t="s">
        <v>46</v>
      </c>
      <c r="E6" s="5" t="s">
        <v>58</v>
      </c>
      <c r="F6" s="5">
        <v>2021</v>
      </c>
      <c r="G6" s="5">
        <f>F6+1</f>
        <v>2022</v>
      </c>
      <c r="H6" s="5">
        <f t="shared" ref="H6" si="0">G6+1</f>
        <v>2023</v>
      </c>
      <c r="I6" s="5">
        <f t="shared" ref="I6" si="1">H6+1</f>
        <v>2024</v>
      </c>
      <c r="J6" s="5">
        <f t="shared" ref="J6" si="2">I6+1</f>
        <v>2025</v>
      </c>
      <c r="K6" s="5">
        <f t="shared" ref="K6" si="3">J6+1</f>
        <v>2026</v>
      </c>
      <c r="L6" s="5">
        <f t="shared" ref="L6" si="4">K6+1</f>
        <v>2027</v>
      </c>
      <c r="M6" s="5">
        <f t="shared" ref="M6" si="5">L6+1</f>
        <v>2028</v>
      </c>
      <c r="N6" s="5">
        <f t="shared" ref="N6" si="6">M6+1</f>
        <v>2029</v>
      </c>
      <c r="O6" s="5">
        <f t="shared" ref="O6" si="7">N6+1</f>
        <v>2030</v>
      </c>
      <c r="P6" s="5">
        <f t="shared" ref="P6" si="8">O6+1</f>
        <v>2031</v>
      </c>
      <c r="Q6" s="5">
        <f t="shared" ref="Q6" si="9">P6+1</f>
        <v>2032</v>
      </c>
      <c r="R6" s="5">
        <f t="shared" ref="R6" si="10">Q6+1</f>
        <v>2033</v>
      </c>
    </row>
    <row r="7" spans="1:20" x14ac:dyDescent="0.35">
      <c r="A7" s="17" t="s">
        <v>13</v>
      </c>
      <c r="B7" s="17" t="s">
        <v>54</v>
      </c>
      <c r="C7" s="13" t="s">
        <v>55</v>
      </c>
      <c r="D7" s="13" t="s">
        <v>55</v>
      </c>
      <c r="E7" s="13" t="s">
        <v>55</v>
      </c>
      <c r="F7" s="14">
        <v>471.39703848446436</v>
      </c>
      <c r="G7" s="14">
        <v>523.61073370756071</v>
      </c>
      <c r="H7" s="14">
        <v>582.20915467182863</v>
      </c>
      <c r="I7" s="14">
        <v>647.5798183738018</v>
      </c>
      <c r="J7" s="14">
        <v>720.31049383180402</v>
      </c>
      <c r="K7" s="14">
        <v>801.12594751693837</v>
      </c>
      <c r="L7" s="14">
        <v>892.06902040047339</v>
      </c>
      <c r="M7" s="14">
        <v>995.0856508711164</v>
      </c>
      <c r="N7" s="14">
        <v>1111.9687064566376</v>
      </c>
      <c r="O7" s="14">
        <v>1244.2167954603378</v>
      </c>
      <c r="P7" s="14">
        <v>1392.4475075764517</v>
      </c>
      <c r="Q7" s="14">
        <v>1557.110619733603</v>
      </c>
      <c r="R7" s="14">
        <v>1739.7353428027982</v>
      </c>
    </row>
    <row r="8" spans="1:20" x14ac:dyDescent="0.35">
      <c r="A8" s="17" t="s">
        <v>13</v>
      </c>
      <c r="B8" s="17" t="s">
        <v>54</v>
      </c>
      <c r="C8" s="13" t="s">
        <v>56</v>
      </c>
      <c r="D8" s="13" t="s">
        <v>56</v>
      </c>
      <c r="E8" s="13" t="s">
        <v>56</v>
      </c>
      <c r="F8" s="14">
        <v>1251.8093373154652</v>
      </c>
      <c r="G8" s="14">
        <v>1358.5981325951527</v>
      </c>
      <c r="H8" s="14">
        <v>1476.2703858315929</v>
      </c>
      <c r="I8" s="14">
        <v>1605.1257135396577</v>
      </c>
      <c r="J8" s="14">
        <v>1745.056196738816</v>
      </c>
      <c r="K8" s="14">
        <v>1897.5763706095661</v>
      </c>
      <c r="L8" s="14">
        <v>2065.5034911787484</v>
      </c>
      <c r="M8" s="14">
        <v>2251.6182618322446</v>
      </c>
      <c r="N8" s="14">
        <v>2457.8300712646078</v>
      </c>
      <c r="O8" s="14">
        <v>2685.7667114183328</v>
      </c>
      <c r="P8" s="14">
        <v>2934.9138058594972</v>
      </c>
      <c r="Q8" s="14">
        <v>3204.7077568891937</v>
      </c>
      <c r="R8" s="14">
        <v>3496.856851290886</v>
      </c>
      <c r="S8" s="22"/>
      <c r="T8" s="22"/>
    </row>
    <row r="9" spans="1:20" x14ac:dyDescent="0.35">
      <c r="A9" s="17" t="s">
        <v>13</v>
      </c>
      <c r="B9" s="17" t="s">
        <v>54</v>
      </c>
      <c r="C9" s="13" t="s">
        <v>57</v>
      </c>
      <c r="D9" s="13" t="s">
        <v>57</v>
      </c>
      <c r="E9" s="13" t="s">
        <v>57</v>
      </c>
      <c r="F9" s="14">
        <v>3054.1142073964102</v>
      </c>
      <c r="G9" s="14">
        <v>3279.5191056503663</v>
      </c>
      <c r="H9" s="14">
        <v>3521.0501121898474</v>
      </c>
      <c r="I9" s="14">
        <v>3781.7919294435264</v>
      </c>
      <c r="J9" s="14">
        <v>4066.2879094293794</v>
      </c>
      <c r="K9" s="14">
        <v>4380.2868938341453</v>
      </c>
      <c r="L9" s="14">
        <v>4729.5625828774755</v>
      </c>
      <c r="M9" s="14">
        <v>5115.6666328822485</v>
      </c>
      <c r="N9" s="14">
        <v>5536.1340432503057</v>
      </c>
      <c r="O9" s="14">
        <v>5991.9913981971431</v>
      </c>
      <c r="P9" s="14">
        <v>6483.6432633334607</v>
      </c>
      <c r="Q9" s="14">
        <v>7012.105421695288</v>
      </c>
      <c r="R9" s="14">
        <v>7578.0420189213073</v>
      </c>
      <c r="S9" s="22"/>
      <c r="T9" s="22"/>
    </row>
    <row r="10" spans="1:20" x14ac:dyDescent="0.35">
      <c r="A10" s="17" t="s">
        <v>13</v>
      </c>
      <c r="B10" s="17" t="s">
        <v>59</v>
      </c>
      <c r="C10" s="18" t="s">
        <v>60</v>
      </c>
      <c r="D10" s="38" t="s">
        <v>61</v>
      </c>
      <c r="E10" s="39" t="s">
        <v>62</v>
      </c>
      <c r="F10" s="22">
        <v>183.38780786658307</v>
      </c>
      <c r="G10" s="22">
        <v>203.8951479587528</v>
      </c>
      <c r="H10" s="22">
        <v>226.98748215048286</v>
      </c>
      <c r="I10" s="22">
        <v>252.84259708651373</v>
      </c>
      <c r="J10" s="22">
        <v>281.56136827060453</v>
      </c>
      <c r="K10" s="22">
        <v>313.63203795111201</v>
      </c>
      <c r="L10" s="22">
        <v>349.66071947657878</v>
      </c>
      <c r="M10" s="22">
        <v>390.4583075302636</v>
      </c>
      <c r="N10" s="22">
        <v>436.64891786055625</v>
      </c>
      <c r="O10" s="22">
        <v>488.7508207434999</v>
      </c>
      <c r="P10" s="22">
        <v>547.10092324469588</v>
      </c>
      <c r="Q10" s="22">
        <v>611.87752481217467</v>
      </c>
      <c r="R10" s="22">
        <v>683.78389411420142</v>
      </c>
      <c r="S10" s="22"/>
      <c r="T10" s="22"/>
    </row>
    <row r="11" spans="1:20" x14ac:dyDescent="0.35">
      <c r="A11" s="17" t="s">
        <v>13</v>
      </c>
      <c r="B11" s="17" t="s">
        <v>59</v>
      </c>
      <c r="C11" s="18" t="s">
        <v>60</v>
      </c>
      <c r="D11" s="38" t="s">
        <v>61</v>
      </c>
      <c r="E11" s="39" t="s">
        <v>63</v>
      </c>
      <c r="F11" s="22">
        <v>330.22596582626579</v>
      </c>
      <c r="G11" s="22">
        <v>358.6701992782908</v>
      </c>
      <c r="H11" s="22">
        <v>389.30875170390192</v>
      </c>
      <c r="I11" s="22">
        <v>422.53177296734401</v>
      </c>
      <c r="J11" s="22">
        <v>458.98527263050482</v>
      </c>
      <c r="K11" s="22">
        <v>499.46768197160935</v>
      </c>
      <c r="L11" s="22">
        <v>544.87817037609568</v>
      </c>
      <c r="M11" s="22">
        <v>595.51054287289185</v>
      </c>
      <c r="N11" s="22">
        <v>651.1975766844929</v>
      </c>
      <c r="O11" s="22">
        <v>712.23778389429617</v>
      </c>
      <c r="P11" s="22">
        <v>778.95374324352565</v>
      </c>
      <c r="Q11" s="22">
        <v>851.71907848909984</v>
      </c>
      <c r="R11" s="22">
        <v>930.71842284914294</v>
      </c>
      <c r="S11" s="22"/>
      <c r="T11" s="22"/>
    </row>
    <row r="12" spans="1:20" x14ac:dyDescent="0.35">
      <c r="A12" s="17" t="s">
        <v>13</v>
      </c>
      <c r="B12" s="17" t="s">
        <v>59</v>
      </c>
      <c r="C12" s="18" t="s">
        <v>60</v>
      </c>
      <c r="D12" s="38" t="s">
        <v>61</v>
      </c>
      <c r="E12" s="39" t="s">
        <v>64</v>
      </c>
      <c r="F12" s="22">
        <v>459.85904922898555</v>
      </c>
      <c r="G12" s="22">
        <v>493.73324970532366</v>
      </c>
      <c r="H12" s="22">
        <v>527.04781321621886</v>
      </c>
      <c r="I12" s="22">
        <v>561.71525133228101</v>
      </c>
      <c r="J12" s="22">
        <v>601.22923036001123</v>
      </c>
      <c r="K12" s="22">
        <v>646.1040100866627</v>
      </c>
      <c r="L12" s="22">
        <v>697.90389715202423</v>
      </c>
      <c r="M12" s="22">
        <v>754.1479201970219</v>
      </c>
      <c r="N12" s="22">
        <v>812.03288304815362</v>
      </c>
      <c r="O12" s="22">
        <v>872.44042383977569</v>
      </c>
      <c r="P12" s="22">
        <v>934.72528661661715</v>
      </c>
      <c r="Q12" s="22">
        <v>999.73126280036126</v>
      </c>
      <c r="R12" s="22">
        <v>1066.5495546670188</v>
      </c>
      <c r="S12" s="22"/>
      <c r="T12" s="22"/>
    </row>
    <row r="13" spans="1:20" x14ac:dyDescent="0.35">
      <c r="A13" s="17" t="s">
        <v>13</v>
      </c>
      <c r="B13" s="17" t="s">
        <v>59</v>
      </c>
      <c r="C13" s="18" t="s">
        <v>60</v>
      </c>
      <c r="D13" s="38" t="s">
        <v>65</v>
      </c>
      <c r="E13" s="38" t="s">
        <v>65</v>
      </c>
      <c r="F13" s="41">
        <v>866.70342430768812</v>
      </c>
      <c r="G13" s="41">
        <v>934.88301040303179</v>
      </c>
      <c r="H13" s="41">
        <v>1009.9930544789097</v>
      </c>
      <c r="I13" s="41">
        <v>1091.8861014851343</v>
      </c>
      <c r="J13" s="41">
        <v>1180.0998393542404</v>
      </c>
      <c r="K13" s="41">
        <v>1275.9015968609035</v>
      </c>
      <c r="L13" s="41">
        <v>1380.7239284460422</v>
      </c>
      <c r="M13" s="41">
        <v>1496.7978149600565</v>
      </c>
      <c r="N13" s="41">
        <v>1625.2379943361991</v>
      </c>
      <c r="O13" s="41">
        <v>1766.0696501144805</v>
      </c>
      <c r="P13" s="41">
        <v>1918.9311421625473</v>
      </c>
      <c r="Q13" s="41">
        <v>2082.9642082706082</v>
      </c>
      <c r="R13" s="41">
        <v>2259.0615112918517</v>
      </c>
      <c r="S13" s="22"/>
      <c r="T13" s="22"/>
    </row>
    <row r="14" spans="1:20" x14ac:dyDescent="0.35">
      <c r="A14" s="17" t="s">
        <v>13</v>
      </c>
      <c r="B14" s="17" t="s">
        <v>59</v>
      </c>
      <c r="C14" s="18" t="s">
        <v>60</v>
      </c>
      <c r="D14" s="38" t="s">
        <v>66</v>
      </c>
      <c r="E14" s="38" t="s">
        <v>66</v>
      </c>
      <c r="F14" s="41">
        <v>545.29035125287714</v>
      </c>
      <c r="G14" s="41">
        <v>585.13893461158443</v>
      </c>
      <c r="H14" s="41">
        <v>628.16137103299104</v>
      </c>
      <c r="I14" s="41">
        <v>674.33055780684901</v>
      </c>
      <c r="J14" s="41">
        <v>723.61025934984093</v>
      </c>
      <c r="K14" s="41">
        <v>777.08779157824688</v>
      </c>
      <c r="L14" s="41">
        <v>835.80296666089134</v>
      </c>
      <c r="M14" s="41">
        <v>900.66945433499654</v>
      </c>
      <c r="N14" s="41">
        <v>971.73228519818451</v>
      </c>
      <c r="O14" s="41">
        <v>1049.0559437019253</v>
      </c>
      <c r="P14" s="41">
        <v>1132.4705546145985</v>
      </c>
      <c r="Q14" s="41">
        <v>1221.7491827220801</v>
      </c>
      <c r="R14" s="41">
        <v>1317.3253322835039</v>
      </c>
      <c r="S14" s="22"/>
      <c r="T14" s="22"/>
    </row>
    <row r="15" spans="1:20" x14ac:dyDescent="0.35">
      <c r="A15" s="17" t="s">
        <v>13</v>
      </c>
      <c r="B15" s="17" t="s">
        <v>59</v>
      </c>
      <c r="C15" s="18" t="s">
        <v>60</v>
      </c>
      <c r="D15" s="38" t="s">
        <v>67</v>
      </c>
      <c r="E15" s="38" t="s">
        <v>67</v>
      </c>
      <c r="F15" s="41">
        <v>354.76241550537321</v>
      </c>
      <c r="G15" s="41">
        <v>377.65823363886011</v>
      </c>
      <c r="H15" s="41">
        <v>402.35394451942534</v>
      </c>
      <c r="I15" s="41">
        <v>428.88638053115511</v>
      </c>
      <c r="J15" s="41">
        <v>457.17141977143353</v>
      </c>
      <c r="K15" s="41">
        <v>487.71844389664955</v>
      </c>
      <c r="L15" s="41">
        <v>520.99322093894261</v>
      </c>
      <c r="M15" s="41">
        <v>557.4800391043425</v>
      </c>
      <c r="N15" s="41">
        <v>597.20899356655434</v>
      </c>
      <c r="O15" s="41">
        <v>640.21251814327866</v>
      </c>
      <c r="P15" s="41">
        <v>686.27209891541736</v>
      </c>
      <c r="Q15" s="41">
        <v>735.04856315224811</v>
      </c>
      <c r="R15" s="41">
        <v>786.69322446750823</v>
      </c>
      <c r="S15" s="22"/>
      <c r="T15" s="22"/>
    </row>
    <row r="16" spans="1:20" x14ac:dyDescent="0.35">
      <c r="A16" s="17" t="s">
        <v>13</v>
      </c>
      <c r="B16" s="17" t="s">
        <v>59</v>
      </c>
      <c r="C16" s="18" t="s">
        <v>60</v>
      </c>
      <c r="D16" s="38" t="s">
        <v>68</v>
      </c>
      <c r="E16" s="38" t="s">
        <v>68</v>
      </c>
      <c r="F16" s="41">
        <v>584.94460289798997</v>
      </c>
      <c r="G16" s="41">
        <v>637.81812457825754</v>
      </c>
      <c r="H16" s="41">
        <v>696.15991603290763</v>
      </c>
      <c r="I16" s="41">
        <v>760.94219784719292</v>
      </c>
      <c r="J16" s="41">
        <v>832.9292891364463</v>
      </c>
      <c r="K16" s="41">
        <v>913.25425070380879</v>
      </c>
      <c r="L16" s="41">
        <v>1002.8689201326689</v>
      </c>
      <c r="M16" s="41">
        <v>1102.4034761134055</v>
      </c>
      <c r="N16" s="41">
        <v>1212.1262213204527</v>
      </c>
      <c r="O16" s="41">
        <v>1332.8488262720284</v>
      </c>
      <c r="P16" s="41">
        <v>1465.0097350112487</v>
      </c>
      <c r="Q16" s="41">
        <v>1609.3456825720773</v>
      </c>
      <c r="R16" s="41">
        <v>1766.5149808939691</v>
      </c>
      <c r="S16" s="14"/>
      <c r="T16" s="14"/>
    </row>
    <row r="17" spans="1:20" x14ac:dyDescent="0.35">
      <c r="A17" s="17" t="s">
        <v>13</v>
      </c>
      <c r="B17" s="17" t="s">
        <v>59</v>
      </c>
      <c r="C17" s="18" t="s">
        <v>60</v>
      </c>
      <c r="D17" s="38" t="s">
        <v>69</v>
      </c>
      <c r="E17" s="38" t="s">
        <v>69</v>
      </c>
      <c r="F17" s="41">
        <v>659.69865303226186</v>
      </c>
      <c r="G17" s="41">
        <v>698.29560435978306</v>
      </c>
      <c r="H17" s="41">
        <v>739.83538593355308</v>
      </c>
      <c r="I17" s="41">
        <v>783.99524694102513</v>
      </c>
      <c r="J17" s="41">
        <v>830.66085056286852</v>
      </c>
      <c r="K17" s="41">
        <v>880.26222637058777</v>
      </c>
      <c r="L17" s="41">
        <v>934.12373168020054</v>
      </c>
      <c r="M17" s="41">
        <v>993.08069930473607</v>
      </c>
      <c r="N17" s="41">
        <v>1057.3989769069246</v>
      </c>
      <c r="O17" s="41">
        <v>1127.0051963030305</v>
      </c>
      <c r="P17" s="41">
        <v>1201.1644900581684</v>
      </c>
      <c r="Q17" s="41">
        <v>1279.3396302838819</v>
      </c>
      <c r="R17" s="41">
        <v>1361.6351395684635</v>
      </c>
      <c r="S17" s="14"/>
      <c r="T17" s="14"/>
    </row>
    <row r="18" spans="1:20" x14ac:dyDescent="0.35">
      <c r="A18" s="17" t="s">
        <v>13</v>
      </c>
      <c r="B18" s="17" t="s">
        <v>59</v>
      </c>
      <c r="C18" s="18" t="s">
        <v>70</v>
      </c>
      <c r="D18" s="19" t="s">
        <v>71</v>
      </c>
      <c r="E18" s="19" t="s">
        <v>71</v>
      </c>
      <c r="F18" s="22">
        <v>117.06480180072194</v>
      </c>
      <c r="G18" s="22">
        <v>130.64047457587327</v>
      </c>
      <c r="H18" s="22">
        <v>145.93821112305761</v>
      </c>
      <c r="I18" s="22">
        <v>163.17948154588319</v>
      </c>
      <c r="J18" s="22">
        <v>182.48942937586759</v>
      </c>
      <c r="K18" s="22">
        <v>204.22475020093364</v>
      </c>
      <c r="L18" s="22">
        <v>228.72340634240041</v>
      </c>
      <c r="M18" s="22">
        <v>256.52260699015312</v>
      </c>
      <c r="N18" s="22">
        <v>288.056770460103</v>
      </c>
      <c r="O18" s="22">
        <v>323.72536435564683</v>
      </c>
      <c r="P18" s="22">
        <v>364.03002631591789</v>
      </c>
      <c r="Q18" s="22">
        <v>409.1337481323493</v>
      </c>
      <c r="R18" s="22">
        <v>459.40308252802674</v>
      </c>
      <c r="S18" s="14"/>
      <c r="T18" s="14"/>
    </row>
    <row r="19" spans="1:20" x14ac:dyDescent="0.35">
      <c r="A19" s="17" t="s">
        <v>13</v>
      </c>
      <c r="B19" s="17" t="s">
        <v>59</v>
      </c>
      <c r="C19" s="18" t="s">
        <v>70</v>
      </c>
      <c r="D19" s="19" t="s">
        <v>72</v>
      </c>
      <c r="E19" s="19" t="s">
        <v>72</v>
      </c>
      <c r="F19" s="22">
        <v>90.632621948018866</v>
      </c>
      <c r="G19" s="22">
        <v>102.31625232666948</v>
      </c>
      <c r="H19" s="22">
        <v>115.641860863174</v>
      </c>
      <c r="I19" s="22">
        <v>130.8041369688745</v>
      </c>
      <c r="J19" s="22">
        <v>147.94542963081375</v>
      </c>
      <c r="K19" s="22">
        <v>167.35984299321336</v>
      </c>
      <c r="L19" s="22">
        <v>189.46595313165088</v>
      </c>
      <c r="M19" s="22">
        <v>214.76685652489954</v>
      </c>
      <c r="N19" s="22">
        <v>243.74988464270146</v>
      </c>
      <c r="O19" s="22">
        <v>276.95300477503611</v>
      </c>
      <c r="P19" s="22">
        <v>314.7398092160542</v>
      </c>
      <c r="Q19" s="22">
        <v>357.41103007735774</v>
      </c>
      <c r="R19" s="22">
        <v>405.56646259946177</v>
      </c>
      <c r="S19" s="14"/>
      <c r="T19" s="14"/>
    </row>
    <row r="20" spans="1:20" x14ac:dyDescent="0.35">
      <c r="A20" s="17" t="s">
        <v>13</v>
      </c>
      <c r="B20" s="17" t="s">
        <v>59</v>
      </c>
      <c r="C20" s="18" t="s">
        <v>70</v>
      </c>
      <c r="D20" s="19" t="s">
        <v>73</v>
      </c>
      <c r="E20" s="19" t="s">
        <v>73</v>
      </c>
      <c r="F20" s="22">
        <v>82.850997668912768</v>
      </c>
      <c r="G20" s="22">
        <v>90.398649334630477</v>
      </c>
      <c r="H20" s="22">
        <v>98.739349124004377</v>
      </c>
      <c r="I20" s="22">
        <v>107.83695428433815</v>
      </c>
      <c r="J20" s="22">
        <v>117.70914448785236</v>
      </c>
      <c r="K20" s="22">
        <v>128.41580320209573</v>
      </c>
      <c r="L20" s="22">
        <v>140.25023070494254</v>
      </c>
      <c r="M20" s="22">
        <v>153.4990668722381</v>
      </c>
      <c r="N20" s="22">
        <v>168.39244123938235</v>
      </c>
      <c r="O20" s="22">
        <v>184.99836464354334</v>
      </c>
      <c r="P20" s="22">
        <v>203.32216382532363</v>
      </c>
      <c r="Q20" s="22">
        <v>223.30175240407448</v>
      </c>
      <c r="R20" s="22">
        <v>245.01970676868041</v>
      </c>
      <c r="S20" s="14"/>
      <c r="T20" s="14"/>
    </row>
    <row r="21" spans="1:20" x14ac:dyDescent="0.35">
      <c r="A21" s="17" t="s">
        <v>13</v>
      </c>
      <c r="B21" s="17" t="s">
        <v>59</v>
      </c>
      <c r="C21" s="18" t="s">
        <v>70</v>
      </c>
      <c r="D21" s="19" t="s">
        <v>74</v>
      </c>
      <c r="E21" s="19" t="s">
        <v>74</v>
      </c>
      <c r="F21" s="22">
        <v>98.507872564257653</v>
      </c>
      <c r="G21" s="22">
        <v>108.27302387715604</v>
      </c>
      <c r="H21" s="22">
        <v>119.12076827930397</v>
      </c>
      <c r="I21" s="22">
        <v>131.09058996619251</v>
      </c>
      <c r="J21" s="22">
        <v>144.20975582781645</v>
      </c>
      <c r="K21" s="22">
        <v>158.69696760551216</v>
      </c>
      <c r="L21" s="22">
        <v>174.82475744265304</v>
      </c>
      <c r="M21" s="22">
        <v>192.9566334712427</v>
      </c>
      <c r="N21" s="22">
        <v>213.3275392309454</v>
      </c>
      <c r="O21" s="22">
        <v>236.05073307743797</v>
      </c>
      <c r="P21" s="22">
        <v>261.25066713972564</v>
      </c>
      <c r="Q21" s="22">
        <v>288.92331219807392</v>
      </c>
      <c r="R21" s="22">
        <v>319.25969694062928</v>
      </c>
      <c r="S21" s="14"/>
      <c r="T21" s="14"/>
    </row>
    <row r="22" spans="1:20" x14ac:dyDescent="0.35">
      <c r="A22" s="17" t="s">
        <v>13</v>
      </c>
      <c r="B22" s="17" t="s">
        <v>59</v>
      </c>
      <c r="C22" s="18" t="s">
        <v>70</v>
      </c>
      <c r="D22" s="19" t="s">
        <v>75</v>
      </c>
      <c r="E22" s="19" t="s">
        <v>75</v>
      </c>
      <c r="F22" s="22">
        <v>73.80907496399341</v>
      </c>
      <c r="G22" s="22">
        <v>81.734642994826402</v>
      </c>
      <c r="H22" s="22">
        <v>90.596066831359011</v>
      </c>
      <c r="I22" s="22">
        <v>100.49837997867375</v>
      </c>
      <c r="J22" s="22">
        <v>111.53646634312285</v>
      </c>
      <c r="K22" s="22">
        <v>123.89138074375862</v>
      </c>
      <c r="L22" s="22">
        <v>137.78775889783577</v>
      </c>
      <c r="M22" s="22">
        <v>153.43372455493218</v>
      </c>
      <c r="N22" s="22">
        <v>171.0015053851935</v>
      </c>
      <c r="O22" s="22">
        <v>190.66317329293543</v>
      </c>
      <c r="P22" s="22">
        <v>212.5610713988589</v>
      </c>
      <c r="Q22" s="22">
        <v>236.86407885964124</v>
      </c>
      <c r="R22" s="22">
        <v>263.76153447552088</v>
      </c>
      <c r="S22" s="14"/>
      <c r="T22" s="14"/>
    </row>
    <row r="23" spans="1:20" x14ac:dyDescent="0.35">
      <c r="A23" s="17" t="s">
        <v>13</v>
      </c>
      <c r="B23" s="17" t="s">
        <v>59</v>
      </c>
      <c r="C23" s="18" t="s">
        <v>76</v>
      </c>
      <c r="D23" s="19" t="s">
        <v>77</v>
      </c>
      <c r="E23" s="19" t="s">
        <v>77</v>
      </c>
      <c r="F23" s="22">
        <v>94.582334955776375</v>
      </c>
      <c r="G23" s="22">
        <v>103.32373597435797</v>
      </c>
      <c r="H23" s="22">
        <v>112.95660199254382</v>
      </c>
      <c r="I23" s="22">
        <v>123.49362408987207</v>
      </c>
      <c r="J23" s="22">
        <v>134.97700529779743</v>
      </c>
      <c r="K23" s="22">
        <v>147.60332361991425</v>
      </c>
      <c r="L23" s="22">
        <v>161.63042659148027</v>
      </c>
      <c r="M23" s="22">
        <v>177.35505754398849</v>
      </c>
      <c r="N23" s="22">
        <v>194.9385589195216</v>
      </c>
      <c r="O23" s="22">
        <v>214.40506400762862</v>
      </c>
      <c r="P23" s="22">
        <v>235.86268521279064</v>
      </c>
      <c r="Q23" s="22">
        <v>259.31726769090045</v>
      </c>
      <c r="R23" s="22">
        <v>284.86262202749316</v>
      </c>
      <c r="S23" s="14"/>
      <c r="T23" s="14"/>
    </row>
    <row r="24" spans="1:20" x14ac:dyDescent="0.35">
      <c r="A24" s="17" t="s">
        <v>13</v>
      </c>
      <c r="B24" s="17" t="s">
        <v>59</v>
      </c>
      <c r="C24" s="18" t="s">
        <v>76</v>
      </c>
      <c r="D24" s="19" t="s">
        <v>78</v>
      </c>
      <c r="E24" s="19" t="s">
        <v>78</v>
      </c>
      <c r="F24" s="22">
        <v>90.540479961770728</v>
      </c>
      <c r="G24" s="22">
        <v>97.532824432180078</v>
      </c>
      <c r="H24" s="22">
        <v>104.9791745504764</v>
      </c>
      <c r="I24" s="22">
        <v>113.00152050872239</v>
      </c>
      <c r="J24" s="22">
        <v>121.73077591184297</v>
      </c>
      <c r="K24" s="22">
        <v>131.36015167720257</v>
      </c>
      <c r="L24" s="22">
        <v>142.0692791052829</v>
      </c>
      <c r="M24" s="22">
        <v>153.88287179053378</v>
      </c>
      <c r="N24" s="22">
        <v>166.72511380786187</v>
      </c>
      <c r="O24" s="22">
        <v>180.6940917384409</v>
      </c>
      <c r="P24" s="22">
        <v>195.88862348063387</v>
      </c>
      <c r="Q24" s="22">
        <v>212.37770380918764</v>
      </c>
      <c r="R24" s="22">
        <v>230.15149025858304</v>
      </c>
      <c r="S24" s="14"/>
      <c r="T24" s="14"/>
    </row>
    <row r="25" spans="1:20" x14ac:dyDescent="0.35">
      <c r="A25" s="17" t="s">
        <v>13</v>
      </c>
      <c r="B25" s="17" t="s">
        <v>59</v>
      </c>
      <c r="C25" s="18" t="s">
        <v>76</v>
      </c>
      <c r="D25" s="19" t="s">
        <v>79</v>
      </c>
      <c r="E25" s="19" t="s">
        <v>79</v>
      </c>
      <c r="F25" s="22">
        <v>52.709348518261699</v>
      </c>
      <c r="G25" s="22">
        <v>58.669700439562845</v>
      </c>
      <c r="H25" s="22">
        <v>65.319926263630819</v>
      </c>
      <c r="I25" s="22">
        <v>72.757285755561739</v>
      </c>
      <c r="J25" s="22">
        <v>81.076721019841528</v>
      </c>
      <c r="K25" s="22">
        <v>90.451508575758353</v>
      </c>
      <c r="L25" s="22">
        <v>101.05920603565811</v>
      </c>
      <c r="M25" s="22">
        <v>113.08736207373805</v>
      </c>
      <c r="N25" s="22">
        <v>126.66436769535657</v>
      </c>
      <c r="O25" s="22">
        <v>141.94391075143454</v>
      </c>
      <c r="P25" s="22">
        <v>159.13164194878988</v>
      </c>
      <c r="Q25" s="22">
        <v>178.34899987221823</v>
      </c>
      <c r="R25" s="22">
        <v>199.73920142280326</v>
      </c>
      <c r="S25" s="14"/>
      <c r="T25" s="14"/>
    </row>
    <row r="26" spans="1:20" x14ac:dyDescent="0.35">
      <c r="A26" s="17" t="s">
        <v>13</v>
      </c>
      <c r="B26" s="17" t="s">
        <v>59</v>
      </c>
      <c r="C26" s="18" t="s">
        <v>76</v>
      </c>
      <c r="D26" s="19" t="s">
        <v>80</v>
      </c>
      <c r="E26" s="19" t="s">
        <v>80</v>
      </c>
      <c r="F26" s="22">
        <v>43.082567170087231</v>
      </c>
      <c r="G26" s="22">
        <v>46.021958196643133</v>
      </c>
      <c r="H26" s="22">
        <v>49.230104228092664</v>
      </c>
      <c r="I26" s="22">
        <v>52.701672755379974</v>
      </c>
      <c r="J26" s="22">
        <v>56.435698260778878</v>
      </c>
      <c r="K26" s="22">
        <v>60.432296232574828</v>
      </c>
      <c r="L26" s="22">
        <v>64.782677640479008</v>
      </c>
      <c r="M26" s="22">
        <v>69.550160463392885</v>
      </c>
      <c r="N26" s="22">
        <v>74.785923840895506</v>
      </c>
      <c r="O26" s="22">
        <v>80.519447588010749</v>
      </c>
      <c r="P26" s="22">
        <v>86.705167520543583</v>
      </c>
      <c r="Q26" s="22">
        <v>93.297549156601647</v>
      </c>
      <c r="R26" s="22">
        <v>100.30501848752199</v>
      </c>
      <c r="S26" s="14"/>
      <c r="T26" s="14"/>
    </row>
    <row r="27" spans="1:20" x14ac:dyDescent="0.35">
      <c r="A27" s="17" t="s">
        <v>13</v>
      </c>
      <c r="B27" s="17" t="s">
        <v>59</v>
      </c>
      <c r="C27" s="18" t="s">
        <v>76</v>
      </c>
      <c r="D27" s="19" t="s">
        <v>81</v>
      </c>
      <c r="E27" s="19" t="s">
        <v>81</v>
      </c>
      <c r="F27" s="22">
        <v>48.668213726514111</v>
      </c>
      <c r="G27" s="22">
        <v>52.724205267296007</v>
      </c>
      <c r="H27" s="22">
        <v>57.159870369234554</v>
      </c>
      <c r="I27" s="22">
        <v>62.003709505992276</v>
      </c>
      <c r="J27" s="22">
        <v>67.296644408315174</v>
      </c>
      <c r="K27" s="22">
        <v>73.125147690105905</v>
      </c>
      <c r="L27" s="22">
        <v>79.585843700868978</v>
      </c>
      <c r="M27" s="22">
        <v>86.767950882775807</v>
      </c>
      <c r="N27" s="22">
        <v>94.706866828070233</v>
      </c>
      <c r="O27" s="22">
        <v>103.40058783338274</v>
      </c>
      <c r="P27" s="22">
        <v>112.88474684395136</v>
      </c>
      <c r="Q27" s="22">
        <v>123.17322301514936</v>
      </c>
      <c r="R27" s="22">
        <v>134.28333737061209</v>
      </c>
      <c r="S27" s="14"/>
      <c r="T27" s="14"/>
    </row>
    <row r="28" spans="1:20" x14ac:dyDescent="0.35">
      <c r="A28" s="17" t="s">
        <v>13</v>
      </c>
      <c r="B28" s="17" t="s">
        <v>47</v>
      </c>
      <c r="C28" s="13" t="s">
        <v>82</v>
      </c>
      <c r="D28" s="13" t="s">
        <v>82</v>
      </c>
      <c r="E28" s="13" t="s">
        <v>82</v>
      </c>
      <c r="F28" s="14">
        <v>1723.2063757999294</v>
      </c>
      <c r="G28" s="14">
        <v>1882.2088663027134</v>
      </c>
      <c r="H28" s="14">
        <v>2058.4795405034215</v>
      </c>
      <c r="I28" s="14">
        <v>2252.7055319134597</v>
      </c>
      <c r="J28" s="14">
        <v>2465.36669057062</v>
      </c>
      <c r="K28" s="14">
        <v>2698.7023181265045</v>
      </c>
      <c r="L28" s="14">
        <v>2957.572511579222</v>
      </c>
      <c r="M28" s="14">
        <v>3246.7039127033609</v>
      </c>
      <c r="N28" s="14">
        <v>3569.7987777212456</v>
      </c>
      <c r="O28" s="14">
        <v>3929.9835068786706</v>
      </c>
      <c r="P28" s="14">
        <v>4327.3613134359493</v>
      </c>
      <c r="Q28" s="14">
        <v>4761.8183766227967</v>
      </c>
      <c r="R28" s="14">
        <v>5236.5921940936842</v>
      </c>
      <c r="S28" s="14"/>
      <c r="T28" s="14"/>
    </row>
    <row r="29" spans="1:20" x14ac:dyDescent="0.35">
      <c r="A29" s="17" t="s">
        <v>13</v>
      </c>
      <c r="B29" s="17" t="s">
        <v>47</v>
      </c>
      <c r="C29" s="13" t="s">
        <v>83</v>
      </c>
      <c r="D29" s="13" t="s">
        <v>83</v>
      </c>
      <c r="E29" s="13" t="s">
        <v>83</v>
      </c>
      <c r="F29" s="14">
        <v>3054.1142073964102</v>
      </c>
      <c r="G29" s="14">
        <v>3279.5191056503663</v>
      </c>
      <c r="H29" s="14">
        <v>3521.0501121898474</v>
      </c>
      <c r="I29" s="14">
        <v>3781.7919294435264</v>
      </c>
      <c r="J29" s="14">
        <v>4066.2879094293794</v>
      </c>
      <c r="K29" s="14">
        <v>4380.2868938341453</v>
      </c>
      <c r="L29" s="14">
        <v>4729.5625828774755</v>
      </c>
      <c r="M29" s="14">
        <v>5115.6666328822485</v>
      </c>
      <c r="N29" s="14">
        <v>5536.1340432503057</v>
      </c>
      <c r="O29" s="14">
        <v>5991.9913981971431</v>
      </c>
      <c r="P29" s="14">
        <v>6483.6432633334607</v>
      </c>
      <c r="Q29" s="14">
        <v>7012.105421695288</v>
      </c>
      <c r="R29" s="14">
        <v>7578.0420189213073</v>
      </c>
      <c r="S29" s="14"/>
      <c r="T29" s="14"/>
    </row>
    <row r="30" spans="1:20" x14ac:dyDescent="0.35">
      <c r="A30" s="17" t="s">
        <v>13</v>
      </c>
      <c r="B30" s="17" t="s">
        <v>84</v>
      </c>
      <c r="C30" s="13" t="s">
        <v>85</v>
      </c>
      <c r="D30" s="13" t="s">
        <v>85</v>
      </c>
      <c r="E30" s="13" t="s">
        <v>85</v>
      </c>
      <c r="F30" s="14">
        <v>321.0310652015466</v>
      </c>
      <c r="G30" s="14">
        <v>341.04973047026203</v>
      </c>
      <c r="H30" s="14">
        <v>362.36310436965221</v>
      </c>
      <c r="I30" s="14">
        <v>384.9542285977858</v>
      </c>
      <c r="J30" s="14">
        <v>408.96304299836089</v>
      </c>
      <c r="K30" s="14">
        <v>434.86604890480095</v>
      </c>
      <c r="L30" s="14">
        <v>463.28577536860905</v>
      </c>
      <c r="M30" s="14">
        <v>494.57078806171387</v>
      </c>
      <c r="N30" s="14">
        <v>528.62874700665441</v>
      </c>
      <c r="O30" s="14">
        <v>565.36310584517912</v>
      </c>
      <c r="P30" s="14">
        <v>604.63711948468347</v>
      </c>
      <c r="Q30" s="14">
        <v>646.28347499853555</v>
      </c>
      <c r="R30" s="14">
        <v>690.32137799655527</v>
      </c>
      <c r="S30" s="14"/>
      <c r="T30" s="14"/>
    </row>
    <row r="31" spans="1:20" x14ac:dyDescent="0.35">
      <c r="A31" s="17" t="s">
        <v>13</v>
      </c>
      <c r="B31" s="17" t="s">
        <v>84</v>
      </c>
      <c r="C31" s="13" t="s">
        <v>86</v>
      </c>
      <c r="D31" s="13" t="s">
        <v>86</v>
      </c>
      <c r="E31" s="13" t="s">
        <v>86</v>
      </c>
      <c r="F31" s="14">
        <v>878.19273474902889</v>
      </c>
      <c r="G31" s="14">
        <v>936.99978782389951</v>
      </c>
      <c r="H31" s="14">
        <v>999.71798187444722</v>
      </c>
      <c r="I31" s="14">
        <v>1066.5307256542758</v>
      </c>
      <c r="J31" s="14">
        <v>1138.030748434976</v>
      </c>
      <c r="K31" s="14">
        <v>1215.4093382451611</v>
      </c>
      <c r="L31" s="14">
        <v>1300.5669489742995</v>
      </c>
      <c r="M31" s="14">
        <v>1394.3502952666618</v>
      </c>
      <c r="N31" s="14">
        <v>1496.5914509333122</v>
      </c>
      <c r="O31" s="14">
        <v>1607.4391154070215</v>
      </c>
      <c r="P31" s="14">
        <v>1726.6194680725864</v>
      </c>
      <c r="Q31" s="14">
        <v>1853.7978788911551</v>
      </c>
      <c r="R31" s="14">
        <v>1988.9813111043052</v>
      </c>
      <c r="S31" s="14"/>
      <c r="T31" s="14"/>
    </row>
    <row r="32" spans="1:20" x14ac:dyDescent="0.35">
      <c r="A32" s="17" t="s">
        <v>13</v>
      </c>
      <c r="B32" s="17" t="s">
        <v>84</v>
      </c>
      <c r="C32" s="40" t="s">
        <v>87</v>
      </c>
      <c r="D32" s="40" t="s">
        <v>87</v>
      </c>
      <c r="E32" s="40" t="s">
        <v>87</v>
      </c>
      <c r="F32" s="42">
        <v>1512.5580682100328</v>
      </c>
      <c r="G32" s="42">
        <v>1653.371584043678</v>
      </c>
      <c r="H32" s="42">
        <v>1808.4316532024993</v>
      </c>
      <c r="I32" s="42">
        <v>1979.5092152496293</v>
      </c>
      <c r="J32" s="42">
        <v>2168.0665167231709</v>
      </c>
      <c r="K32" s="42">
        <v>2376.0718396304983</v>
      </c>
      <c r="L32" s="42">
        <v>2607.5842972651017</v>
      </c>
      <c r="M32" s="42">
        <v>2865.3977568197242</v>
      </c>
      <c r="N32" s="42">
        <v>3151.7748850644684</v>
      </c>
      <c r="O32" s="42">
        <v>3470.5143788869264</v>
      </c>
      <c r="P32" s="42">
        <v>3822.0095910712284</v>
      </c>
      <c r="Q32" s="42">
        <v>4206.6449951161785</v>
      </c>
      <c r="R32" s="42">
        <v>4626.9941917300912</v>
      </c>
      <c r="S32" s="14"/>
      <c r="T32" s="14"/>
    </row>
    <row r="33" spans="1:20" x14ac:dyDescent="0.35">
      <c r="A33" s="17" t="s">
        <v>13</v>
      </c>
      <c r="B33" s="17" t="s">
        <v>84</v>
      </c>
      <c r="C33" s="13" t="s">
        <v>88</v>
      </c>
      <c r="D33" s="13" t="s">
        <v>88</v>
      </c>
      <c r="E33" s="13" t="s">
        <v>88</v>
      </c>
      <c r="F33" s="14">
        <v>1066.2934711456035</v>
      </c>
      <c r="G33" s="14">
        <v>1156.6646367712358</v>
      </c>
      <c r="H33" s="14">
        <v>1254.7689867159468</v>
      </c>
      <c r="I33" s="14">
        <v>1361.9668634111624</v>
      </c>
      <c r="J33" s="14">
        <v>1480.3197511282749</v>
      </c>
      <c r="K33" s="14">
        <v>1612.4443966740889</v>
      </c>
      <c r="L33" s="14">
        <v>1760.661570102654</v>
      </c>
      <c r="M33" s="14">
        <v>1925.9120488440192</v>
      </c>
      <c r="N33" s="14">
        <v>2107.4635201895344</v>
      </c>
      <c r="O33" s="14">
        <v>2305.7883649174541</v>
      </c>
      <c r="P33" s="14">
        <v>2521.3635730133537</v>
      </c>
      <c r="Q33" s="14">
        <v>2755.3488851548218</v>
      </c>
      <c r="R33" s="14">
        <v>3008.7231432331027</v>
      </c>
      <c r="S33" s="22"/>
      <c r="T33" s="22"/>
    </row>
    <row r="34" spans="1:20" x14ac:dyDescent="0.35">
      <c r="A34" s="17" t="s">
        <v>13</v>
      </c>
      <c r="B34" s="17" t="s">
        <v>84</v>
      </c>
      <c r="C34" s="13" t="s">
        <v>89</v>
      </c>
      <c r="D34" s="13" t="s">
        <v>89</v>
      </c>
      <c r="E34" s="13" t="s">
        <v>89</v>
      </c>
      <c r="F34" s="14">
        <v>333.29475364050683</v>
      </c>
      <c r="G34" s="14">
        <v>360.04282863042255</v>
      </c>
      <c r="H34" s="14">
        <v>389.27861057971859</v>
      </c>
      <c r="I34" s="14">
        <v>420.84696808983188</v>
      </c>
      <c r="J34" s="14">
        <v>454.67476147128275</v>
      </c>
      <c r="K34" s="14">
        <v>491.35376987971483</v>
      </c>
      <c r="L34" s="14">
        <v>531.60194674417721</v>
      </c>
      <c r="M34" s="14">
        <v>576.42315776513408</v>
      </c>
      <c r="N34" s="14">
        <v>626.2889501948714</v>
      </c>
      <c r="O34" s="14">
        <v>680.94857632823937</v>
      </c>
      <c r="P34" s="14">
        <v>740.62780613279415</v>
      </c>
      <c r="Q34" s="14">
        <v>805.04949583773248</v>
      </c>
      <c r="R34" s="14">
        <v>874.26964961791373</v>
      </c>
      <c r="S34" s="22"/>
      <c r="T34" s="22"/>
    </row>
    <row r="35" spans="1:20" x14ac:dyDescent="0.35">
      <c r="A35" s="17" t="s">
        <v>13</v>
      </c>
      <c r="B35" s="17" t="s">
        <v>84</v>
      </c>
      <c r="C35" s="13" t="s">
        <v>90</v>
      </c>
      <c r="D35" s="13" t="s">
        <v>90</v>
      </c>
      <c r="E35" s="13" t="s">
        <v>90</v>
      </c>
      <c r="F35" s="14">
        <v>665.95049024962123</v>
      </c>
      <c r="G35" s="14">
        <v>713.59940421358181</v>
      </c>
      <c r="H35" s="14">
        <v>764.96931595100409</v>
      </c>
      <c r="I35" s="14">
        <v>820.6894603543011</v>
      </c>
      <c r="J35" s="14">
        <v>881.59977924393411</v>
      </c>
      <c r="K35" s="14">
        <v>948.84381862638543</v>
      </c>
      <c r="L35" s="14">
        <v>1023.4345560018559</v>
      </c>
      <c r="M35" s="14">
        <v>1105.7164988283564</v>
      </c>
      <c r="N35" s="14">
        <v>1195.1852675827085</v>
      </c>
      <c r="O35" s="14">
        <v>1291.9213636909922</v>
      </c>
      <c r="P35" s="14">
        <v>1395.7470189947626</v>
      </c>
      <c r="Q35" s="14">
        <v>1506.799068319661</v>
      </c>
      <c r="R35" s="14">
        <v>1625.3445393330246</v>
      </c>
      <c r="S35" s="22"/>
      <c r="T35" s="22"/>
    </row>
    <row r="36" spans="1:20" x14ac:dyDescent="0.35">
      <c r="A36" s="17" t="s">
        <v>13</v>
      </c>
      <c r="B36" s="17" t="s">
        <v>91</v>
      </c>
      <c r="C36" s="13" t="s">
        <v>92</v>
      </c>
      <c r="D36" s="13" t="s">
        <v>92</v>
      </c>
      <c r="E36" s="13" t="s">
        <v>92</v>
      </c>
      <c r="F36" s="14">
        <v>1932.6817584993189</v>
      </c>
      <c r="G36" s="14">
        <v>2104.398943602268</v>
      </c>
      <c r="H36" s="14">
        <v>2291.8995166826953</v>
      </c>
      <c r="I36" s="14">
        <v>2497.2747300475799</v>
      </c>
      <c r="J36" s="14">
        <v>2723.1253003117827</v>
      </c>
      <c r="K36" s="14">
        <v>2973.4104510655893</v>
      </c>
      <c r="L36" s="14">
        <v>3252.7645722780908</v>
      </c>
      <c r="M36" s="14">
        <v>3563.6442314190681</v>
      </c>
      <c r="N36" s="14">
        <v>3906.6962527996516</v>
      </c>
      <c r="O36" s="14">
        <v>4283.8419967406826</v>
      </c>
      <c r="P36" s="14">
        <v>4697.0119452930139</v>
      </c>
      <c r="Q36" s="14">
        <v>5148.643915186185</v>
      </c>
      <c r="R36" s="14">
        <v>5640.1729238953121</v>
      </c>
      <c r="S36" s="22"/>
      <c r="T36" s="22"/>
    </row>
    <row r="37" spans="1:20" x14ac:dyDescent="0.35">
      <c r="A37" s="17" t="s">
        <v>13</v>
      </c>
      <c r="B37" s="17" t="s">
        <v>91</v>
      </c>
      <c r="C37" s="13" t="s">
        <v>93</v>
      </c>
      <c r="D37" s="13" t="s">
        <v>93</v>
      </c>
      <c r="E37" s="13" t="s">
        <v>93</v>
      </c>
      <c r="F37" s="14">
        <v>2844.6388246970209</v>
      </c>
      <c r="G37" s="14">
        <v>3057.3290283508122</v>
      </c>
      <c r="H37" s="14">
        <v>3287.6301360105736</v>
      </c>
      <c r="I37" s="14">
        <v>3537.2227313094068</v>
      </c>
      <c r="J37" s="14">
        <v>3808.5292996882172</v>
      </c>
      <c r="K37" s="14">
        <v>4105.5787608950614</v>
      </c>
      <c r="L37" s="14">
        <v>4434.3705221786049</v>
      </c>
      <c r="M37" s="14">
        <v>4798.7263141665408</v>
      </c>
      <c r="N37" s="14">
        <v>5199.2365681718993</v>
      </c>
      <c r="O37" s="14">
        <v>5638.1329083351302</v>
      </c>
      <c r="P37" s="14">
        <v>6113.9926314763952</v>
      </c>
      <c r="Q37" s="14">
        <v>6625.2798831318987</v>
      </c>
      <c r="R37" s="14">
        <v>7174.4612891196793</v>
      </c>
      <c r="S37" s="22"/>
      <c r="T37" s="22"/>
    </row>
    <row r="38" spans="1:20" x14ac:dyDescent="0.35">
      <c r="A38" s="17" t="s">
        <v>13</v>
      </c>
      <c r="B38" s="17" t="s">
        <v>94</v>
      </c>
      <c r="C38" s="13" t="s">
        <v>95</v>
      </c>
      <c r="D38" s="13" t="s">
        <v>95</v>
      </c>
      <c r="E38" s="13" t="s">
        <v>95</v>
      </c>
      <c r="F38" s="14">
        <v>348.77626527177432</v>
      </c>
      <c r="G38" s="14">
        <v>384.14473584956647</v>
      </c>
      <c r="H38" s="14">
        <v>423.61279316962089</v>
      </c>
      <c r="I38" s="14">
        <v>467.54221775362316</v>
      </c>
      <c r="J38" s="14">
        <v>516.02063156004419</v>
      </c>
      <c r="K38" s="14">
        <v>569.82114281965198</v>
      </c>
      <c r="L38" s="14">
        <v>629.78975826181431</v>
      </c>
      <c r="M38" s="14">
        <v>697.09364050654358</v>
      </c>
      <c r="N38" s="14">
        <v>772.56251006494961</v>
      </c>
      <c r="O38" s="14">
        <v>857.0301763399832</v>
      </c>
      <c r="P38" s="14">
        <v>950.91802781891704</v>
      </c>
      <c r="Q38" s="14">
        <v>1054.2706451849701</v>
      </c>
      <c r="R38" s="14">
        <v>1167.9985752101113</v>
      </c>
      <c r="S38" s="22"/>
      <c r="T38" s="22"/>
    </row>
    <row r="39" spans="1:20" x14ac:dyDescent="0.35">
      <c r="A39" s="17" t="s">
        <v>13</v>
      </c>
      <c r="B39" s="17" t="s">
        <v>94</v>
      </c>
      <c r="C39" s="40" t="s">
        <v>96</v>
      </c>
      <c r="D39" s="40" t="s">
        <v>96</v>
      </c>
      <c r="E39" s="40" t="s">
        <v>96</v>
      </c>
      <c r="F39" s="42">
        <v>902.03428474186182</v>
      </c>
      <c r="G39" s="42">
        <v>987.16621441558641</v>
      </c>
      <c r="H39" s="42">
        <v>1077.3519266573196</v>
      </c>
      <c r="I39" s="42">
        <v>1174.7210018081184</v>
      </c>
      <c r="J39" s="42">
        <v>1282.9115727850515</v>
      </c>
      <c r="K39" s="42">
        <v>1405.2894026653423</v>
      </c>
      <c r="L39" s="42">
        <v>1545.0348869295171</v>
      </c>
      <c r="M39" s="42">
        <v>1702.3488945401787</v>
      </c>
      <c r="N39" s="42">
        <v>1875.4154367050323</v>
      </c>
      <c r="O39" s="42">
        <v>2065.6213119697009</v>
      </c>
      <c r="P39" s="42">
        <v>2274.8144200964907</v>
      </c>
      <c r="Q39" s="42">
        <v>2504.7389342729966</v>
      </c>
      <c r="R39" s="42">
        <v>2756.0555745719716</v>
      </c>
      <c r="S39" s="22"/>
      <c r="T39" s="22"/>
    </row>
    <row r="40" spans="1:20" x14ac:dyDescent="0.35">
      <c r="A40" s="17" t="s">
        <v>13</v>
      </c>
      <c r="B40" s="17" t="s">
        <v>94</v>
      </c>
      <c r="C40" s="13" t="s">
        <v>97</v>
      </c>
      <c r="D40" s="13" t="s">
        <v>97</v>
      </c>
      <c r="E40" s="13" t="s">
        <v>97</v>
      </c>
      <c r="F40" s="14">
        <v>507.02743814133669</v>
      </c>
      <c r="G40" s="14">
        <v>545.0927215876419</v>
      </c>
      <c r="H40" s="14">
        <v>586.5684467495721</v>
      </c>
      <c r="I40" s="14">
        <v>631.44311511443334</v>
      </c>
      <c r="J40" s="14">
        <v>679.70907135531922</v>
      </c>
      <c r="K40" s="14">
        <v>731.91346985167127</v>
      </c>
      <c r="L40" s="14">
        <v>789.17550583975765</v>
      </c>
      <c r="M40" s="14">
        <v>852.36738341861997</v>
      </c>
      <c r="N40" s="14">
        <v>921.88946058572083</v>
      </c>
      <c r="O40" s="14">
        <v>998.0835622559174</v>
      </c>
      <c r="P40" s="14">
        <v>1080.580217967607</v>
      </c>
      <c r="Q40" s="14">
        <v>1169.0774986871741</v>
      </c>
      <c r="R40" s="14">
        <v>1263.973418632341</v>
      </c>
      <c r="S40" s="22"/>
      <c r="T40" s="22"/>
    </row>
    <row r="41" spans="1:20" x14ac:dyDescent="0.35">
      <c r="A41" s="17" t="s">
        <v>13</v>
      </c>
      <c r="B41" s="17" t="s">
        <v>94</v>
      </c>
      <c r="C41" s="13" t="s">
        <v>98</v>
      </c>
      <c r="D41" s="13" t="s">
        <v>98</v>
      </c>
      <c r="E41" s="13" t="s">
        <v>98</v>
      </c>
      <c r="F41" s="14">
        <v>1373.9197392733638</v>
      </c>
      <c r="G41" s="14">
        <v>1486.7715526625234</v>
      </c>
      <c r="H41" s="14">
        <v>1610.5697257686988</v>
      </c>
      <c r="I41" s="14">
        <v>1745.9338445955755</v>
      </c>
      <c r="J41" s="14">
        <v>1893.7314213415432</v>
      </c>
      <c r="K41" s="14">
        <v>2055.5933215010232</v>
      </c>
      <c r="L41" s="14">
        <v>2234.4766559308086</v>
      </c>
      <c r="M41" s="14">
        <v>2432.5259893507618</v>
      </c>
      <c r="N41" s="14">
        <v>2651.1306329452195</v>
      </c>
      <c r="O41" s="14">
        <v>2891.0012161838304</v>
      </c>
      <c r="P41" s="14">
        <v>3152.0305598763998</v>
      </c>
      <c r="Q41" s="14">
        <v>3434.6749707155113</v>
      </c>
      <c r="R41" s="14">
        <v>3739.851008794898</v>
      </c>
      <c r="S41" s="22"/>
      <c r="T41" s="22"/>
    </row>
    <row r="42" spans="1:20" x14ac:dyDescent="0.35">
      <c r="A42" s="17" t="s">
        <v>13</v>
      </c>
      <c r="B42" s="17" t="s">
        <v>94</v>
      </c>
      <c r="C42" s="13" t="s">
        <v>48</v>
      </c>
      <c r="D42" s="13" t="s">
        <v>48</v>
      </c>
      <c r="E42" s="13" t="s">
        <v>48</v>
      </c>
      <c r="F42" s="14">
        <v>432.50876716594109</v>
      </c>
      <c r="G42" s="14">
        <v>469.95575439601208</v>
      </c>
      <c r="H42" s="14">
        <v>511.29861385698393</v>
      </c>
      <c r="I42" s="14">
        <v>556.59494341416041</v>
      </c>
      <c r="J42" s="14">
        <v>605.96142612966491</v>
      </c>
      <c r="K42" s="14">
        <v>659.73448543266568</v>
      </c>
      <c r="L42" s="14">
        <v>719.08680187412369</v>
      </c>
      <c r="M42" s="14">
        <v>785.0217624367076</v>
      </c>
      <c r="N42" s="14">
        <v>858.36111685865728</v>
      </c>
      <c r="O42" s="14">
        <v>939.56781842338455</v>
      </c>
      <c r="P42" s="14">
        <v>1028.5142511461536</v>
      </c>
      <c r="Q42" s="14">
        <v>1125.1137011952283</v>
      </c>
      <c r="R42" s="14">
        <v>1229.7985738952748</v>
      </c>
      <c r="S42" s="22"/>
      <c r="T42" s="22"/>
    </row>
    <row r="43" spans="1:20" x14ac:dyDescent="0.35">
      <c r="A43" s="17" t="s">
        <v>13</v>
      </c>
      <c r="B43" s="17" t="s">
        <v>94</v>
      </c>
      <c r="C43" s="13" t="s">
        <v>99</v>
      </c>
      <c r="D43" s="13" t="s">
        <v>99</v>
      </c>
      <c r="E43" s="13" t="s">
        <v>99</v>
      </c>
      <c r="F43" s="14">
        <v>674.1751066104523</v>
      </c>
      <c r="G43" s="14">
        <v>714.05592918185982</v>
      </c>
      <c r="H43" s="14">
        <v>756.74831888881113</v>
      </c>
      <c r="I43" s="14">
        <v>802.83984877228545</v>
      </c>
      <c r="J43" s="14">
        <v>852.96496085125227</v>
      </c>
      <c r="K43" s="14">
        <v>908.10087508207619</v>
      </c>
      <c r="L43" s="14">
        <v>968.85281220743639</v>
      </c>
      <c r="M43" s="14">
        <v>1035.3418294418136</v>
      </c>
      <c r="N43" s="14">
        <v>1106.7789381295449</v>
      </c>
      <c r="O43" s="14">
        <v>1183.1785079726751</v>
      </c>
      <c r="P43" s="14">
        <v>1263.9600694263213</v>
      </c>
      <c r="Q43" s="14">
        <v>1348.8213185519251</v>
      </c>
      <c r="R43" s="14">
        <v>1438.0405767092009</v>
      </c>
      <c r="S43" s="22"/>
      <c r="T43" s="22"/>
    </row>
    <row r="44" spans="1:20" x14ac:dyDescent="0.35">
      <c r="A44" s="17" t="s">
        <v>13</v>
      </c>
      <c r="B44" s="17" t="s">
        <v>94</v>
      </c>
      <c r="C44" s="13" t="s">
        <v>100</v>
      </c>
      <c r="D44" s="13" t="s">
        <v>100</v>
      </c>
      <c r="E44" s="13" t="s">
        <v>100</v>
      </c>
      <c r="F44" s="14">
        <v>538.87898199160998</v>
      </c>
      <c r="G44" s="14">
        <v>574.54106385988916</v>
      </c>
      <c r="H44" s="14">
        <v>613.37982760226157</v>
      </c>
      <c r="I44" s="14">
        <v>655.42248989878954</v>
      </c>
      <c r="J44" s="14">
        <v>700.35551597712481</v>
      </c>
      <c r="K44" s="14">
        <v>748.53651460821936</v>
      </c>
      <c r="L44" s="14">
        <v>800.718673413239</v>
      </c>
      <c r="M44" s="14">
        <v>857.67104589098426</v>
      </c>
      <c r="N44" s="14">
        <v>919.79472568242488</v>
      </c>
      <c r="O44" s="14">
        <v>987.49231193032062</v>
      </c>
      <c r="P44" s="14">
        <v>1060.1870304375193</v>
      </c>
      <c r="Q44" s="14">
        <v>1137.2267297102794</v>
      </c>
      <c r="R44" s="14">
        <v>1218.9164852011932</v>
      </c>
      <c r="S44" s="22"/>
      <c r="T44" s="22"/>
    </row>
    <row r="45" spans="1:20" x14ac:dyDescent="0.35">
      <c r="A45" s="17" t="s">
        <v>13</v>
      </c>
      <c r="B45" s="17" t="s">
        <v>29</v>
      </c>
      <c r="C45" s="13" t="s">
        <v>32</v>
      </c>
      <c r="D45" s="13" t="s">
        <v>32</v>
      </c>
      <c r="E45" s="13" t="s">
        <v>32</v>
      </c>
      <c r="F45" s="14">
        <v>1500.89672780666</v>
      </c>
      <c r="G45" s="14">
        <v>1625.8701170164104</v>
      </c>
      <c r="H45" s="14">
        <v>1759.2436619629489</v>
      </c>
      <c r="I45" s="14">
        <v>1902.3409859455871</v>
      </c>
      <c r="J45" s="14">
        <v>2057.4711990000001</v>
      </c>
      <c r="K45" s="14">
        <v>2228.6303560542892</v>
      </c>
      <c r="L45" s="14">
        <v>2419.8504997406453</v>
      </c>
      <c r="M45" s="14">
        <v>2632.3670485742887</v>
      </c>
      <c r="N45" s="14">
        <v>2865.1059533303837</v>
      </c>
      <c r="O45" s="14">
        <v>3119.187203157976</v>
      </c>
      <c r="P45" s="14">
        <v>3395.7431499872846</v>
      </c>
      <c r="Q45" s="14">
        <v>3696.2308024793538</v>
      </c>
      <c r="R45" s="14">
        <v>4021.5050860066581</v>
      </c>
      <c r="S45" s="22"/>
      <c r="T45" s="22"/>
    </row>
    <row r="46" spans="1:20" x14ac:dyDescent="0.35">
      <c r="A46" s="17" t="s">
        <v>13</v>
      </c>
      <c r="B46" s="17" t="s">
        <v>29</v>
      </c>
      <c r="C46" s="13" t="s">
        <v>33</v>
      </c>
      <c r="D46" s="13" t="s">
        <v>33</v>
      </c>
      <c r="E46" s="13" t="s">
        <v>33</v>
      </c>
      <c r="F46" s="14">
        <v>1343.6871235202091</v>
      </c>
      <c r="G46" s="14">
        <v>1441.9747021396799</v>
      </c>
      <c r="H46" s="14">
        <v>1548.5509272570637</v>
      </c>
      <c r="I46" s="14">
        <v>1664.0383460415178</v>
      </c>
      <c r="J46" s="14">
        <v>1789.6733603999999</v>
      </c>
      <c r="K46" s="14">
        <v>1927.113200344585</v>
      </c>
      <c r="L46" s="14">
        <v>2079.0490355061993</v>
      </c>
      <c r="M46" s="14">
        <v>2247.0367428710215</v>
      </c>
      <c r="N46" s="14">
        <v>2431.2080151521072</v>
      </c>
      <c r="O46" s="14">
        <v>2631.8485883896519</v>
      </c>
      <c r="P46" s="14">
        <v>2848.4662883024644</v>
      </c>
      <c r="Q46" s="14">
        <v>3080.8116541111895</v>
      </c>
      <c r="R46" s="14">
        <v>3329.4075450029177</v>
      </c>
      <c r="S46" s="22"/>
      <c r="T46" s="22"/>
    </row>
    <row r="47" spans="1:20" x14ac:dyDescent="0.35">
      <c r="A47" s="17" t="s">
        <v>13</v>
      </c>
      <c r="B47" s="17" t="s">
        <v>29</v>
      </c>
      <c r="C47" s="13" t="s">
        <v>34</v>
      </c>
      <c r="D47" s="13" t="s">
        <v>34</v>
      </c>
      <c r="E47" s="13" t="s">
        <v>34</v>
      </c>
      <c r="F47" s="14">
        <v>1376.9349357497588</v>
      </c>
      <c r="G47" s="14">
        <v>1503.3927710678813</v>
      </c>
      <c r="H47" s="14">
        <v>1643.7338319442376</v>
      </c>
      <c r="I47" s="14">
        <v>1799.7297553455439</v>
      </c>
      <c r="J47" s="14">
        <v>1972.5596891999999</v>
      </c>
      <c r="K47" s="14">
        <v>2164.1359352089776</v>
      </c>
      <c r="L47" s="14">
        <v>2377.4305128896431</v>
      </c>
      <c r="M47" s="14">
        <v>2615.4679757509307</v>
      </c>
      <c r="N47" s="14">
        <v>2880.47217225449</v>
      </c>
      <c r="O47" s="14">
        <v>3175.2886654048566</v>
      </c>
      <c r="P47" s="14">
        <v>3500.4807021650727</v>
      </c>
      <c r="Q47" s="14">
        <v>3856.0326111000236</v>
      </c>
      <c r="R47" s="14">
        <v>4244.2658402888992</v>
      </c>
      <c r="S47" s="22"/>
      <c r="T47" s="22"/>
    </row>
    <row r="48" spans="1:20" x14ac:dyDescent="0.35">
      <c r="A48" s="17" t="s">
        <v>13</v>
      </c>
      <c r="B48" s="17" t="s">
        <v>29</v>
      </c>
      <c r="C48" s="13" t="s">
        <v>15</v>
      </c>
      <c r="D48" s="13" t="s">
        <v>15</v>
      </c>
      <c r="E48" s="13" t="s">
        <v>15</v>
      </c>
      <c r="F48" s="14">
        <v>323.63195079035421</v>
      </c>
      <c r="G48" s="14">
        <v>343.2220072820063</v>
      </c>
      <c r="H48" s="14">
        <v>364.42834495819091</v>
      </c>
      <c r="I48" s="14">
        <v>387.15758664942643</v>
      </c>
      <c r="J48" s="14">
        <v>411.49423979999966</v>
      </c>
      <c r="K48" s="14">
        <v>437.50986993992422</v>
      </c>
      <c r="L48" s="14">
        <v>465.86770151175375</v>
      </c>
      <c r="M48" s="14">
        <v>496.90523158178587</v>
      </c>
      <c r="N48" s="14">
        <v>530.77292661426907</v>
      </c>
      <c r="O48" s="14">
        <v>567.43550141546029</v>
      </c>
      <c r="P48" s="14">
        <v>606.44615989756062</v>
      </c>
      <c r="Q48" s="14">
        <v>647.5750540894137</v>
      </c>
      <c r="R48" s="14">
        <v>690.87032005807987</v>
      </c>
      <c r="S48" s="22"/>
      <c r="T48" s="22"/>
    </row>
    <row r="49" spans="1:20" x14ac:dyDescent="0.35">
      <c r="A49" s="17" t="s">
        <v>13</v>
      </c>
      <c r="B49" s="17" t="s">
        <v>29</v>
      </c>
      <c r="C49" s="13" t="s">
        <v>49</v>
      </c>
      <c r="D49" s="13" t="s">
        <v>49</v>
      </c>
      <c r="E49" s="13" t="s">
        <v>49</v>
      </c>
      <c r="F49" s="14">
        <v>232.16984532935777</v>
      </c>
      <c r="G49" s="14">
        <v>247.26837444710173</v>
      </c>
      <c r="H49" s="14">
        <v>263.57288657082711</v>
      </c>
      <c r="I49" s="14">
        <v>281.23078737491051</v>
      </c>
      <c r="J49" s="14">
        <v>300.45611159999999</v>
      </c>
      <c r="K49" s="14">
        <v>321.59985041287393</v>
      </c>
      <c r="L49" s="14">
        <v>344.93734480845472</v>
      </c>
      <c r="M49" s="14">
        <v>370.59354680758304</v>
      </c>
      <c r="N49" s="14">
        <v>398.37375362029957</v>
      </c>
      <c r="O49" s="14">
        <v>428.21494670786802</v>
      </c>
      <c r="P49" s="14">
        <v>459.86827641702695</v>
      </c>
      <c r="Q49" s="14">
        <v>493.27367653810512</v>
      </c>
      <c r="R49" s="14">
        <v>528.58542165843755</v>
      </c>
      <c r="S49" s="14"/>
      <c r="T49" s="14"/>
    </row>
    <row r="50" spans="1:20" x14ac:dyDescent="0.35">
      <c r="A50" s="21" t="s">
        <v>32</v>
      </c>
      <c r="B50" s="17" t="s">
        <v>54</v>
      </c>
      <c r="C50" s="13" t="s">
        <v>55</v>
      </c>
      <c r="D50" s="13" t="s">
        <v>55</v>
      </c>
      <c r="E50" s="13" t="s">
        <v>55</v>
      </c>
      <c r="F50" s="14">
        <v>152.49019512066252</v>
      </c>
      <c r="G50" s="14">
        <v>169.68044383851571</v>
      </c>
      <c r="H50" s="14">
        <v>189.1447946063322</v>
      </c>
      <c r="I50" s="14">
        <v>210.82893573363307</v>
      </c>
      <c r="J50" s="14">
        <v>234.80552223874099</v>
      </c>
      <c r="K50" s="14">
        <v>261.03340721815448</v>
      </c>
      <c r="L50" s="14">
        <v>290.34017609363138</v>
      </c>
      <c r="M50" s="14">
        <v>323.51817374838544</v>
      </c>
      <c r="N50" s="14">
        <v>361.45207458728646</v>
      </c>
      <c r="O50" s="14">
        <v>404.65793648335062</v>
      </c>
      <c r="P50" s="14">
        <v>453.05671758575102</v>
      </c>
      <c r="Q50" s="14">
        <v>506.59345376460055</v>
      </c>
      <c r="R50" s="14">
        <v>565.78725281433742</v>
      </c>
      <c r="S50" s="14"/>
      <c r="T50" s="14"/>
    </row>
    <row r="51" spans="1:20" x14ac:dyDescent="0.35">
      <c r="A51" s="21" t="s">
        <v>32</v>
      </c>
      <c r="B51" s="17" t="s">
        <v>54</v>
      </c>
      <c r="C51" s="13" t="s">
        <v>56</v>
      </c>
      <c r="D51" s="13" t="s">
        <v>56</v>
      </c>
      <c r="E51" s="13" t="s">
        <v>56</v>
      </c>
      <c r="F51" s="14">
        <v>377.66715709756346</v>
      </c>
      <c r="G51" s="14">
        <v>410.9932764015881</v>
      </c>
      <c r="H51" s="14">
        <v>447.9898800854512</v>
      </c>
      <c r="I51" s="14">
        <v>488.50715115595312</v>
      </c>
      <c r="J51" s="14">
        <v>531.87754026634263</v>
      </c>
      <c r="K51" s="14">
        <v>578.81922675694341</v>
      </c>
      <c r="L51" s="14">
        <v>629.96491340945568</v>
      </c>
      <c r="M51" s="14">
        <v>686.54218282463205</v>
      </c>
      <c r="N51" s="14">
        <v>749.2500759913321</v>
      </c>
      <c r="O51" s="14">
        <v>818.57947632831326</v>
      </c>
      <c r="P51" s="14">
        <v>894.00746464233453</v>
      </c>
      <c r="Q51" s="14">
        <v>974.97840926786387</v>
      </c>
      <c r="R51" s="14">
        <v>1062.5105949812314</v>
      </c>
      <c r="S51" s="14"/>
      <c r="T51" s="14"/>
    </row>
    <row r="52" spans="1:20" x14ac:dyDescent="0.35">
      <c r="A52" s="21" t="s">
        <v>32</v>
      </c>
      <c r="B52" s="17" t="s">
        <v>54</v>
      </c>
      <c r="C52" s="13" t="s">
        <v>57</v>
      </c>
      <c r="D52" s="13" t="s">
        <v>57</v>
      </c>
      <c r="E52" s="13" t="s">
        <v>57</v>
      </c>
      <c r="F52" s="14">
        <v>970.73937558843397</v>
      </c>
      <c r="G52" s="14">
        <v>1045.1963967763068</v>
      </c>
      <c r="H52" s="14">
        <v>1122.1089872711657</v>
      </c>
      <c r="I52" s="14">
        <v>1203.004899056001</v>
      </c>
      <c r="J52" s="14">
        <v>1290.7881364949164</v>
      </c>
      <c r="K52" s="14">
        <v>1388.7777220791913</v>
      </c>
      <c r="L52" s="14">
        <v>1499.5454102375586</v>
      </c>
      <c r="M52" s="14">
        <v>1622.3066920012711</v>
      </c>
      <c r="N52" s="14">
        <v>1754.4038027517654</v>
      </c>
      <c r="O52" s="14">
        <v>1895.9497903463123</v>
      </c>
      <c r="P52" s="14">
        <v>2048.6789677591987</v>
      </c>
      <c r="Q52" s="14">
        <v>2214.6589394468892</v>
      </c>
      <c r="R52" s="14">
        <v>2393.2072382110896</v>
      </c>
      <c r="S52" s="14"/>
      <c r="T52" s="14"/>
    </row>
    <row r="53" spans="1:20" x14ac:dyDescent="0.35">
      <c r="A53" s="21" t="s">
        <v>32</v>
      </c>
      <c r="B53" s="17" t="s">
        <v>59</v>
      </c>
      <c r="C53" s="18" t="s">
        <v>60</v>
      </c>
      <c r="D53" s="38" t="s">
        <v>61</v>
      </c>
      <c r="E53" s="39" t="s">
        <v>62</v>
      </c>
      <c r="F53" s="22">
        <v>59.396058894297298</v>
      </c>
      <c r="G53" s="22">
        <v>66.190122121167477</v>
      </c>
      <c r="H53" s="22">
        <v>73.873531489713102</v>
      </c>
      <c r="I53" s="22">
        <v>82.48966286496335</v>
      </c>
      <c r="J53" s="22">
        <v>92.005271838698505</v>
      </c>
      <c r="K53" s="22">
        <v>102.59324888086579</v>
      </c>
      <c r="L53" s="22">
        <v>114.42727827337525</v>
      </c>
      <c r="M53" s="22">
        <v>127.78157191999011</v>
      </c>
      <c r="N53" s="22">
        <v>142.8663793492118</v>
      </c>
      <c r="O53" s="22">
        <v>159.87498949052275</v>
      </c>
      <c r="P53" s="22">
        <v>178.83877601669121</v>
      </c>
      <c r="Q53" s="22">
        <v>199.79186355455641</v>
      </c>
      <c r="R53" s="22">
        <v>223.03758853878438</v>
      </c>
      <c r="S53" s="14"/>
      <c r="T53" s="14"/>
    </row>
    <row r="54" spans="1:20" x14ac:dyDescent="0.35">
      <c r="A54" s="21" t="s">
        <v>32</v>
      </c>
      <c r="B54" s="17" t="s">
        <v>59</v>
      </c>
      <c r="C54" s="18" t="s">
        <v>60</v>
      </c>
      <c r="D54" s="38" t="s">
        <v>61</v>
      </c>
      <c r="E54" s="39" t="s">
        <v>63</v>
      </c>
      <c r="F54" s="22">
        <v>99.237258456594603</v>
      </c>
      <c r="G54" s="22">
        <v>107.93943109966429</v>
      </c>
      <c r="H54" s="22">
        <v>116.99777068364217</v>
      </c>
      <c r="I54" s="22">
        <v>126.61219807382666</v>
      </c>
      <c r="J54" s="22">
        <v>137.17214000503759</v>
      </c>
      <c r="K54" s="22">
        <v>149.08196459784438</v>
      </c>
      <c r="L54" s="22">
        <v>162.67450464434845</v>
      </c>
      <c r="M54" s="22">
        <v>177.86294053486859</v>
      </c>
      <c r="N54" s="22">
        <v>194.34444467603109</v>
      </c>
      <c r="O54" s="22">
        <v>212.15933353223093</v>
      </c>
      <c r="P54" s="22">
        <v>231.58885456988429</v>
      </c>
      <c r="Q54" s="22">
        <v>252.966676406386</v>
      </c>
      <c r="R54" s="22">
        <v>276.23031936001973</v>
      </c>
      <c r="S54" s="14"/>
      <c r="T54" s="14"/>
    </row>
    <row r="55" spans="1:20" x14ac:dyDescent="0.35">
      <c r="A55" s="21" t="s">
        <v>32</v>
      </c>
      <c r="B55" s="17" t="s">
        <v>59</v>
      </c>
      <c r="C55" s="18" t="s">
        <v>60</v>
      </c>
      <c r="D55" s="38" t="s">
        <v>61</v>
      </c>
      <c r="E55" s="39" t="s">
        <v>64</v>
      </c>
      <c r="F55" s="22">
        <v>150.28117416472134</v>
      </c>
      <c r="G55" s="22">
        <v>162.6749342210114</v>
      </c>
      <c r="H55" s="22">
        <v>172.22686272443769</v>
      </c>
      <c r="I55" s="22">
        <v>180.38972151830137</v>
      </c>
      <c r="J55" s="22">
        <v>189.82324371335542</v>
      </c>
      <c r="K55" s="22">
        <v>202.5008335532743</v>
      </c>
      <c r="L55" s="22">
        <v>219.28084095507111</v>
      </c>
      <c r="M55" s="22">
        <v>238.0572603981677</v>
      </c>
      <c r="N55" s="22">
        <v>255.78215252954161</v>
      </c>
      <c r="O55" s="22">
        <v>272.61906057577602</v>
      </c>
      <c r="P55" s="22">
        <v>290.09492934775136</v>
      </c>
      <c r="Q55" s="22">
        <v>310.14377193759628</v>
      </c>
      <c r="R55" s="22">
        <v>331.82412279234165</v>
      </c>
      <c r="S55" s="14"/>
      <c r="T55" s="14"/>
    </row>
    <row r="56" spans="1:20" x14ac:dyDescent="0.35">
      <c r="A56" s="21" t="s">
        <v>32</v>
      </c>
      <c r="B56" s="17" t="s">
        <v>59</v>
      </c>
      <c r="C56" s="18" t="s">
        <v>60</v>
      </c>
      <c r="D56" s="38" t="s">
        <v>65</v>
      </c>
      <c r="E56" s="38" t="s">
        <v>65</v>
      </c>
      <c r="F56" s="41">
        <v>269.41591100921505</v>
      </c>
      <c r="G56" s="41">
        <v>291.44738286222923</v>
      </c>
      <c r="H56" s="41">
        <v>315.80649754179143</v>
      </c>
      <c r="I56" s="41">
        <v>342.3057659865749</v>
      </c>
      <c r="J56" s="41">
        <v>370.47467079383563</v>
      </c>
      <c r="K56" s="41">
        <v>400.66930253075896</v>
      </c>
      <c r="L56" s="41">
        <v>433.38054434016294</v>
      </c>
      <c r="M56" s="41">
        <v>469.42117498683047</v>
      </c>
      <c r="N56" s="41">
        <v>509.28052535002126</v>
      </c>
      <c r="O56" s="41">
        <v>553.22211578704741</v>
      </c>
      <c r="P56" s="41">
        <v>600.78755242694444</v>
      </c>
      <c r="Q56" s="41">
        <v>651.51232506613258</v>
      </c>
      <c r="R56" s="41">
        <v>705.96220082848981</v>
      </c>
      <c r="S56" s="14"/>
      <c r="T56" s="14"/>
    </row>
    <row r="57" spans="1:20" x14ac:dyDescent="0.35">
      <c r="A57" s="21" t="s">
        <v>32</v>
      </c>
      <c r="B57" s="17" t="s">
        <v>59</v>
      </c>
      <c r="C57" s="18" t="s">
        <v>60</v>
      </c>
      <c r="D57" s="38" t="s">
        <v>66</v>
      </c>
      <c r="E57" s="38" t="s">
        <v>66</v>
      </c>
      <c r="F57" s="41">
        <v>169.37879955111538</v>
      </c>
      <c r="G57" s="41">
        <v>182.08174531992452</v>
      </c>
      <c r="H57" s="41">
        <v>196.04859425207866</v>
      </c>
      <c r="I57" s="41">
        <v>211.14096106162833</v>
      </c>
      <c r="J57" s="41">
        <v>227.03649639709766</v>
      </c>
      <c r="K57" s="41">
        <v>244.01165395507411</v>
      </c>
      <c r="L57" s="41">
        <v>262.29532746085061</v>
      </c>
      <c r="M57" s="41">
        <v>282.38081395827692</v>
      </c>
      <c r="N57" s="41">
        <v>304.49658530431742</v>
      </c>
      <c r="O57" s="41">
        <v>328.69082050050548</v>
      </c>
      <c r="P57" s="41">
        <v>354.72580222083491</v>
      </c>
      <c r="Q57" s="41">
        <v>382.28855792153911</v>
      </c>
      <c r="R57" s="41">
        <v>411.65641010844251</v>
      </c>
      <c r="S57" s="14"/>
      <c r="T57" s="14"/>
    </row>
    <row r="58" spans="1:20" x14ac:dyDescent="0.35">
      <c r="A58" s="21" t="s">
        <v>32</v>
      </c>
      <c r="B58" s="17" t="s">
        <v>59</v>
      </c>
      <c r="C58" s="18" t="s">
        <v>60</v>
      </c>
      <c r="D58" s="38" t="s">
        <v>67</v>
      </c>
      <c r="E58" s="38" t="s">
        <v>67</v>
      </c>
      <c r="F58" s="41">
        <v>110.65976518834739</v>
      </c>
      <c r="G58" s="41">
        <v>118.06897747757331</v>
      </c>
      <c r="H58" s="41">
        <v>126.17405849232416</v>
      </c>
      <c r="I58" s="41">
        <v>134.90617855238386</v>
      </c>
      <c r="J58" s="41">
        <v>144.07280703770027</v>
      </c>
      <c r="K58" s="41">
        <v>153.82450748262161</v>
      </c>
      <c r="L58" s="41">
        <v>164.2789211058622</v>
      </c>
      <c r="M58" s="41">
        <v>175.66604573886673</v>
      </c>
      <c r="N58" s="41">
        <v>188.07747014882199</v>
      </c>
      <c r="O58" s="41">
        <v>201.55246266672185</v>
      </c>
      <c r="P58" s="41">
        <v>215.90461872174993</v>
      </c>
      <c r="Q58" s="41">
        <v>230.96610657376459</v>
      </c>
      <c r="R58" s="41">
        <v>246.89062139534602</v>
      </c>
      <c r="S58" s="14"/>
      <c r="T58" s="14"/>
    </row>
    <row r="59" spans="1:20" x14ac:dyDescent="0.35">
      <c r="A59" s="21" t="s">
        <v>32</v>
      </c>
      <c r="B59" s="17" t="s">
        <v>59</v>
      </c>
      <c r="C59" s="18" t="s">
        <v>60</v>
      </c>
      <c r="D59" s="38" t="s">
        <v>68</v>
      </c>
      <c r="E59" s="38" t="s">
        <v>68</v>
      </c>
      <c r="F59" s="41">
        <v>182.52697948597924</v>
      </c>
      <c r="G59" s="41">
        <v>199.18559846544335</v>
      </c>
      <c r="H59" s="41">
        <v>217.57452154181445</v>
      </c>
      <c r="I59" s="41">
        <v>237.97071586617815</v>
      </c>
      <c r="J59" s="41">
        <v>260.64019301686704</v>
      </c>
      <c r="K59" s="41">
        <v>285.88659839418443</v>
      </c>
      <c r="L59" s="41">
        <v>314.0158426061198</v>
      </c>
      <c r="M59" s="41">
        <v>345.13378957735637</v>
      </c>
      <c r="N59" s="41">
        <v>379.33176719189106</v>
      </c>
      <c r="O59" s="41">
        <v>416.74626978299261</v>
      </c>
      <c r="P59" s="41">
        <v>457.50826502372905</v>
      </c>
      <c r="Q59" s="41">
        <v>502.01483842030461</v>
      </c>
      <c r="R59" s="41">
        <v>550.36706800250238</v>
      </c>
      <c r="S59" s="14"/>
      <c r="T59" s="14"/>
    </row>
    <row r="60" spans="1:20" x14ac:dyDescent="0.35">
      <c r="A60" s="21" t="s">
        <v>32</v>
      </c>
      <c r="B60" s="17" t="s">
        <v>59</v>
      </c>
      <c r="C60" s="18" t="s">
        <v>60</v>
      </c>
      <c r="D60" s="38" t="s">
        <v>69</v>
      </c>
      <c r="E60" s="38" t="s">
        <v>69</v>
      </c>
      <c r="F60" s="41">
        <v>204.69367603307433</v>
      </c>
      <c r="G60" s="41">
        <v>216.99712686159972</v>
      </c>
      <c r="H60" s="41">
        <v>230.31130599294119</v>
      </c>
      <c r="I60" s="41">
        <v>244.32862556270376</v>
      </c>
      <c r="J60" s="41">
        <v>258.96000818587856</v>
      </c>
      <c r="K60" s="41">
        <v>273.98142472383608</v>
      </c>
      <c r="L60" s="41">
        <v>290.10540749796502</v>
      </c>
      <c r="M60" s="41">
        <v>307.7656207308525</v>
      </c>
      <c r="N60" s="41">
        <v>327.37144939450769</v>
      </c>
      <c r="O60" s="41">
        <v>348.95161640804747</v>
      </c>
      <c r="P60" s="41">
        <v>372.05665507461902</v>
      </c>
      <c r="Q60" s="41">
        <v>396.29381301040667</v>
      </c>
      <c r="R60" s="41">
        <v>421.64182612167446</v>
      </c>
      <c r="S60" s="14"/>
      <c r="T60" s="14"/>
    </row>
    <row r="61" spans="1:20" x14ac:dyDescent="0.35">
      <c r="A61" s="21" t="s">
        <v>32</v>
      </c>
      <c r="B61" s="17" t="s">
        <v>59</v>
      </c>
      <c r="C61" s="18" t="s">
        <v>70</v>
      </c>
      <c r="D61" s="19" t="s">
        <v>71</v>
      </c>
      <c r="E61" s="19" t="s">
        <v>71</v>
      </c>
      <c r="F61" s="22">
        <v>39.145381789570948</v>
      </c>
      <c r="G61" s="22">
        <v>43.768141599043183</v>
      </c>
      <c r="H61" s="22">
        <v>48.986363513452694</v>
      </c>
      <c r="I61" s="22">
        <v>54.810916242901612</v>
      </c>
      <c r="J61" s="22">
        <v>61.244560660093697</v>
      </c>
      <c r="K61" s="22">
        <v>68.415500039222593</v>
      </c>
      <c r="L61" s="22">
        <v>76.457897614845763</v>
      </c>
      <c r="M61" s="22">
        <v>85.640678097301446</v>
      </c>
      <c r="N61" s="22">
        <v>96.162687866157142</v>
      </c>
      <c r="O61" s="22">
        <v>108.0568912765558</v>
      </c>
      <c r="P61" s="22">
        <v>121.51251776413176</v>
      </c>
      <c r="Q61" s="22">
        <v>136.53858830466248</v>
      </c>
      <c r="R61" s="22">
        <v>153.22931883997444</v>
      </c>
      <c r="S61" s="14"/>
      <c r="T61" s="14"/>
    </row>
    <row r="62" spans="1:20" x14ac:dyDescent="0.35">
      <c r="A62" s="21" t="s">
        <v>32</v>
      </c>
      <c r="B62" s="17" t="s">
        <v>59</v>
      </c>
      <c r="C62" s="18" t="s">
        <v>70</v>
      </c>
      <c r="D62" s="19" t="s">
        <v>72</v>
      </c>
      <c r="E62" s="19" t="s">
        <v>72</v>
      </c>
      <c r="F62" s="22">
        <v>30.751282506510115</v>
      </c>
      <c r="G62" s="22">
        <v>34.785096927364421</v>
      </c>
      <c r="H62" s="22">
        <v>39.407137057761616</v>
      </c>
      <c r="I62" s="22">
        <v>44.664833454563592</v>
      </c>
      <c r="J62" s="22">
        <v>50.566040877944673</v>
      </c>
      <c r="K62" s="22">
        <v>57.232368952413474</v>
      </c>
      <c r="L62" s="22">
        <v>64.79244791282494</v>
      </c>
      <c r="M62" s="22">
        <v>73.43933146722064</v>
      </c>
      <c r="N62" s="22">
        <v>83.339671088544364</v>
      </c>
      <c r="O62" s="22">
        <v>94.658860145159153</v>
      </c>
      <c r="P62" s="22">
        <v>107.47431905765242</v>
      </c>
      <c r="Q62" s="22">
        <v>121.86780839604225</v>
      </c>
      <c r="R62" s="22">
        <v>138.09003642610872</v>
      </c>
      <c r="S62" s="22"/>
      <c r="T62" s="22"/>
    </row>
    <row r="63" spans="1:20" x14ac:dyDescent="0.35">
      <c r="A63" s="21" t="s">
        <v>32</v>
      </c>
      <c r="B63" s="17" t="s">
        <v>59</v>
      </c>
      <c r="C63" s="18" t="s">
        <v>70</v>
      </c>
      <c r="D63" s="19" t="s">
        <v>73</v>
      </c>
      <c r="E63" s="19" t="s">
        <v>73</v>
      </c>
      <c r="F63" s="22">
        <v>27.133255150011976</v>
      </c>
      <c r="G63" s="22">
        <v>29.643585589356753</v>
      </c>
      <c r="H63" s="22">
        <v>32.442938106751257</v>
      </c>
      <c r="I63" s="22">
        <v>35.494447495426051</v>
      </c>
      <c r="J63" s="22">
        <v>38.783107146651751</v>
      </c>
      <c r="K63" s="22">
        <v>42.283467202090989</v>
      </c>
      <c r="L63" s="22">
        <v>46.114938397264964</v>
      </c>
      <c r="M63" s="22">
        <v>50.391528265469567</v>
      </c>
      <c r="N63" s="22">
        <v>55.232417365653312</v>
      </c>
      <c r="O63" s="22">
        <v>60.673533048798603</v>
      </c>
      <c r="P63" s="22">
        <v>66.674258661572651</v>
      </c>
      <c r="Q63" s="22">
        <v>73.18255719154395</v>
      </c>
      <c r="R63" s="22">
        <v>80.229430858745317</v>
      </c>
      <c r="S63" s="22"/>
      <c r="T63" s="22"/>
    </row>
    <row r="64" spans="1:20" x14ac:dyDescent="0.35">
      <c r="A64" s="21" t="s">
        <v>32</v>
      </c>
      <c r="B64" s="17" t="s">
        <v>59</v>
      </c>
      <c r="C64" s="18" t="s">
        <v>70</v>
      </c>
      <c r="D64" s="19" t="s">
        <v>74</v>
      </c>
      <c r="E64" s="19" t="s">
        <v>74</v>
      </c>
      <c r="F64" s="22">
        <v>33.398067456907164</v>
      </c>
      <c r="G64" s="22">
        <v>36.7324400233489</v>
      </c>
      <c r="H64" s="22">
        <v>40.448173347868376</v>
      </c>
      <c r="I64" s="22">
        <v>44.521706964287773</v>
      </c>
      <c r="J64" s="22">
        <v>48.937790891822964</v>
      </c>
      <c r="K64" s="22">
        <v>53.78567760848663</v>
      </c>
      <c r="L64" s="22">
        <v>59.152197597504085</v>
      </c>
      <c r="M64" s="22">
        <v>65.224830913707692</v>
      </c>
      <c r="N64" s="22">
        <v>72.1110462887941</v>
      </c>
      <c r="O64" s="22">
        <v>79.766943259666249</v>
      </c>
      <c r="P64" s="22">
        <v>88.270964970193376</v>
      </c>
      <c r="Q64" s="22">
        <v>97.580957303717597</v>
      </c>
      <c r="R64" s="22">
        <v>107.72701945169281</v>
      </c>
      <c r="S64" s="22"/>
      <c r="T64" s="22"/>
    </row>
    <row r="65" spans="1:20" x14ac:dyDescent="0.35">
      <c r="A65" s="21" t="s">
        <v>32</v>
      </c>
      <c r="B65" s="17" t="s">
        <v>59</v>
      </c>
      <c r="C65" s="18" t="s">
        <v>70</v>
      </c>
      <c r="D65" s="19" t="s">
        <v>75</v>
      </c>
      <c r="E65" s="19" t="s">
        <v>75</v>
      </c>
      <c r="F65" s="22">
        <v>23.205742560920669</v>
      </c>
      <c r="G65" s="22">
        <v>25.675975922197679</v>
      </c>
      <c r="H65" s="22">
        <v>28.43622068824309</v>
      </c>
      <c r="I65" s="22">
        <v>31.533658993562486</v>
      </c>
      <c r="J65" s="22">
        <v>35.016356141333745</v>
      </c>
      <c r="K65" s="22">
        <v>38.939766799584952</v>
      </c>
      <c r="L65" s="22">
        <v>43.362347058921912</v>
      </c>
      <c r="M65" s="22">
        <v>48.317730609721856</v>
      </c>
      <c r="N65" s="22">
        <v>53.838889250617228</v>
      </c>
      <c r="O65" s="22">
        <v>59.966515752077896</v>
      </c>
      <c r="P65" s="22">
        <v>66.742218344481472</v>
      </c>
      <c r="Q65" s="22">
        <v>74.248152660146488</v>
      </c>
      <c r="R65" s="22">
        <v>82.526628198735906</v>
      </c>
      <c r="S65" s="22"/>
      <c r="T65" s="22"/>
    </row>
    <row r="66" spans="1:20" x14ac:dyDescent="0.35">
      <c r="A66" s="21" t="s">
        <v>32</v>
      </c>
      <c r="B66" s="17" t="s">
        <v>59</v>
      </c>
      <c r="C66" s="18" t="s">
        <v>76</v>
      </c>
      <c r="D66" s="19" t="s">
        <v>77</v>
      </c>
      <c r="E66" s="19" t="s">
        <v>77</v>
      </c>
      <c r="F66" s="22">
        <v>28.907526186004123</v>
      </c>
      <c r="G66" s="22">
        <v>31.620134110789174</v>
      </c>
      <c r="H66" s="22">
        <v>34.626360595096173</v>
      </c>
      <c r="I66" s="22">
        <v>37.902805756262339</v>
      </c>
      <c r="J66" s="22">
        <v>41.431272544176679</v>
      </c>
      <c r="K66" s="22">
        <v>45.278976932778562</v>
      </c>
      <c r="L66" s="22">
        <v>49.512753932271195</v>
      </c>
      <c r="M66" s="22">
        <v>54.276136082631432</v>
      </c>
      <c r="N66" s="22">
        <v>59.651306763017104</v>
      </c>
      <c r="O66" s="22">
        <v>65.594625700319071</v>
      </c>
      <c r="P66" s="22">
        <v>72.166610041827909</v>
      </c>
      <c r="Q66" s="22">
        <v>79.329969363973845</v>
      </c>
      <c r="R66" s="22">
        <v>87.091506935817634</v>
      </c>
      <c r="S66" s="22"/>
      <c r="T66" s="22"/>
    </row>
    <row r="67" spans="1:20" x14ac:dyDescent="0.35">
      <c r="A67" s="21" t="s">
        <v>32</v>
      </c>
      <c r="B67" s="17" t="s">
        <v>59</v>
      </c>
      <c r="C67" s="18" t="s">
        <v>76</v>
      </c>
      <c r="D67" s="19" t="s">
        <v>78</v>
      </c>
      <c r="E67" s="19" t="s">
        <v>78</v>
      </c>
      <c r="F67" s="22">
        <v>27.840521165424697</v>
      </c>
      <c r="G67" s="22">
        <v>30.032945834280806</v>
      </c>
      <c r="H67" s="22">
        <v>32.306538394974929</v>
      </c>
      <c r="I67" s="22">
        <v>34.704852331736411</v>
      </c>
      <c r="J67" s="22">
        <v>37.310407677164264</v>
      </c>
      <c r="K67" s="22">
        <v>40.219602153354373</v>
      </c>
      <c r="L67" s="22">
        <v>43.50812204649143</v>
      </c>
      <c r="M67" s="22">
        <v>47.156774699734967</v>
      </c>
      <c r="N67" s="22">
        <v>51.091960613863257</v>
      </c>
      <c r="O67" s="22">
        <v>55.318846579929904</v>
      </c>
      <c r="P67" s="22">
        <v>59.888303829022732</v>
      </c>
      <c r="Q67" s="22">
        <v>64.861197070374914</v>
      </c>
      <c r="R67" s="22">
        <v>70.220916526031388</v>
      </c>
      <c r="S67" s="22"/>
      <c r="T67" s="22"/>
    </row>
    <row r="68" spans="1:20" x14ac:dyDescent="0.35">
      <c r="A68" s="21" t="s">
        <v>32</v>
      </c>
      <c r="B68" s="17" t="s">
        <v>59</v>
      </c>
      <c r="C68" s="18" t="s">
        <v>76</v>
      </c>
      <c r="D68" s="19" t="s">
        <v>79</v>
      </c>
      <c r="E68" s="19" t="s">
        <v>79</v>
      </c>
      <c r="F68" s="22">
        <v>16.140995144392544</v>
      </c>
      <c r="G68" s="22">
        <v>18.003640747320944</v>
      </c>
      <c r="H68" s="22">
        <v>20.091385220031267</v>
      </c>
      <c r="I68" s="22">
        <v>22.403805957229267</v>
      </c>
      <c r="J68" s="22">
        <v>24.947813076127019</v>
      </c>
      <c r="K68" s="22">
        <v>27.781627721359236</v>
      </c>
      <c r="L68" s="22">
        <v>30.965596665342897</v>
      </c>
      <c r="M68" s="22">
        <v>34.604059825475261</v>
      </c>
      <c r="N68" s="22">
        <v>38.764451957056146</v>
      </c>
      <c r="O68" s="22">
        <v>43.44545555774863</v>
      </c>
      <c r="P68" s="22">
        <v>48.719971970701216</v>
      </c>
      <c r="Q68" s="22">
        <v>54.597563526746214</v>
      </c>
      <c r="R68" s="22">
        <v>61.110837889728366</v>
      </c>
      <c r="S68" s="22"/>
      <c r="T68" s="22"/>
    </row>
    <row r="69" spans="1:20" x14ac:dyDescent="0.35">
      <c r="A69" s="21" t="s">
        <v>32</v>
      </c>
      <c r="B69" s="17" t="s">
        <v>59</v>
      </c>
      <c r="C69" s="18" t="s">
        <v>76</v>
      </c>
      <c r="D69" s="19" t="s">
        <v>80</v>
      </c>
      <c r="E69" s="19" t="s">
        <v>80</v>
      </c>
      <c r="F69" s="22">
        <v>13.777131903819203</v>
      </c>
      <c r="G69" s="22">
        <v>14.757041012930268</v>
      </c>
      <c r="H69" s="22">
        <v>15.836247229356253</v>
      </c>
      <c r="I69" s="22">
        <v>16.989190640105129</v>
      </c>
      <c r="J69" s="22">
        <v>18.203518797595528</v>
      </c>
      <c r="K69" s="22">
        <v>19.456204746277219</v>
      </c>
      <c r="L69" s="22">
        <v>20.801691827872467</v>
      </c>
      <c r="M69" s="22">
        <v>22.281947381799828</v>
      </c>
      <c r="N69" s="22">
        <v>23.941937455682112</v>
      </c>
      <c r="O69" s="22">
        <v>25.789574898242286</v>
      </c>
      <c r="P69" s="22">
        <v>27.788537221139116</v>
      </c>
      <c r="Q69" s="22">
        <v>29.905542101707628</v>
      </c>
      <c r="R69" s="22">
        <v>32.144953090525064</v>
      </c>
      <c r="S69" s="22"/>
      <c r="T69" s="22"/>
    </row>
    <row r="70" spans="1:20" x14ac:dyDescent="0.35">
      <c r="A70" s="21" t="s">
        <v>32</v>
      </c>
      <c r="B70" s="17" t="s">
        <v>59</v>
      </c>
      <c r="C70" s="18" t="s">
        <v>76</v>
      </c>
      <c r="D70" s="19" t="s">
        <v>81</v>
      </c>
      <c r="E70" s="19" t="s">
        <v>81</v>
      </c>
      <c r="F70" s="22">
        <v>15.007201159753894</v>
      </c>
      <c r="G70" s="22">
        <v>16.265796821165207</v>
      </c>
      <c r="H70" s="22">
        <v>17.649155090670302</v>
      </c>
      <c r="I70" s="22">
        <v>19.170938622952111</v>
      </c>
      <c r="J70" s="22">
        <v>20.845500198618986</v>
      </c>
      <c r="K70" s="22">
        <v>22.687629780261634</v>
      </c>
      <c r="L70" s="22">
        <v>24.723839803550224</v>
      </c>
      <c r="M70" s="22">
        <v>26.964813386016299</v>
      </c>
      <c r="N70" s="22">
        <v>29.420810736655245</v>
      </c>
      <c r="O70" s="22">
        <v>32.099288195634074</v>
      </c>
      <c r="P70" s="22">
        <v>34.999994724357698</v>
      </c>
      <c r="Q70" s="22">
        <v>38.140513669751982</v>
      </c>
      <c r="R70" s="22">
        <v>41.524280641697459</v>
      </c>
      <c r="S70" s="22"/>
      <c r="T70" s="22"/>
    </row>
    <row r="71" spans="1:20" x14ac:dyDescent="0.35">
      <c r="A71" s="21" t="s">
        <v>32</v>
      </c>
      <c r="B71" s="17" t="s">
        <v>47</v>
      </c>
      <c r="C71" s="13" t="s">
        <v>82</v>
      </c>
      <c r="D71" s="13" t="s">
        <v>82</v>
      </c>
      <c r="E71" s="13" t="s">
        <v>82</v>
      </c>
      <c r="F71" s="14">
        <v>530.15735221822592</v>
      </c>
      <c r="G71" s="14">
        <v>580.67372024010388</v>
      </c>
      <c r="H71" s="14">
        <v>637.1346746917834</v>
      </c>
      <c r="I71" s="14">
        <v>699.33608688958623</v>
      </c>
      <c r="J71" s="14">
        <v>766.68306250508363</v>
      </c>
      <c r="K71" s="14">
        <v>839.85263397509789</v>
      </c>
      <c r="L71" s="14">
        <v>920.30508950308706</v>
      </c>
      <c r="M71" s="14">
        <v>1010.0603565730175</v>
      </c>
      <c r="N71" s="14">
        <v>1110.7021505786186</v>
      </c>
      <c r="O71" s="14">
        <v>1223.2374128116639</v>
      </c>
      <c r="P71" s="14">
        <v>1347.0641822280854</v>
      </c>
      <c r="Q71" s="14">
        <v>1481.5718630324645</v>
      </c>
      <c r="R71" s="14">
        <v>1628.2978477955689</v>
      </c>
      <c r="S71" s="14"/>
      <c r="T71" s="14"/>
    </row>
    <row r="72" spans="1:20" x14ac:dyDescent="0.35">
      <c r="A72" s="21" t="s">
        <v>32</v>
      </c>
      <c r="B72" s="17" t="s">
        <v>47</v>
      </c>
      <c r="C72" s="13" t="s">
        <v>83</v>
      </c>
      <c r="D72" s="13" t="s">
        <v>83</v>
      </c>
      <c r="E72" s="13" t="s">
        <v>83</v>
      </c>
      <c r="F72" s="14">
        <v>970.73937558843397</v>
      </c>
      <c r="G72" s="14">
        <v>1045.1963967763068</v>
      </c>
      <c r="H72" s="14">
        <v>1122.1089872711657</v>
      </c>
      <c r="I72" s="14">
        <v>1203.004899056001</v>
      </c>
      <c r="J72" s="14">
        <v>1290.7881364949164</v>
      </c>
      <c r="K72" s="14">
        <v>1388.7777220791913</v>
      </c>
      <c r="L72" s="14">
        <v>1499.5454102375586</v>
      </c>
      <c r="M72" s="14">
        <v>1622.3066920012711</v>
      </c>
      <c r="N72" s="14">
        <v>1754.4038027517654</v>
      </c>
      <c r="O72" s="14">
        <v>1895.9497903463123</v>
      </c>
      <c r="P72" s="14">
        <v>2048.6789677591987</v>
      </c>
      <c r="Q72" s="14">
        <v>2214.6589394468892</v>
      </c>
      <c r="R72" s="14">
        <v>2393.2072382110896</v>
      </c>
      <c r="S72" s="14"/>
      <c r="T72" s="14"/>
    </row>
    <row r="73" spans="1:20" x14ac:dyDescent="0.35">
      <c r="A73" s="21" t="s">
        <v>32</v>
      </c>
      <c r="B73" s="17" t="s">
        <v>84</v>
      </c>
      <c r="C73" s="13" t="s">
        <v>85</v>
      </c>
      <c r="D73" s="13" t="s">
        <v>85</v>
      </c>
      <c r="E73" s="13" t="s">
        <v>85</v>
      </c>
      <c r="F73" s="14">
        <v>106.49936328465546</v>
      </c>
      <c r="G73" s="14">
        <v>113.3125763269729</v>
      </c>
      <c r="H73" s="14">
        <v>120.20968432691895</v>
      </c>
      <c r="I73" s="14">
        <v>127.34739706946893</v>
      </c>
      <c r="J73" s="14">
        <v>135.02009957131756</v>
      </c>
      <c r="K73" s="14">
        <v>143.55188860477466</v>
      </c>
      <c r="L73" s="14">
        <v>153.17383787691315</v>
      </c>
      <c r="M73" s="14">
        <v>163.76328563108314</v>
      </c>
      <c r="N73" s="14">
        <v>175.01330045105016</v>
      </c>
      <c r="O73" s="14">
        <v>186.90631780984944</v>
      </c>
      <c r="P73" s="14">
        <v>199.58413692255209</v>
      </c>
      <c r="Q73" s="14">
        <v>213.21364171737045</v>
      </c>
      <c r="R73" s="14">
        <v>227.68920758138768</v>
      </c>
      <c r="S73" s="14"/>
      <c r="T73" s="14"/>
    </row>
    <row r="74" spans="1:20" x14ac:dyDescent="0.35">
      <c r="A74" s="21" t="s">
        <v>32</v>
      </c>
      <c r="B74" s="17" t="s">
        <v>84</v>
      </c>
      <c r="C74" s="13" t="s">
        <v>86</v>
      </c>
      <c r="D74" s="13" t="s">
        <v>86</v>
      </c>
      <c r="E74" s="13" t="s">
        <v>86</v>
      </c>
      <c r="F74" s="14">
        <v>276.58918009720668</v>
      </c>
      <c r="G74" s="14">
        <v>295.52840370705655</v>
      </c>
      <c r="H74" s="14">
        <v>314.86619375929462</v>
      </c>
      <c r="I74" s="14">
        <v>335.00811023097424</v>
      </c>
      <c r="J74" s="14">
        <v>356.7193779578356</v>
      </c>
      <c r="K74" s="14">
        <v>380.86923579460301</v>
      </c>
      <c r="L74" s="14">
        <v>408.09687550801391</v>
      </c>
      <c r="M74" s="14">
        <v>438.12706270598278</v>
      </c>
      <c r="N74" s="14">
        <v>470.18757344362967</v>
      </c>
      <c r="O74" s="14">
        <v>504.25761948954619</v>
      </c>
      <c r="P74" s="14">
        <v>540.73167630445437</v>
      </c>
      <c r="Q74" s="14">
        <v>580.07827628175778</v>
      </c>
      <c r="R74" s="14">
        <v>622.05487837109035</v>
      </c>
      <c r="S74" s="14"/>
      <c r="T74" s="14"/>
    </row>
    <row r="75" spans="1:20" x14ac:dyDescent="0.35">
      <c r="A75" s="21" t="s">
        <v>32</v>
      </c>
      <c r="B75" s="17" t="s">
        <v>84</v>
      </c>
      <c r="C75" s="40" t="s">
        <v>87</v>
      </c>
      <c r="D75" s="40" t="s">
        <v>87</v>
      </c>
      <c r="E75" s="40" t="s">
        <v>87</v>
      </c>
      <c r="F75" s="42">
        <v>453.36970581732157</v>
      </c>
      <c r="G75" s="42">
        <v>500.46739175769903</v>
      </c>
      <c r="H75" s="42">
        <v>550.37469675449927</v>
      </c>
      <c r="I75" s="42">
        <v>603.45325646778076</v>
      </c>
      <c r="J75" s="42">
        <v>660.20217126256557</v>
      </c>
      <c r="K75" s="42">
        <v>721.96468455560421</v>
      </c>
      <c r="L75" s="42">
        <v>791.00154862189765</v>
      </c>
      <c r="M75" s="42">
        <v>867.82763323415656</v>
      </c>
      <c r="N75" s="42">
        <v>952.8250140109393</v>
      </c>
      <c r="O75" s="42">
        <v>1047.6671570306753</v>
      </c>
      <c r="P75" s="42">
        <v>1153.6912963165571</v>
      </c>
      <c r="Q75" s="42">
        <v>1272.0987466668018</v>
      </c>
      <c r="R75" s="42">
        <v>1403.1184698964596</v>
      </c>
      <c r="S75" s="14"/>
      <c r="T75" s="14"/>
    </row>
    <row r="76" spans="1:20" x14ac:dyDescent="0.35">
      <c r="A76" s="21" t="s">
        <v>32</v>
      </c>
      <c r="B76" s="17" t="s">
        <v>84</v>
      </c>
      <c r="C76" s="13" t="s">
        <v>88</v>
      </c>
      <c r="D76" s="13" t="s">
        <v>88</v>
      </c>
      <c r="E76" s="13" t="s">
        <v>88</v>
      </c>
      <c r="F76" s="14">
        <v>335.53697481024432</v>
      </c>
      <c r="G76" s="14">
        <v>363.28442681467982</v>
      </c>
      <c r="H76" s="14">
        <v>393.93446787788309</v>
      </c>
      <c r="I76" s="14">
        <v>427.82970188849521</v>
      </c>
      <c r="J76" s="14">
        <v>465.49996304763516</v>
      </c>
      <c r="K76" s="14">
        <v>507.7315708973648</v>
      </c>
      <c r="L76" s="14">
        <v>554.98268700573021</v>
      </c>
      <c r="M76" s="14">
        <v>607.74481462188658</v>
      </c>
      <c r="N76" s="14">
        <v>665.72964065859605</v>
      </c>
      <c r="O76" s="14">
        <v>728.8073553137267</v>
      </c>
      <c r="P76" s="14">
        <v>796.40882993031732</v>
      </c>
      <c r="Q76" s="14">
        <v>868.42767973628895</v>
      </c>
      <c r="R76" s="14">
        <v>945.60305388096981</v>
      </c>
      <c r="S76" s="14"/>
      <c r="T76" s="14"/>
    </row>
    <row r="77" spans="1:20" x14ac:dyDescent="0.35">
      <c r="A77" s="21" t="s">
        <v>32</v>
      </c>
      <c r="B77" s="17" t="s">
        <v>84</v>
      </c>
      <c r="C77" s="13" t="s">
        <v>89</v>
      </c>
      <c r="D77" s="13" t="s">
        <v>89</v>
      </c>
      <c r="E77" s="13" t="s">
        <v>89</v>
      </c>
      <c r="F77" s="14">
        <v>112.01237987485598</v>
      </c>
      <c r="G77" s="14">
        <v>121.16816654819721</v>
      </c>
      <c r="H77" s="14">
        <v>131.22251856870889</v>
      </c>
      <c r="I77" s="14">
        <v>142.04577608709346</v>
      </c>
      <c r="J77" s="14">
        <v>153.53347939416437</v>
      </c>
      <c r="K77" s="14">
        <v>165.90904237160376</v>
      </c>
      <c r="L77" s="14">
        <v>179.38378150677343</v>
      </c>
      <c r="M77" s="14">
        <v>194.44637767111337</v>
      </c>
      <c r="N77" s="14">
        <v>211.33753955879996</v>
      </c>
      <c r="O77" s="14">
        <v>229.82839437657924</v>
      </c>
      <c r="P77" s="14">
        <v>250.0727076705345</v>
      </c>
      <c r="Q77" s="14">
        <v>271.86512810101232</v>
      </c>
      <c r="R77" s="14">
        <v>295.16660153982372</v>
      </c>
      <c r="S77" s="14"/>
      <c r="T77" s="14"/>
    </row>
    <row r="78" spans="1:20" x14ac:dyDescent="0.35">
      <c r="A78" s="21" t="s">
        <v>32</v>
      </c>
      <c r="B78" s="17" t="s">
        <v>84</v>
      </c>
      <c r="C78" s="13" t="s">
        <v>90</v>
      </c>
      <c r="D78" s="13" t="s">
        <v>90</v>
      </c>
      <c r="E78" s="13" t="s">
        <v>90</v>
      </c>
      <c r="F78" s="14">
        <v>216.88912392237597</v>
      </c>
      <c r="G78" s="14">
        <v>232.10915186180489</v>
      </c>
      <c r="H78" s="14">
        <v>248.63610067564412</v>
      </c>
      <c r="I78" s="14">
        <v>266.65674420177459</v>
      </c>
      <c r="J78" s="14">
        <v>286.49610776648194</v>
      </c>
      <c r="K78" s="14">
        <v>308.60393383033897</v>
      </c>
      <c r="L78" s="14">
        <v>333.2117692213173</v>
      </c>
      <c r="M78" s="14">
        <v>360.45787471006645</v>
      </c>
      <c r="N78" s="14">
        <v>390.01288520736887</v>
      </c>
      <c r="O78" s="14">
        <v>421.72035913759919</v>
      </c>
      <c r="P78" s="14">
        <v>455.25450284286927</v>
      </c>
      <c r="Q78" s="14">
        <v>490.54732997612194</v>
      </c>
      <c r="R78" s="14">
        <v>527.87287473692697</v>
      </c>
      <c r="S78" s="14"/>
      <c r="T78" s="14"/>
    </row>
    <row r="79" spans="1:20" x14ac:dyDescent="0.35">
      <c r="A79" s="21" t="s">
        <v>32</v>
      </c>
      <c r="B79" s="17" t="s">
        <v>91</v>
      </c>
      <c r="C79" s="13" t="s">
        <v>92</v>
      </c>
      <c r="D79" s="13" t="s">
        <v>92</v>
      </c>
      <c r="E79" s="13" t="s">
        <v>92</v>
      </c>
      <c r="F79" s="14">
        <v>603.90088245525669</v>
      </c>
      <c r="G79" s="14">
        <v>657.66003710380528</v>
      </c>
      <c r="H79" s="14">
        <v>716.97967778678935</v>
      </c>
      <c r="I79" s="14">
        <v>782.49842216491822</v>
      </c>
      <c r="J79" s="14">
        <v>854.89279657303621</v>
      </c>
      <c r="K79" s="14">
        <v>934.87190050418781</v>
      </c>
      <c r="L79" s="14">
        <v>1023.6277412064579</v>
      </c>
      <c r="M79" s="14">
        <v>1121.7177481248648</v>
      </c>
      <c r="N79" s="14">
        <v>1229.68995854331</v>
      </c>
      <c r="O79" s="14">
        <v>1347.9913068637213</v>
      </c>
      <c r="P79" s="14">
        <v>1476.760819870553</v>
      </c>
      <c r="Q79" s="14">
        <v>1616.8948707817531</v>
      </c>
      <c r="R79" s="14">
        <v>1768.6954061291412</v>
      </c>
      <c r="S79" s="14"/>
      <c r="T79" s="14"/>
    </row>
    <row r="80" spans="1:20" x14ac:dyDescent="0.35">
      <c r="A80" s="21" t="s">
        <v>32</v>
      </c>
      <c r="B80" s="17" t="s">
        <v>91</v>
      </c>
      <c r="C80" s="13" t="s">
        <v>93</v>
      </c>
      <c r="D80" s="13" t="s">
        <v>93</v>
      </c>
      <c r="E80" s="13" t="s">
        <v>93</v>
      </c>
      <c r="F80" s="14">
        <v>896.99584535140332</v>
      </c>
      <c r="G80" s="14">
        <v>968.21007991260512</v>
      </c>
      <c r="H80" s="14">
        <v>1042.2639841761595</v>
      </c>
      <c r="I80" s="14">
        <v>1119.842563780669</v>
      </c>
      <c r="J80" s="14">
        <v>1202.578402426964</v>
      </c>
      <c r="K80" s="14">
        <v>1293.7584555501016</v>
      </c>
      <c r="L80" s="14">
        <v>1396.2227585341875</v>
      </c>
      <c r="M80" s="14">
        <v>1510.6493004494239</v>
      </c>
      <c r="N80" s="14">
        <v>1635.4159947870739</v>
      </c>
      <c r="O80" s="14">
        <v>1771.1958962942547</v>
      </c>
      <c r="P80" s="14">
        <v>1918.9823301167316</v>
      </c>
      <c r="Q80" s="14">
        <v>2079.3359316976007</v>
      </c>
      <c r="R80" s="14">
        <v>2252.8096798775168</v>
      </c>
      <c r="S80" s="14"/>
      <c r="T80" s="14"/>
    </row>
    <row r="81" spans="1:20" x14ac:dyDescent="0.35">
      <c r="A81" s="21" t="s">
        <v>32</v>
      </c>
      <c r="B81" s="17" t="s">
        <v>94</v>
      </c>
      <c r="C81" s="13" t="s">
        <v>95</v>
      </c>
      <c r="D81" s="13" t="s">
        <v>95</v>
      </c>
      <c r="E81" s="13" t="s">
        <v>95</v>
      </c>
      <c r="F81" s="14">
        <v>105.39483754885219</v>
      </c>
      <c r="G81" s="14">
        <v>116.34904660444177</v>
      </c>
      <c r="H81" s="14">
        <v>128.6549237863367</v>
      </c>
      <c r="I81" s="14">
        <v>142.29863583839986</v>
      </c>
      <c r="J81" s="14">
        <v>157.16397649560164</v>
      </c>
      <c r="K81" s="14">
        <v>173.43471752998474</v>
      </c>
      <c r="L81" s="14">
        <v>191.41919000203404</v>
      </c>
      <c r="M81" s="14">
        <v>211.56967055810159</v>
      </c>
      <c r="N81" s="14">
        <v>234.24165696115622</v>
      </c>
      <c r="O81" s="14">
        <v>259.69091420629758</v>
      </c>
      <c r="P81" s="14">
        <v>287.84160563311781</v>
      </c>
      <c r="Q81" s="14">
        <v>318.6048345551763</v>
      </c>
      <c r="R81" s="14">
        <v>352.37369731196389</v>
      </c>
      <c r="S81" s="14"/>
      <c r="T81" s="14"/>
    </row>
    <row r="82" spans="1:20" x14ac:dyDescent="0.35">
      <c r="A82" s="21" t="s">
        <v>32</v>
      </c>
      <c r="B82" s="17" t="s">
        <v>94</v>
      </c>
      <c r="C82" s="40" t="s">
        <v>96</v>
      </c>
      <c r="D82" s="40" t="s">
        <v>96</v>
      </c>
      <c r="E82" s="40" t="s">
        <v>96</v>
      </c>
      <c r="F82" s="42">
        <v>353.50903503101745</v>
      </c>
      <c r="G82" s="42">
        <v>390.83984455737095</v>
      </c>
      <c r="H82" s="42">
        <v>427.75511960673964</v>
      </c>
      <c r="I82" s="42">
        <v>465.39920835207948</v>
      </c>
      <c r="J82" s="42">
        <v>505.85708262418677</v>
      </c>
      <c r="K82" s="42">
        <v>552.16768995081202</v>
      </c>
      <c r="L82" s="42">
        <v>606.27785046371673</v>
      </c>
      <c r="M82" s="42">
        <v>667.66810167784911</v>
      </c>
      <c r="N82" s="42">
        <v>734.29379460808377</v>
      </c>
      <c r="O82" s="42">
        <v>806.87393337634285</v>
      </c>
      <c r="P82" s="42">
        <v>887.85049947917673</v>
      </c>
      <c r="Q82" s="42">
        <v>979.07844117028708</v>
      </c>
      <c r="R82" s="42">
        <v>1080.2966453688741</v>
      </c>
      <c r="S82" s="14"/>
      <c r="T82" s="14"/>
    </row>
    <row r="83" spans="1:20" x14ac:dyDescent="0.35">
      <c r="A83" s="21" t="s">
        <v>32</v>
      </c>
      <c r="B83" s="17" t="s">
        <v>94</v>
      </c>
      <c r="C83" s="13" t="s">
        <v>97</v>
      </c>
      <c r="D83" s="13" t="s">
        <v>97</v>
      </c>
      <c r="E83" s="13" t="s">
        <v>97</v>
      </c>
      <c r="F83" s="14">
        <v>123.61308619093714</v>
      </c>
      <c r="G83" s="14">
        <v>133.17891214419686</v>
      </c>
      <c r="H83" s="14">
        <v>143.75301759920461</v>
      </c>
      <c r="I83" s="14">
        <v>155.12055167148577</v>
      </c>
      <c r="J83" s="14">
        <v>167.18208306524789</v>
      </c>
      <c r="K83" s="14">
        <v>179.7377050657704</v>
      </c>
      <c r="L83" s="14">
        <v>193.29838621745253</v>
      </c>
      <c r="M83" s="14">
        <v>208.27112889148648</v>
      </c>
      <c r="N83" s="14">
        <v>225.10039842092496</v>
      </c>
      <c r="O83" s="14">
        <v>243.89250877176607</v>
      </c>
      <c r="P83" s="14">
        <v>264.3376323069171</v>
      </c>
      <c r="Q83" s="14">
        <v>286.1472989914646</v>
      </c>
      <c r="R83" s="14">
        <v>309.38623939873389</v>
      </c>
      <c r="S83" s="14"/>
      <c r="T83" s="14"/>
    </row>
    <row r="84" spans="1:20" x14ac:dyDescent="0.35">
      <c r="A84" s="21" t="s">
        <v>32</v>
      </c>
      <c r="B84" s="17" t="s">
        <v>94</v>
      </c>
      <c r="C84" s="13" t="s">
        <v>98</v>
      </c>
      <c r="D84" s="13" t="s">
        <v>98</v>
      </c>
      <c r="E84" s="13" t="s">
        <v>98</v>
      </c>
      <c r="F84" s="14">
        <v>390.7285868977001</v>
      </c>
      <c r="G84" s="14">
        <v>422.36743948028305</v>
      </c>
      <c r="H84" s="14">
        <v>457.0143048204377</v>
      </c>
      <c r="I84" s="14">
        <v>495.1545671971694</v>
      </c>
      <c r="J84" s="14">
        <v>537.23062268282183</v>
      </c>
      <c r="K84" s="14">
        <v>583.74360125001158</v>
      </c>
      <c r="L84" s="14">
        <v>635.17796809471031</v>
      </c>
      <c r="M84" s="14">
        <v>691.59259120851073</v>
      </c>
      <c r="N84" s="14">
        <v>753.01188297851081</v>
      </c>
      <c r="O84" s="14">
        <v>819.54577230243751</v>
      </c>
      <c r="P84" s="14">
        <v>891.28590691576869</v>
      </c>
      <c r="Q84" s="14">
        <v>968.83553288449377</v>
      </c>
      <c r="R84" s="14">
        <v>1052.2005449095047</v>
      </c>
      <c r="S84" s="14"/>
      <c r="T84" s="14"/>
    </row>
    <row r="85" spans="1:20" x14ac:dyDescent="0.35">
      <c r="A85" s="21" t="s">
        <v>32</v>
      </c>
      <c r="B85" s="17" t="s">
        <v>94</v>
      </c>
      <c r="C85" s="13" t="s">
        <v>48</v>
      </c>
      <c r="D85" s="13" t="s">
        <v>48</v>
      </c>
      <c r="E85" s="13" t="s">
        <v>48</v>
      </c>
      <c r="F85" s="14">
        <v>106.56139420119419</v>
      </c>
      <c r="G85" s="14">
        <v>116.10553002361731</v>
      </c>
      <c r="H85" s="14">
        <v>126.73860871167469</v>
      </c>
      <c r="I85" s="14">
        <v>138.30530697869511</v>
      </c>
      <c r="J85" s="14">
        <v>150.74547928216708</v>
      </c>
      <c r="K85" s="14">
        <v>163.90507183682621</v>
      </c>
      <c r="L85" s="14">
        <v>178.2707466382399</v>
      </c>
      <c r="M85" s="14">
        <v>194.25493675548344</v>
      </c>
      <c r="N85" s="14">
        <v>212.32293710499425</v>
      </c>
      <c r="O85" s="14">
        <v>232.64104393274738</v>
      </c>
      <c r="P85" s="14">
        <v>254.98469665685201</v>
      </c>
      <c r="Q85" s="14">
        <v>279.13833397338391</v>
      </c>
      <c r="R85" s="14">
        <v>305.21993522579419</v>
      </c>
      <c r="S85" s="14"/>
      <c r="T85" s="14"/>
    </row>
    <row r="86" spans="1:20" x14ac:dyDescent="0.35">
      <c r="A86" s="21" t="s">
        <v>32</v>
      </c>
      <c r="B86" s="17" t="s">
        <v>94</v>
      </c>
      <c r="C86" s="13" t="s">
        <v>99</v>
      </c>
      <c r="D86" s="13" t="s">
        <v>99</v>
      </c>
      <c r="E86" s="13" t="s">
        <v>99</v>
      </c>
      <c r="F86" s="14">
        <v>283.19074117418461</v>
      </c>
      <c r="G86" s="14">
        <v>299.48591020815843</v>
      </c>
      <c r="H86" s="14">
        <v>317.21970917030808</v>
      </c>
      <c r="I86" s="14">
        <v>336.53423074763617</v>
      </c>
      <c r="J86" s="14">
        <v>357.69985145542068</v>
      </c>
      <c r="K86" s="14">
        <v>381.15264196796704</v>
      </c>
      <c r="L86" s="14">
        <v>407.03473592024443</v>
      </c>
      <c r="M86" s="14">
        <v>435.49079817561812</v>
      </c>
      <c r="N86" s="14">
        <v>466.08392751981432</v>
      </c>
      <c r="O86" s="14">
        <v>498.51817107365321</v>
      </c>
      <c r="P86" s="14">
        <v>532.21528149328446</v>
      </c>
      <c r="Q86" s="14">
        <v>566.95131214533387</v>
      </c>
      <c r="R86" s="14">
        <v>603.06863007992035</v>
      </c>
      <c r="S86" s="22"/>
      <c r="T86" s="22"/>
    </row>
    <row r="87" spans="1:20" x14ac:dyDescent="0.35">
      <c r="A87" s="21" t="s">
        <v>32</v>
      </c>
      <c r="B87" s="17" t="s">
        <v>94</v>
      </c>
      <c r="C87" s="13" t="s">
        <v>100</v>
      </c>
      <c r="D87" s="13" t="s">
        <v>100</v>
      </c>
      <c r="E87" s="13" t="s">
        <v>100</v>
      </c>
      <c r="F87" s="14">
        <v>137.8990467627745</v>
      </c>
      <c r="G87" s="14">
        <v>147.54343399834198</v>
      </c>
      <c r="H87" s="14">
        <v>158.10797826824751</v>
      </c>
      <c r="I87" s="14">
        <v>169.52848516012151</v>
      </c>
      <c r="J87" s="14">
        <v>181.59210339455421</v>
      </c>
      <c r="K87" s="14">
        <v>194.48892845291743</v>
      </c>
      <c r="L87" s="14">
        <v>208.37162240424763</v>
      </c>
      <c r="M87" s="14">
        <v>223.51982130723883</v>
      </c>
      <c r="N87" s="14">
        <v>240.05135573689969</v>
      </c>
      <c r="O87" s="14">
        <v>258.02485949473123</v>
      </c>
      <c r="P87" s="14">
        <v>277.22752750216779</v>
      </c>
      <c r="Q87" s="14">
        <v>297.47504875921396</v>
      </c>
      <c r="R87" s="14">
        <v>318.95939371186677</v>
      </c>
      <c r="S87" s="22"/>
      <c r="T87" s="22"/>
    </row>
    <row r="88" spans="1:20" x14ac:dyDescent="0.35">
      <c r="A88" s="21" t="s">
        <v>32</v>
      </c>
      <c r="B88" s="17" t="s">
        <v>30</v>
      </c>
      <c r="C88" s="13" t="s">
        <v>35</v>
      </c>
      <c r="D88" s="13" t="s">
        <v>35</v>
      </c>
      <c r="E88" s="13" t="s">
        <v>35</v>
      </c>
      <c r="F88" s="14">
        <v>1310.3473454435498</v>
      </c>
      <c r="G88" s="14">
        <v>1420.6522148421882</v>
      </c>
      <c r="H88" s="14">
        <v>1537.8530376871549</v>
      </c>
      <c r="I88" s="14">
        <v>1663.3666691382618</v>
      </c>
      <c r="J88" s="14">
        <v>1799.8046781058506</v>
      </c>
      <c r="K88" s="14">
        <v>1950.833138412803</v>
      </c>
      <c r="L88" s="14">
        <v>2120.2218000977755</v>
      </c>
      <c r="M88" s="14">
        <v>2308.7011754096852</v>
      </c>
      <c r="N88" s="14">
        <v>2514.9830255458851</v>
      </c>
      <c r="O88" s="14">
        <v>2740.0616491289657</v>
      </c>
      <c r="P88" s="14">
        <v>2985.3911181108015</v>
      </c>
      <c r="Q88" s="14">
        <v>3252.7216839120638</v>
      </c>
      <c r="R88" s="14">
        <v>3542.5092217565707</v>
      </c>
      <c r="S88" s="22"/>
      <c r="T88" s="22"/>
    </row>
    <row r="89" spans="1:20" x14ac:dyDescent="0.35">
      <c r="A89" s="21" t="s">
        <v>32</v>
      </c>
      <c r="B89" s="17" t="s">
        <v>30</v>
      </c>
      <c r="C89" s="13" t="s">
        <v>36</v>
      </c>
      <c r="D89" s="13" t="s">
        <v>36</v>
      </c>
      <c r="E89" s="13" t="s">
        <v>36</v>
      </c>
      <c r="F89" s="14">
        <v>190.54938236311025</v>
      </c>
      <c r="G89" s="14">
        <v>205.21790217422227</v>
      </c>
      <c r="H89" s="14">
        <v>221.39062427579398</v>
      </c>
      <c r="I89" s="14">
        <v>238.97431680732538</v>
      </c>
      <c r="J89" s="14">
        <v>257.66652089414953</v>
      </c>
      <c r="K89" s="14">
        <v>277.79721764148638</v>
      </c>
      <c r="L89" s="14">
        <v>299.62869964286989</v>
      </c>
      <c r="M89" s="14">
        <v>323.66587316460334</v>
      </c>
      <c r="N89" s="14">
        <v>350.12292778449881</v>
      </c>
      <c r="O89" s="14">
        <v>379.12555402901035</v>
      </c>
      <c r="P89" s="14">
        <v>410.35203187648307</v>
      </c>
      <c r="Q89" s="14">
        <v>443.50911856728987</v>
      </c>
      <c r="R89" s="14">
        <v>478.99586425008727</v>
      </c>
      <c r="S89" s="22"/>
      <c r="T89" s="22"/>
    </row>
    <row r="90" spans="1:20" x14ac:dyDescent="0.35">
      <c r="A90" t="s">
        <v>35</v>
      </c>
      <c r="B90" s="17" t="s">
        <v>54</v>
      </c>
      <c r="C90" s="13" t="s">
        <v>55</v>
      </c>
      <c r="D90" s="13" t="s">
        <v>55</v>
      </c>
      <c r="E90" s="13" t="s">
        <v>55</v>
      </c>
      <c r="F90" s="14">
        <v>133.62327459721197</v>
      </c>
      <c r="G90" s="14">
        <v>148.93715299595692</v>
      </c>
      <c r="H90" s="14">
        <v>166.30395078784989</v>
      </c>
      <c r="I90" s="14">
        <v>185.64036717830047</v>
      </c>
      <c r="J90" s="14">
        <v>206.97753798217283</v>
      </c>
      <c r="K90" s="14">
        <v>230.21522482257967</v>
      </c>
      <c r="L90" s="14">
        <v>256.13858094828817</v>
      </c>
      <c r="M90" s="14">
        <v>285.49331045699768</v>
      </c>
      <c r="N90" s="14">
        <v>319.16387937760862</v>
      </c>
      <c r="O90" s="14">
        <v>357.6565984771691</v>
      </c>
      <c r="P90" s="14">
        <v>400.9109459366166</v>
      </c>
      <c r="Q90" s="14">
        <v>448.86184866073245</v>
      </c>
      <c r="R90" s="14">
        <v>501.96198914098193</v>
      </c>
      <c r="S90" s="22"/>
      <c r="T90" s="22"/>
    </row>
    <row r="91" spans="1:20" x14ac:dyDescent="0.35">
      <c r="A91" t="s">
        <v>35</v>
      </c>
      <c r="B91" s="17" t="s">
        <v>54</v>
      </c>
      <c r="C91" s="13" t="s">
        <v>56</v>
      </c>
      <c r="D91" s="13" t="s">
        <v>56</v>
      </c>
      <c r="E91" s="13" t="s">
        <v>56</v>
      </c>
      <c r="F91" s="14">
        <v>321.91061672489474</v>
      </c>
      <c r="G91" s="14">
        <v>350.70579981986299</v>
      </c>
      <c r="H91" s="14">
        <v>382.69669723249285</v>
      </c>
      <c r="I91" s="14">
        <v>417.76539866667662</v>
      </c>
      <c r="J91" s="14">
        <v>455.35058356078019</v>
      </c>
      <c r="K91" s="14">
        <v>496.07471009726424</v>
      </c>
      <c r="L91" s="14">
        <v>540.48957593145667</v>
      </c>
      <c r="M91" s="14">
        <v>589.65961598209901</v>
      </c>
      <c r="N91" s="14">
        <v>644.1997084226407</v>
      </c>
      <c r="O91" s="14">
        <v>704.5481699878552</v>
      </c>
      <c r="P91" s="14">
        <v>770.27236793930877</v>
      </c>
      <c r="Q91" s="14">
        <v>840.9094484833804</v>
      </c>
      <c r="R91" s="14">
        <v>917.35191658748852</v>
      </c>
      <c r="S91" s="22"/>
      <c r="T91" s="22"/>
    </row>
    <row r="92" spans="1:20" x14ac:dyDescent="0.35">
      <c r="A92" t="s">
        <v>35</v>
      </c>
      <c r="B92" s="17" t="s">
        <v>54</v>
      </c>
      <c r="C92" s="13" t="s">
        <v>57</v>
      </c>
      <c r="D92" s="13" t="s">
        <v>57</v>
      </c>
      <c r="E92" s="13" t="s">
        <v>57</v>
      </c>
      <c r="F92" s="14">
        <v>854.81345412144299</v>
      </c>
      <c r="G92" s="14">
        <v>921.00926202636833</v>
      </c>
      <c r="H92" s="14">
        <v>988.85238966681231</v>
      </c>
      <c r="I92" s="14">
        <v>1059.9609032932847</v>
      </c>
      <c r="J92" s="14">
        <v>1137.4765565628975</v>
      </c>
      <c r="K92" s="14">
        <v>1224.543203492959</v>
      </c>
      <c r="L92" s="14">
        <v>1323.5936432180308</v>
      </c>
      <c r="M92" s="14">
        <v>1433.5482489705885</v>
      </c>
      <c r="N92" s="14">
        <v>1551.6194377456357</v>
      </c>
      <c r="O92" s="14">
        <v>1677.8568806639416</v>
      </c>
      <c r="P92" s="14">
        <v>1814.207804234876</v>
      </c>
      <c r="Q92" s="14">
        <v>1962.9503867679509</v>
      </c>
      <c r="R92" s="14">
        <v>2123.1953160281005</v>
      </c>
      <c r="S92" s="22"/>
      <c r="T92" s="22"/>
    </row>
    <row r="93" spans="1:20" x14ac:dyDescent="0.35">
      <c r="A93" t="s">
        <v>35</v>
      </c>
      <c r="B93" s="17" t="s">
        <v>59</v>
      </c>
      <c r="C93" s="18" t="s">
        <v>60</v>
      </c>
      <c r="D93" s="38" t="s">
        <v>61</v>
      </c>
      <c r="E93" s="39" t="s">
        <v>62</v>
      </c>
      <c r="F93" s="22">
        <v>52.150972669949034</v>
      </c>
      <c r="G93" s="22">
        <v>58.194146486375544</v>
      </c>
      <c r="H93" s="22">
        <v>65.040466630600292</v>
      </c>
      <c r="I93" s="22">
        <v>72.719361392952749</v>
      </c>
      <c r="J93" s="22">
        <v>81.183516045009526</v>
      </c>
      <c r="K93" s="22">
        <v>90.58962072099051</v>
      </c>
      <c r="L93" s="22">
        <v>101.09441111991083</v>
      </c>
      <c r="M93" s="22">
        <v>112.96296932298397</v>
      </c>
      <c r="N93" s="22">
        <v>126.39672676115046</v>
      </c>
      <c r="O93" s="22">
        <v>141.57789943190249</v>
      </c>
      <c r="P93" s="22">
        <v>158.52664037539301</v>
      </c>
      <c r="Q93" s="22">
        <v>177.25364828747266</v>
      </c>
      <c r="R93" s="22">
        <v>198.05119140761795</v>
      </c>
      <c r="S93" s="22"/>
      <c r="T93" s="22"/>
    </row>
    <row r="94" spans="1:20" x14ac:dyDescent="0.35">
      <c r="A94" t="s">
        <v>35</v>
      </c>
      <c r="B94" s="17" t="s">
        <v>59</v>
      </c>
      <c r="C94" s="18" t="s">
        <v>60</v>
      </c>
      <c r="D94" s="38" t="s">
        <v>61</v>
      </c>
      <c r="E94" s="39" t="s">
        <v>63</v>
      </c>
      <c r="F94" s="22">
        <v>84.296200301181997</v>
      </c>
      <c r="G94" s="22">
        <v>91.78730666504589</v>
      </c>
      <c r="H94" s="22">
        <v>99.597424819598544</v>
      </c>
      <c r="I94" s="22">
        <v>107.89764749230611</v>
      </c>
      <c r="J94" s="22">
        <v>117.02128438920295</v>
      </c>
      <c r="K94" s="22">
        <v>127.31579523028088</v>
      </c>
      <c r="L94" s="22">
        <v>139.06898448010602</v>
      </c>
      <c r="M94" s="22">
        <v>152.21105435035867</v>
      </c>
      <c r="N94" s="22">
        <v>166.48700254466436</v>
      </c>
      <c r="O94" s="22">
        <v>181.93468091008845</v>
      </c>
      <c r="P94" s="22">
        <v>198.79866401953223</v>
      </c>
      <c r="Q94" s="22">
        <v>217.36948202042188</v>
      </c>
      <c r="R94" s="22">
        <v>237.5983894737698</v>
      </c>
      <c r="S94" s="22"/>
      <c r="T94" s="22"/>
    </row>
    <row r="95" spans="1:20" x14ac:dyDescent="0.35">
      <c r="A95" t="s">
        <v>35</v>
      </c>
      <c r="B95" s="17" t="s">
        <v>59</v>
      </c>
      <c r="C95" s="18" t="s">
        <v>60</v>
      </c>
      <c r="D95" s="38" t="s">
        <v>61</v>
      </c>
      <c r="E95" s="39" t="s">
        <v>64</v>
      </c>
      <c r="F95" s="22">
        <v>135.53127151183688</v>
      </c>
      <c r="G95" s="22">
        <v>146.46099654236559</v>
      </c>
      <c r="H95" s="22">
        <v>154.09999462370524</v>
      </c>
      <c r="I95" s="22">
        <v>160.065385920399</v>
      </c>
      <c r="J95" s="22">
        <v>167.48671328204665</v>
      </c>
      <c r="K95" s="22">
        <v>178.2457680354396</v>
      </c>
      <c r="L95" s="22">
        <v>193.338707359246</v>
      </c>
      <c r="M95" s="22">
        <v>210.35874058109084</v>
      </c>
      <c r="N95" s="22">
        <v>226.10332532322963</v>
      </c>
      <c r="O95" s="22">
        <v>240.63671344334608</v>
      </c>
      <c r="P95" s="22">
        <v>255.8597427153166</v>
      </c>
      <c r="Q95" s="22">
        <v>274.05241762282122</v>
      </c>
      <c r="R95" s="22">
        <v>293.86808827092426</v>
      </c>
      <c r="S95" s="22"/>
      <c r="T95" s="22"/>
    </row>
    <row r="96" spans="1:20" x14ac:dyDescent="0.35">
      <c r="A96" t="s">
        <v>35</v>
      </c>
      <c r="B96" s="17" t="s">
        <v>59</v>
      </c>
      <c r="C96" s="18" t="s">
        <v>60</v>
      </c>
      <c r="D96" s="38" t="s">
        <v>65</v>
      </c>
      <c r="E96" s="38" t="s">
        <v>65</v>
      </c>
      <c r="F96" s="41">
        <v>235.07051926379057</v>
      </c>
      <c r="G96" s="41">
        <v>254.55279925908152</v>
      </c>
      <c r="H96" s="41">
        <v>276.09972618765187</v>
      </c>
      <c r="I96" s="41">
        <v>299.58569122641404</v>
      </c>
      <c r="J96" s="41">
        <v>324.56957643089663</v>
      </c>
      <c r="K96" s="41">
        <v>351.4641411922039</v>
      </c>
      <c r="L96" s="41">
        <v>380.62167610367089</v>
      </c>
      <c r="M96" s="41">
        <v>412.746425448764</v>
      </c>
      <c r="N96" s="41">
        <v>448.21033320265877</v>
      </c>
      <c r="O96" s="41">
        <v>487.25273611961006</v>
      </c>
      <c r="P96" s="41">
        <v>529.50397165648701</v>
      </c>
      <c r="Q96" s="41">
        <v>574.58149945829075</v>
      </c>
      <c r="R96" s="41">
        <v>623.03716501116787</v>
      </c>
      <c r="S96" s="22"/>
      <c r="T96" s="22"/>
    </row>
    <row r="97" spans="1:20" x14ac:dyDescent="0.35">
      <c r="A97" t="s">
        <v>35</v>
      </c>
      <c r="B97" s="17" t="s">
        <v>59</v>
      </c>
      <c r="C97" s="18" t="s">
        <v>60</v>
      </c>
      <c r="D97" s="38" t="s">
        <v>66</v>
      </c>
      <c r="E97" s="38" t="s">
        <v>66</v>
      </c>
      <c r="F97" s="41">
        <v>147.19458409870401</v>
      </c>
      <c r="G97" s="41">
        <v>158.40931606586034</v>
      </c>
      <c r="H97" s="41">
        <v>170.75852479567794</v>
      </c>
      <c r="I97" s="41">
        <v>184.14167855390625</v>
      </c>
      <c r="J97" s="41">
        <v>198.2664833401405</v>
      </c>
      <c r="K97" s="41">
        <v>213.36916313311528</v>
      </c>
      <c r="L97" s="41">
        <v>229.6431686194702</v>
      </c>
      <c r="M97" s="41">
        <v>247.48922783860675</v>
      </c>
      <c r="N97" s="41">
        <v>267.09858457431699</v>
      </c>
      <c r="O97" s="41">
        <v>288.57830998082829</v>
      </c>
      <c r="P97" s="41">
        <v>311.67166658430494</v>
      </c>
      <c r="Q97" s="41">
        <v>336.12012912096282</v>
      </c>
      <c r="R97" s="41">
        <v>362.21767039735352</v>
      </c>
      <c r="S97" s="22"/>
      <c r="T97" s="22"/>
    </row>
    <row r="98" spans="1:20" x14ac:dyDescent="0.35">
      <c r="A98" t="s">
        <v>35</v>
      </c>
      <c r="B98" s="17" t="s">
        <v>59</v>
      </c>
      <c r="C98" s="18" t="s">
        <v>60</v>
      </c>
      <c r="D98" s="38" t="s">
        <v>67</v>
      </c>
      <c r="E98" s="38" t="s">
        <v>67</v>
      </c>
      <c r="F98" s="41">
        <v>96.486116601974345</v>
      </c>
      <c r="G98" s="41">
        <v>103.09756475707361</v>
      </c>
      <c r="H98" s="41">
        <v>110.34429512806776</v>
      </c>
      <c r="I98" s="41">
        <v>118.14642753621605</v>
      </c>
      <c r="J98" s="41">
        <v>126.30309309075615</v>
      </c>
      <c r="K98" s="41">
        <v>134.95562208867875</v>
      </c>
      <c r="L98" s="41">
        <v>144.21412083247154</v>
      </c>
      <c r="M98" s="41">
        <v>154.31553560207908</v>
      </c>
      <c r="N98" s="41">
        <v>165.35922042817913</v>
      </c>
      <c r="O98" s="41">
        <v>177.38929388166613</v>
      </c>
      <c r="P98" s="41">
        <v>190.22465248989226</v>
      </c>
      <c r="Q98" s="41">
        <v>203.68788591467373</v>
      </c>
      <c r="R98" s="41">
        <v>217.94113464342803</v>
      </c>
      <c r="S98" s="22"/>
      <c r="T98" s="22"/>
    </row>
    <row r="99" spans="1:20" x14ac:dyDescent="0.35">
      <c r="A99" t="s">
        <v>35</v>
      </c>
      <c r="B99" s="17" t="s">
        <v>59</v>
      </c>
      <c r="C99" s="18" t="s">
        <v>60</v>
      </c>
      <c r="D99" s="38" t="s">
        <v>68</v>
      </c>
      <c r="E99" s="38" t="s">
        <v>68</v>
      </c>
      <c r="F99" s="41">
        <v>158.8317672808069</v>
      </c>
      <c r="G99" s="41">
        <v>173.48884464198744</v>
      </c>
      <c r="H99" s="41">
        <v>189.68023487586044</v>
      </c>
      <c r="I99" s="41">
        <v>207.65145102193816</v>
      </c>
      <c r="J99" s="41">
        <v>227.63929568682795</v>
      </c>
      <c r="K99" s="41">
        <v>249.91424331501702</v>
      </c>
      <c r="L99" s="41">
        <v>274.74965957663483</v>
      </c>
      <c r="M99" s="41">
        <v>302.24478464075156</v>
      </c>
      <c r="N99" s="41">
        <v>332.48640218797465</v>
      </c>
      <c r="O99" s="41">
        <v>365.60111095197487</v>
      </c>
      <c r="P99" s="41">
        <v>401.71102476208614</v>
      </c>
      <c r="Q99" s="41">
        <v>441.17226225811214</v>
      </c>
      <c r="R99" s="41">
        <v>484.08195971021257</v>
      </c>
      <c r="S99" s="22"/>
      <c r="T99" s="22"/>
    </row>
    <row r="100" spans="1:20" x14ac:dyDescent="0.35">
      <c r="A100" t="s">
        <v>35</v>
      </c>
      <c r="B100" s="17" t="s">
        <v>59</v>
      </c>
      <c r="C100" s="18" t="s">
        <v>60</v>
      </c>
      <c r="D100" s="38" t="s">
        <v>69</v>
      </c>
      <c r="E100" s="38" t="s">
        <v>69</v>
      </c>
      <c r="F100" s="41">
        <v>177.60577148828281</v>
      </c>
      <c r="G100" s="41">
        <v>188.49202904874349</v>
      </c>
      <c r="H100" s="41">
        <v>200.42253841811629</v>
      </c>
      <c r="I100" s="41">
        <v>213.04137594026537</v>
      </c>
      <c r="J100" s="41">
        <v>226.17065506949359</v>
      </c>
      <c r="K100" s="41">
        <v>239.50594152218486</v>
      </c>
      <c r="L100" s="41">
        <v>253.70732738084985</v>
      </c>
      <c r="M100" s="41">
        <v>269.25819201604702</v>
      </c>
      <c r="N100" s="41">
        <v>286.65976648287898</v>
      </c>
      <c r="O100" s="41">
        <v>305.95039310682978</v>
      </c>
      <c r="P100" s="41">
        <v>326.64115633366083</v>
      </c>
      <c r="Q100" s="41">
        <v>348.29566957565294</v>
      </c>
      <c r="R100" s="41">
        <v>370.93110867250658</v>
      </c>
      <c r="S100" s="22"/>
      <c r="T100" s="22"/>
    </row>
    <row r="101" spans="1:20" x14ac:dyDescent="0.35">
      <c r="A101" t="s">
        <v>35</v>
      </c>
      <c r="B101" s="17" t="s">
        <v>59</v>
      </c>
      <c r="C101" s="18" t="s">
        <v>70</v>
      </c>
      <c r="D101" s="19" t="s">
        <v>71</v>
      </c>
      <c r="E101" s="19" t="s">
        <v>71</v>
      </c>
      <c r="F101" s="22">
        <v>34.403545264336337</v>
      </c>
      <c r="G101" s="22">
        <v>38.509622095020305</v>
      </c>
      <c r="H101" s="22">
        <v>43.153897858569692</v>
      </c>
      <c r="I101" s="22">
        <v>48.32590970568544</v>
      </c>
      <c r="J101" s="22">
        <v>54.021137413347112</v>
      </c>
      <c r="K101" s="22">
        <v>60.360539406134286</v>
      </c>
      <c r="L101" s="22">
        <v>67.474053017545444</v>
      </c>
      <c r="M101" s="22">
        <v>75.628319200520252</v>
      </c>
      <c r="N101" s="22">
        <v>85.013823737060918</v>
      </c>
      <c r="O101" s="22">
        <v>95.627833492759208</v>
      </c>
      <c r="P101" s="22">
        <v>107.63872746927596</v>
      </c>
      <c r="Q101" s="22">
        <v>121.0505557858713</v>
      </c>
      <c r="R101" s="22">
        <v>135.95192741914354</v>
      </c>
      <c r="S101" s="22"/>
      <c r="T101" s="22"/>
    </row>
    <row r="102" spans="1:20" x14ac:dyDescent="0.35">
      <c r="A102" t="s">
        <v>35</v>
      </c>
      <c r="B102" s="17" t="s">
        <v>59</v>
      </c>
      <c r="C102" s="18" t="s">
        <v>70</v>
      </c>
      <c r="D102" s="19" t="s">
        <v>72</v>
      </c>
      <c r="E102" s="19" t="s">
        <v>72</v>
      </c>
      <c r="F102" s="22">
        <v>27.18781919174366</v>
      </c>
      <c r="G102" s="22">
        <v>30.792748392772616</v>
      </c>
      <c r="H102" s="22">
        <v>34.930101809597332</v>
      </c>
      <c r="I102" s="22">
        <v>39.637926165117769</v>
      </c>
      <c r="J102" s="22">
        <v>44.914125742131503</v>
      </c>
      <c r="K102" s="22">
        <v>50.868721044793936</v>
      </c>
      <c r="L102" s="22">
        <v>57.6177433627822</v>
      </c>
      <c r="M102" s="22">
        <v>65.345194656727571</v>
      </c>
      <c r="N102" s="22">
        <v>74.208412460955955</v>
      </c>
      <c r="O102" s="22">
        <v>84.361786741494186</v>
      </c>
      <c r="P102" s="22">
        <v>95.871119720747544</v>
      </c>
      <c r="Q102" s="22">
        <v>108.79902438606969</v>
      </c>
      <c r="R102" s="22">
        <v>123.38322825331539</v>
      </c>
      <c r="S102" s="14"/>
      <c r="T102" s="14"/>
    </row>
    <row r="103" spans="1:20" x14ac:dyDescent="0.35">
      <c r="A103" t="s">
        <v>35</v>
      </c>
      <c r="B103" s="17" t="s">
        <v>59</v>
      </c>
      <c r="C103" s="18" t="s">
        <v>70</v>
      </c>
      <c r="D103" s="19" t="s">
        <v>73</v>
      </c>
      <c r="E103" s="19" t="s">
        <v>73</v>
      </c>
      <c r="F103" s="22">
        <v>23.795209851273714</v>
      </c>
      <c r="G103" s="22">
        <v>26.020887772685459</v>
      </c>
      <c r="H103" s="22">
        <v>28.50678559628324</v>
      </c>
      <c r="I103" s="22">
        <v>31.220670671953513</v>
      </c>
      <c r="J103" s="22">
        <v>34.151293767058519</v>
      </c>
      <c r="K103" s="22">
        <v>37.265938584951094</v>
      </c>
      <c r="L103" s="22">
        <v>40.677065260389917</v>
      </c>
      <c r="M103" s="22">
        <v>44.481782538520093</v>
      </c>
      <c r="N103" s="22">
        <v>48.790645531341191</v>
      </c>
      <c r="O103" s="22">
        <v>53.647008015554846</v>
      </c>
      <c r="P103" s="22">
        <v>59.004629440474027</v>
      </c>
      <c r="Q103" s="22">
        <v>64.818633165177573</v>
      </c>
      <c r="R103" s="22">
        <v>71.120906729250535</v>
      </c>
      <c r="S103" s="14"/>
      <c r="T103" s="14"/>
    </row>
    <row r="104" spans="1:20" x14ac:dyDescent="0.35">
      <c r="A104" t="s">
        <v>35</v>
      </c>
      <c r="B104" s="17" t="s">
        <v>59</v>
      </c>
      <c r="C104" s="18" t="s">
        <v>70</v>
      </c>
      <c r="D104" s="19" t="s">
        <v>74</v>
      </c>
      <c r="E104" s="19" t="s">
        <v>74</v>
      </c>
      <c r="F104" s="22">
        <v>29.3719297806092</v>
      </c>
      <c r="G104" s="22">
        <v>32.355065074960187</v>
      </c>
      <c r="H104" s="22">
        <v>35.681623822725122</v>
      </c>
      <c r="I104" s="22">
        <v>39.323438686746542</v>
      </c>
      <c r="J104" s="22">
        <v>43.258305438274121</v>
      </c>
      <c r="K104" s="22">
        <v>47.565282162381784</v>
      </c>
      <c r="L104" s="22">
        <v>52.324862035310474</v>
      </c>
      <c r="M104" s="22">
        <v>57.717679843092846</v>
      </c>
      <c r="N104" s="22">
        <v>63.853886332812806</v>
      </c>
      <c r="O104" s="22">
        <v>70.690348858818837</v>
      </c>
      <c r="P104" s="22">
        <v>78.311769245242075</v>
      </c>
      <c r="Q104" s="22">
        <v>86.676574878268667</v>
      </c>
      <c r="R104" s="22">
        <v>95.804845313052283</v>
      </c>
      <c r="S104" s="14"/>
      <c r="T104" s="14"/>
    </row>
    <row r="105" spans="1:20" x14ac:dyDescent="0.35">
      <c r="A105" t="s">
        <v>35</v>
      </c>
      <c r="B105" s="17" t="s">
        <v>59</v>
      </c>
      <c r="C105" s="18" t="s">
        <v>70</v>
      </c>
      <c r="D105" s="19" t="s">
        <v>75</v>
      </c>
      <c r="E105" s="19" t="s">
        <v>75</v>
      </c>
      <c r="F105" s="22">
        <v>20.228037750971755</v>
      </c>
      <c r="G105" s="22">
        <v>22.401569039939577</v>
      </c>
      <c r="H105" s="22">
        <v>24.832117652945964</v>
      </c>
      <c r="I105" s="22">
        <v>27.561557277206862</v>
      </c>
      <c r="J105" s="22">
        <v>30.632675621361578</v>
      </c>
      <c r="K105" s="22">
        <v>34.094867741360765</v>
      </c>
      <c r="L105" s="22">
        <v>38.000320745633609</v>
      </c>
      <c r="M105" s="22">
        <v>42.379640069855981</v>
      </c>
      <c r="N105" s="22">
        <v>47.262944536899695</v>
      </c>
      <c r="O105" s="22">
        <v>52.68722203857179</v>
      </c>
      <c r="P105" s="22">
        <v>58.690378339375314</v>
      </c>
      <c r="Q105" s="22">
        <v>65.346090057818387</v>
      </c>
      <c r="R105" s="22">
        <v>72.693199844763924</v>
      </c>
      <c r="S105" s="14"/>
      <c r="T105" s="14"/>
    </row>
    <row r="106" spans="1:20" x14ac:dyDescent="0.35">
      <c r="A106" t="s">
        <v>35</v>
      </c>
      <c r="B106" s="17" t="s">
        <v>59</v>
      </c>
      <c r="C106" s="18" t="s">
        <v>76</v>
      </c>
      <c r="D106" s="19" t="s">
        <v>77</v>
      </c>
      <c r="E106" s="19" t="s">
        <v>77</v>
      </c>
      <c r="F106" s="22">
        <v>25.016435722913219</v>
      </c>
      <c r="G106" s="22">
        <v>27.400759009807121</v>
      </c>
      <c r="H106" s="22">
        <v>30.046583745870006</v>
      </c>
      <c r="I106" s="22">
        <v>32.925355099632831</v>
      </c>
      <c r="J106" s="22">
        <v>36.014091608898077</v>
      </c>
      <c r="K106" s="22">
        <v>39.374576283648132</v>
      </c>
      <c r="L106" s="22">
        <v>43.068315984742803</v>
      </c>
      <c r="M106" s="22">
        <v>47.237771358914316</v>
      </c>
      <c r="N106" s="22">
        <v>51.964395597813116</v>
      </c>
      <c r="O106" s="22">
        <v>57.202940439200766</v>
      </c>
      <c r="P106" s="22">
        <v>63.012486614937309</v>
      </c>
      <c r="Q106" s="22">
        <v>69.349039392393863</v>
      </c>
      <c r="R106" s="22">
        <v>76.21877408000249</v>
      </c>
      <c r="S106" s="14"/>
      <c r="T106" s="14"/>
    </row>
    <row r="107" spans="1:20" x14ac:dyDescent="0.35">
      <c r="A107" t="s">
        <v>35</v>
      </c>
      <c r="B107" s="17" t="s">
        <v>59</v>
      </c>
      <c r="C107" s="18" t="s">
        <v>76</v>
      </c>
      <c r="D107" s="19" t="s">
        <v>78</v>
      </c>
      <c r="E107" s="19" t="s">
        <v>78</v>
      </c>
      <c r="F107" s="22">
        <v>24.170812812933189</v>
      </c>
      <c r="G107" s="22">
        <v>26.092723307147335</v>
      </c>
      <c r="H107" s="22">
        <v>28.068895291574684</v>
      </c>
      <c r="I107" s="22">
        <v>30.145570700762658</v>
      </c>
      <c r="J107" s="22">
        <v>32.412682448008269</v>
      </c>
      <c r="K107" s="22">
        <v>34.960918288911188</v>
      </c>
      <c r="L107" s="22">
        <v>37.861362078883353</v>
      </c>
      <c r="M107" s="22">
        <v>41.085165336425341</v>
      </c>
      <c r="N107" s="22">
        <v>44.554301959312689</v>
      </c>
      <c r="O107" s="22">
        <v>48.271614579970297</v>
      </c>
      <c r="P107" s="22">
        <v>52.29455774499548</v>
      </c>
      <c r="Q107" s="22">
        <v>56.69056466888442</v>
      </c>
      <c r="R107" s="22">
        <v>61.436105077484527</v>
      </c>
      <c r="S107" s="14"/>
      <c r="T107" s="14"/>
    </row>
    <row r="108" spans="1:20" x14ac:dyDescent="0.35">
      <c r="A108" t="s">
        <v>35</v>
      </c>
      <c r="B108" s="17" t="s">
        <v>59</v>
      </c>
      <c r="C108" s="18" t="s">
        <v>76</v>
      </c>
      <c r="D108" s="19" t="s">
        <v>79</v>
      </c>
      <c r="E108" s="19" t="s">
        <v>79</v>
      </c>
      <c r="F108" s="22">
        <v>13.898337613645992</v>
      </c>
      <c r="G108" s="22">
        <v>15.518650033639787</v>
      </c>
      <c r="H108" s="22">
        <v>17.347261943522799</v>
      </c>
      <c r="I108" s="22">
        <v>19.378334566470265</v>
      </c>
      <c r="J108" s="22">
        <v>21.608454965338844</v>
      </c>
      <c r="K108" s="22">
        <v>24.084420487905586</v>
      </c>
      <c r="L108" s="22">
        <v>26.85613222818802</v>
      </c>
      <c r="M108" s="22">
        <v>30.027389771112418</v>
      </c>
      <c r="N108" s="22">
        <v>33.670708511600829</v>
      </c>
      <c r="O108" s="22">
        <v>37.78133573837512</v>
      </c>
      <c r="P108" s="22">
        <v>42.422137417773925</v>
      </c>
      <c r="Q108" s="22">
        <v>47.590561395892649</v>
      </c>
      <c r="R108" s="22">
        <v>53.31728506978957</v>
      </c>
      <c r="S108" s="14"/>
      <c r="T108" s="14"/>
    </row>
    <row r="109" spans="1:20" x14ac:dyDescent="0.35">
      <c r="A109" t="s">
        <v>35</v>
      </c>
      <c r="B109" s="17" t="s">
        <v>59</v>
      </c>
      <c r="C109" s="18" t="s">
        <v>76</v>
      </c>
      <c r="D109" s="19" t="s">
        <v>80</v>
      </c>
      <c r="E109" s="19" t="s">
        <v>80</v>
      </c>
      <c r="F109" s="22">
        <v>12.177746518396223</v>
      </c>
      <c r="G109" s="22">
        <v>13.054939517821069</v>
      </c>
      <c r="H109" s="22">
        <v>14.021428763075903</v>
      </c>
      <c r="I109" s="22">
        <v>15.054795771993778</v>
      </c>
      <c r="J109" s="22">
        <v>16.144247962609484</v>
      </c>
      <c r="K109" s="22">
        <v>17.26948789385915</v>
      </c>
      <c r="L109" s="22">
        <v>18.478912557917369</v>
      </c>
      <c r="M109" s="22">
        <v>19.809994027572046</v>
      </c>
      <c r="N109" s="22">
        <v>21.302989879048429</v>
      </c>
      <c r="O109" s="22">
        <v>22.965314515476457</v>
      </c>
      <c r="P109" s="22">
        <v>24.765009532043056</v>
      </c>
      <c r="Q109" s="22">
        <v>26.672719057786384</v>
      </c>
      <c r="R109" s="22">
        <v>28.692566779165492</v>
      </c>
      <c r="S109" s="14"/>
      <c r="T109" s="14"/>
    </row>
    <row r="110" spans="1:20" x14ac:dyDescent="0.35">
      <c r="A110" t="s">
        <v>35</v>
      </c>
      <c r="B110" s="17" t="s">
        <v>59</v>
      </c>
      <c r="C110" s="18" t="s">
        <v>76</v>
      </c>
      <c r="D110" s="19" t="s">
        <v>81</v>
      </c>
      <c r="E110" s="19" t="s">
        <v>81</v>
      </c>
      <c r="F110" s="22">
        <v>12.930267720199865</v>
      </c>
      <c r="G110" s="22">
        <v>14.022247131861445</v>
      </c>
      <c r="H110" s="22">
        <v>15.221135723711742</v>
      </c>
      <c r="I110" s="22">
        <v>16.544091408294413</v>
      </c>
      <c r="J110" s="22">
        <v>18.007045804449035</v>
      </c>
      <c r="K110" s="22">
        <v>19.628091280946226</v>
      </c>
      <c r="L110" s="22">
        <v>21.42497735402198</v>
      </c>
      <c r="M110" s="22">
        <v>23.401308806262332</v>
      </c>
      <c r="N110" s="22">
        <v>25.559555493986576</v>
      </c>
      <c r="O110" s="22">
        <v>27.905106882498103</v>
      </c>
      <c r="P110" s="22">
        <v>30.442783649263895</v>
      </c>
      <c r="Q110" s="22">
        <v>33.194926865492711</v>
      </c>
      <c r="R110" s="22">
        <v>36.163675603622337</v>
      </c>
      <c r="S110" s="14"/>
      <c r="T110" s="14"/>
    </row>
    <row r="111" spans="1:20" x14ac:dyDescent="0.35">
      <c r="A111" t="s">
        <v>35</v>
      </c>
      <c r="B111" s="17" t="s">
        <v>47</v>
      </c>
      <c r="C111" s="13" t="s">
        <v>82</v>
      </c>
      <c r="D111" s="13" t="s">
        <v>82</v>
      </c>
      <c r="E111" s="13" t="s">
        <v>82</v>
      </c>
      <c r="F111" s="14">
        <v>455.53389132210668</v>
      </c>
      <c r="G111" s="14">
        <v>499.64295281581991</v>
      </c>
      <c r="H111" s="14">
        <v>549.00064802034274</v>
      </c>
      <c r="I111" s="14">
        <v>603.40576584497705</v>
      </c>
      <c r="J111" s="14">
        <v>662.328121542953</v>
      </c>
      <c r="K111" s="14">
        <v>726.28993491984397</v>
      </c>
      <c r="L111" s="14">
        <v>796.62815687974489</v>
      </c>
      <c r="M111" s="14">
        <v>875.15292643909675</v>
      </c>
      <c r="N111" s="14">
        <v>963.36358780024932</v>
      </c>
      <c r="O111" s="14">
        <v>1062.2047684650242</v>
      </c>
      <c r="P111" s="14">
        <v>1171.1833138759253</v>
      </c>
      <c r="Q111" s="14">
        <v>1289.7712971441129</v>
      </c>
      <c r="R111" s="14">
        <v>1419.3139057284704</v>
      </c>
      <c r="S111" s="22"/>
      <c r="T111" s="22"/>
    </row>
    <row r="112" spans="1:20" x14ac:dyDescent="0.35">
      <c r="A112" t="s">
        <v>35</v>
      </c>
      <c r="B112" s="17" t="s">
        <v>47</v>
      </c>
      <c r="C112" s="13" t="s">
        <v>83</v>
      </c>
      <c r="D112" s="13" t="s">
        <v>83</v>
      </c>
      <c r="E112" s="13" t="s">
        <v>83</v>
      </c>
      <c r="F112" s="14">
        <v>854.81345412144299</v>
      </c>
      <c r="G112" s="14">
        <v>921.00926202636833</v>
      </c>
      <c r="H112" s="14">
        <v>988.85238966681231</v>
      </c>
      <c r="I112" s="14">
        <v>1059.9609032932847</v>
      </c>
      <c r="J112" s="14">
        <v>1137.4765565628975</v>
      </c>
      <c r="K112" s="14">
        <v>1224.543203492959</v>
      </c>
      <c r="L112" s="14">
        <v>1323.5936432180308</v>
      </c>
      <c r="M112" s="14">
        <v>1433.5482489705885</v>
      </c>
      <c r="N112" s="14">
        <v>1551.6194377456357</v>
      </c>
      <c r="O112" s="14">
        <v>1677.8568806639416</v>
      </c>
      <c r="P112" s="14">
        <v>1814.207804234876</v>
      </c>
      <c r="Q112" s="14">
        <v>1962.9503867679509</v>
      </c>
      <c r="R112" s="14">
        <v>2123.1953160281005</v>
      </c>
      <c r="S112" s="22"/>
      <c r="T112" s="22"/>
    </row>
    <row r="113" spans="1:20" x14ac:dyDescent="0.35">
      <c r="A113" t="s">
        <v>35</v>
      </c>
      <c r="B113" s="17" t="s">
        <v>84</v>
      </c>
      <c r="C113" s="13" t="s">
        <v>85</v>
      </c>
      <c r="D113" s="13" t="s">
        <v>85</v>
      </c>
      <c r="E113" s="13" t="s">
        <v>85</v>
      </c>
      <c r="F113" s="14">
        <v>93.621391979088358</v>
      </c>
      <c r="G113" s="14">
        <v>99.681592210324737</v>
      </c>
      <c r="H113" s="14">
        <v>105.75756035185145</v>
      </c>
      <c r="I113" s="14">
        <v>112.01863862602298</v>
      </c>
      <c r="J113" s="14">
        <v>118.78710875498615</v>
      </c>
      <c r="K113" s="14">
        <v>126.36997011740128</v>
      </c>
      <c r="L113" s="14">
        <v>134.98583752764975</v>
      </c>
      <c r="M113" s="14">
        <v>144.48409212652089</v>
      </c>
      <c r="N113" s="14">
        <v>154.54812288993611</v>
      </c>
      <c r="O113" s="14">
        <v>165.15793650949936</v>
      </c>
      <c r="P113" s="14">
        <v>176.48066462661151</v>
      </c>
      <c r="Q113" s="14">
        <v>188.70718558713696</v>
      </c>
      <c r="R113" s="14">
        <v>201.71416308836066</v>
      </c>
      <c r="S113" s="22"/>
      <c r="T113" s="22"/>
    </row>
    <row r="114" spans="1:20" x14ac:dyDescent="0.35">
      <c r="A114" t="s">
        <v>35</v>
      </c>
      <c r="B114" s="17" t="s">
        <v>84</v>
      </c>
      <c r="C114" s="13" t="s">
        <v>86</v>
      </c>
      <c r="D114" s="13" t="s">
        <v>86</v>
      </c>
      <c r="E114" s="13" t="s">
        <v>86</v>
      </c>
      <c r="F114" s="14">
        <v>239.82090742282668</v>
      </c>
      <c r="G114" s="14">
        <v>256.44196094124442</v>
      </c>
      <c r="H114" s="14">
        <v>273.24632958860633</v>
      </c>
      <c r="I114" s="14">
        <v>290.6732573971675</v>
      </c>
      <c r="J114" s="14">
        <v>309.56640463420626</v>
      </c>
      <c r="K114" s="14">
        <v>330.74412054529068</v>
      </c>
      <c r="L114" s="14">
        <v>354.8073687784476</v>
      </c>
      <c r="M114" s="14">
        <v>381.39663140864536</v>
      </c>
      <c r="N114" s="14">
        <v>409.70774616911581</v>
      </c>
      <c r="O114" s="14">
        <v>439.70889175751603</v>
      </c>
      <c r="P114" s="14">
        <v>471.86574610564782</v>
      </c>
      <c r="Q114" s="14">
        <v>506.71531302957857</v>
      </c>
      <c r="R114" s="14">
        <v>543.95987466138558</v>
      </c>
      <c r="S114" s="22"/>
      <c r="T114" s="22"/>
    </row>
    <row r="115" spans="1:20" x14ac:dyDescent="0.35">
      <c r="A115" t="s">
        <v>35</v>
      </c>
      <c r="B115" s="17" t="s">
        <v>84</v>
      </c>
      <c r="C115" s="40" t="s">
        <v>87</v>
      </c>
      <c r="D115" s="40" t="s">
        <v>87</v>
      </c>
      <c r="E115" s="40" t="s">
        <v>87</v>
      </c>
      <c r="F115" s="42">
        <v>392.71466924928689</v>
      </c>
      <c r="G115" s="42">
        <v>434.03208528182472</v>
      </c>
      <c r="H115" s="42">
        <v>477.34782159915608</v>
      </c>
      <c r="I115" s="42">
        <v>523.16543769347913</v>
      </c>
      <c r="J115" s="42">
        <v>572.33788763766051</v>
      </c>
      <c r="K115" s="42">
        <v>626.13213562392889</v>
      </c>
      <c r="L115" s="42">
        <v>686.71631011294403</v>
      </c>
      <c r="M115" s="42">
        <v>754.21915378560379</v>
      </c>
      <c r="N115" s="42">
        <v>828.71404896580725</v>
      </c>
      <c r="O115" s="42">
        <v>911.73029541149845</v>
      </c>
      <c r="P115" s="42">
        <v>1004.7985966935221</v>
      </c>
      <c r="Q115" s="42">
        <v>1109.3679623095504</v>
      </c>
      <c r="R115" s="42">
        <v>1225.3814022704851</v>
      </c>
      <c r="S115" s="22"/>
      <c r="T115" s="22"/>
    </row>
    <row r="116" spans="1:20" x14ac:dyDescent="0.35">
      <c r="A116" t="s">
        <v>35</v>
      </c>
      <c r="B116" s="17" t="s">
        <v>84</v>
      </c>
      <c r="C116" s="13" t="s">
        <v>88</v>
      </c>
      <c r="D116" s="13" t="s">
        <v>88</v>
      </c>
      <c r="E116" s="13" t="s">
        <v>88</v>
      </c>
      <c r="F116" s="14">
        <v>293.3769781532917</v>
      </c>
      <c r="G116" s="14">
        <v>317.94283409156969</v>
      </c>
      <c r="H116" s="14">
        <v>345.09561123015106</v>
      </c>
      <c r="I116" s="14">
        <v>375.14243409683206</v>
      </c>
      <c r="J116" s="14">
        <v>408.55566193002812</v>
      </c>
      <c r="K116" s="14">
        <v>446.03442460250778</v>
      </c>
      <c r="L116" s="14">
        <v>487.99204021394536</v>
      </c>
      <c r="M116" s="14">
        <v>534.87251353415456</v>
      </c>
      <c r="N116" s="14">
        <v>586.43499619090232</v>
      </c>
      <c r="O116" s="14">
        <v>642.5772199674866</v>
      </c>
      <c r="P116" s="14">
        <v>702.8090525959808</v>
      </c>
      <c r="Q116" s="14">
        <v>767.04681485446088</v>
      </c>
      <c r="R116" s="14">
        <v>835.9532202009367</v>
      </c>
      <c r="S116" s="22"/>
      <c r="T116" s="22"/>
    </row>
    <row r="117" spans="1:20" x14ac:dyDescent="0.35">
      <c r="A117" t="s">
        <v>35</v>
      </c>
      <c r="B117" s="17" t="s">
        <v>84</v>
      </c>
      <c r="C117" s="13" t="s">
        <v>89</v>
      </c>
      <c r="D117" s="13" t="s">
        <v>89</v>
      </c>
      <c r="E117" s="13" t="s">
        <v>89</v>
      </c>
      <c r="F117" s="14">
        <v>99.400610830840051</v>
      </c>
      <c r="G117" s="14">
        <v>107.65312902923083</v>
      </c>
      <c r="H117" s="14">
        <v>116.72536090355291</v>
      </c>
      <c r="I117" s="14">
        <v>126.47459124587057</v>
      </c>
      <c r="J117" s="14">
        <v>136.78515553604464</v>
      </c>
      <c r="K117" s="14">
        <v>147.86787343986038</v>
      </c>
      <c r="L117" s="14">
        <v>159.92247824652179</v>
      </c>
      <c r="M117" s="14">
        <v>173.43957576599936</v>
      </c>
      <c r="N117" s="14">
        <v>188.66285499542803</v>
      </c>
      <c r="O117" s="14">
        <v>205.36382138774991</v>
      </c>
      <c r="P117" s="14">
        <v>223.69722714969103</v>
      </c>
      <c r="Q117" s="14">
        <v>243.44361036535213</v>
      </c>
      <c r="R117" s="14">
        <v>264.56789693331734</v>
      </c>
      <c r="S117" s="22"/>
      <c r="T117" s="22"/>
    </row>
    <row r="118" spans="1:20" x14ac:dyDescent="0.35">
      <c r="A118" t="s">
        <v>35</v>
      </c>
      <c r="B118" s="17" t="s">
        <v>84</v>
      </c>
      <c r="C118" s="13" t="s">
        <v>90</v>
      </c>
      <c r="D118" s="13" t="s">
        <v>90</v>
      </c>
      <c r="E118" s="13" t="s">
        <v>90</v>
      </c>
      <c r="F118" s="14">
        <v>191.41278780821608</v>
      </c>
      <c r="G118" s="14">
        <v>204.90061328799374</v>
      </c>
      <c r="H118" s="14">
        <v>219.6803540138371</v>
      </c>
      <c r="I118" s="14">
        <v>235.89231007888958</v>
      </c>
      <c r="J118" s="14">
        <v>253.77245961292496</v>
      </c>
      <c r="K118" s="14">
        <v>273.68461408381404</v>
      </c>
      <c r="L118" s="14">
        <v>295.79776521826722</v>
      </c>
      <c r="M118" s="14">
        <v>320.28920878876158</v>
      </c>
      <c r="N118" s="14">
        <v>346.91525633469575</v>
      </c>
      <c r="O118" s="14">
        <v>375.52348409521517</v>
      </c>
      <c r="P118" s="14">
        <v>405.73983093934828</v>
      </c>
      <c r="Q118" s="14">
        <v>437.4407977659846</v>
      </c>
      <c r="R118" s="14">
        <v>470.93266460208537</v>
      </c>
      <c r="S118" s="22"/>
      <c r="T118" s="22"/>
    </row>
    <row r="119" spans="1:20" x14ac:dyDescent="0.35">
      <c r="A119" t="s">
        <v>35</v>
      </c>
      <c r="B119" s="17" t="s">
        <v>91</v>
      </c>
      <c r="C119" s="13" t="s">
        <v>92</v>
      </c>
      <c r="D119" s="13" t="s">
        <v>92</v>
      </c>
      <c r="E119" s="13" t="s">
        <v>92</v>
      </c>
      <c r="F119" s="14">
        <v>522.35514748849459</v>
      </c>
      <c r="G119" s="14">
        <v>569.19358638188248</v>
      </c>
      <c r="H119" s="14">
        <v>620.82822326843461</v>
      </c>
      <c r="I119" s="14">
        <v>678.0264247247942</v>
      </c>
      <c r="J119" s="14">
        <v>741.51952737961039</v>
      </c>
      <c r="K119" s="14">
        <v>812.14127797620949</v>
      </c>
      <c r="L119" s="14">
        <v>890.72653850437041</v>
      </c>
      <c r="M119" s="14">
        <v>977.53733569102326</v>
      </c>
      <c r="N119" s="14">
        <v>1072.79247826194</v>
      </c>
      <c r="O119" s="14">
        <v>1176.8366887165141</v>
      </c>
      <c r="P119" s="14">
        <v>1289.9964785736645</v>
      </c>
      <c r="Q119" s="14">
        <v>1413.3461802205327</v>
      </c>
      <c r="R119" s="14">
        <v>1547.1196746167689</v>
      </c>
      <c r="S119" s="22"/>
      <c r="T119" s="22"/>
    </row>
    <row r="120" spans="1:20" x14ac:dyDescent="0.35">
      <c r="A120" t="s">
        <v>35</v>
      </c>
      <c r="B120" s="17" t="s">
        <v>91</v>
      </c>
      <c r="C120" s="13" t="s">
        <v>93</v>
      </c>
      <c r="D120" s="13" t="s">
        <v>93</v>
      </c>
      <c r="E120" s="13" t="s">
        <v>93</v>
      </c>
      <c r="F120" s="14">
        <v>787.99219795505519</v>
      </c>
      <c r="G120" s="14">
        <v>851.4586284603057</v>
      </c>
      <c r="H120" s="14">
        <v>917.02481441872033</v>
      </c>
      <c r="I120" s="14">
        <v>985.34024441346764</v>
      </c>
      <c r="J120" s="14">
        <v>1058.2851507262403</v>
      </c>
      <c r="K120" s="14">
        <v>1138.6918604365935</v>
      </c>
      <c r="L120" s="14">
        <v>1229.4952615934051</v>
      </c>
      <c r="M120" s="14">
        <v>1331.1638397186621</v>
      </c>
      <c r="N120" s="14">
        <v>1442.1905472839451</v>
      </c>
      <c r="O120" s="14">
        <v>1563.2249604124515</v>
      </c>
      <c r="P120" s="14">
        <v>1695.394639537137</v>
      </c>
      <c r="Q120" s="14">
        <v>1839.3755036915311</v>
      </c>
      <c r="R120" s="14">
        <v>1995.3895471398018</v>
      </c>
      <c r="S120" s="14"/>
      <c r="T120" s="14"/>
    </row>
    <row r="121" spans="1:20" x14ac:dyDescent="0.35">
      <c r="A121" t="s">
        <v>35</v>
      </c>
      <c r="B121" s="17" t="s">
        <v>94</v>
      </c>
      <c r="C121" s="13" t="s">
        <v>95</v>
      </c>
      <c r="D121" s="13" t="s">
        <v>95</v>
      </c>
      <c r="E121" s="13" t="s">
        <v>95</v>
      </c>
      <c r="F121" s="14">
        <v>83.818770278644152</v>
      </c>
      <c r="G121" s="14">
        <v>92.714683921855141</v>
      </c>
      <c r="H121" s="14">
        <v>102.71864144154664</v>
      </c>
      <c r="I121" s="14">
        <v>113.84487883498862</v>
      </c>
      <c r="J121" s="14">
        <v>125.98632746740955</v>
      </c>
      <c r="K121" s="14">
        <v>139.35555736340825</v>
      </c>
      <c r="L121" s="14">
        <v>154.15713326473394</v>
      </c>
      <c r="M121" s="14">
        <v>170.75291965537883</v>
      </c>
      <c r="N121" s="14">
        <v>189.39504834989918</v>
      </c>
      <c r="O121" s="14">
        <v>210.29698711470817</v>
      </c>
      <c r="P121" s="14">
        <v>233.42281026653413</v>
      </c>
      <c r="Q121" s="14">
        <v>258.72254700895235</v>
      </c>
      <c r="R121" s="14">
        <v>286.55756613841601</v>
      </c>
      <c r="S121" s="14"/>
      <c r="T121" s="14"/>
    </row>
    <row r="122" spans="1:20" x14ac:dyDescent="0.35">
      <c r="A122" t="s">
        <v>35</v>
      </c>
      <c r="B122" s="17" t="s">
        <v>94</v>
      </c>
      <c r="C122" s="40" t="s">
        <v>96</v>
      </c>
      <c r="D122" s="40" t="s">
        <v>96</v>
      </c>
      <c r="E122" s="40" t="s">
        <v>96</v>
      </c>
      <c r="F122" s="42">
        <v>317.83600088772778</v>
      </c>
      <c r="G122" s="42">
        <v>351.53167952157287</v>
      </c>
      <c r="H122" s="42">
        <v>384.38120768351178</v>
      </c>
      <c r="I122" s="42">
        <v>417.58429597038344</v>
      </c>
      <c r="J122" s="42">
        <v>453.55077888267442</v>
      </c>
      <c r="K122" s="42">
        <v>494.97227608903017</v>
      </c>
      <c r="L122" s="42">
        <v>543.88640809759522</v>
      </c>
      <c r="M122" s="42">
        <v>599.49864709047915</v>
      </c>
      <c r="N122" s="42">
        <v>659.76194160077466</v>
      </c>
      <c r="O122" s="42">
        <v>725.31841984955781</v>
      </c>
      <c r="P122" s="42">
        <v>798.72294297023336</v>
      </c>
      <c r="Q122" s="42">
        <v>882.0256609697135</v>
      </c>
      <c r="R122" s="42">
        <v>974.61547758094821</v>
      </c>
      <c r="S122" s="14"/>
      <c r="T122" s="14"/>
    </row>
    <row r="123" spans="1:20" x14ac:dyDescent="0.35">
      <c r="A123" t="s">
        <v>35</v>
      </c>
      <c r="B123" s="17" t="s">
        <v>94</v>
      </c>
      <c r="C123" s="13" t="s">
        <v>97</v>
      </c>
      <c r="D123" s="13" t="s">
        <v>97</v>
      </c>
      <c r="E123" s="13" t="s">
        <v>97</v>
      </c>
      <c r="F123" s="14">
        <v>103.1794794434424</v>
      </c>
      <c r="G123" s="14">
        <v>111.33272144290545</v>
      </c>
      <c r="H123" s="14">
        <v>120.3528980312161</v>
      </c>
      <c r="I123" s="14">
        <v>130.06377165328206</v>
      </c>
      <c r="J123" s="14">
        <v>140.38476489225636</v>
      </c>
      <c r="K123" s="14">
        <v>151.15040392837849</v>
      </c>
      <c r="L123" s="14">
        <v>162.79200735605511</v>
      </c>
      <c r="M123" s="14">
        <v>175.65583104184751</v>
      </c>
      <c r="N123" s="14">
        <v>190.1216734539795</v>
      </c>
      <c r="O123" s="14">
        <v>206.28581727208024</v>
      </c>
      <c r="P123" s="14">
        <v>223.89299846365807</v>
      </c>
      <c r="Q123" s="14">
        <v>242.70448718304146</v>
      </c>
      <c r="R123" s="14">
        <v>262.77970168644867</v>
      </c>
      <c r="S123" s="14"/>
      <c r="T123" s="14"/>
    </row>
    <row r="124" spans="1:20" x14ac:dyDescent="0.35">
      <c r="A124" t="s">
        <v>35</v>
      </c>
      <c r="B124" s="17" t="s">
        <v>94</v>
      </c>
      <c r="C124" s="13" t="s">
        <v>98</v>
      </c>
      <c r="D124" s="13" t="s">
        <v>98</v>
      </c>
      <c r="E124" s="13" t="s">
        <v>98</v>
      </c>
      <c r="F124" s="14">
        <v>349.47883417063571</v>
      </c>
      <c r="G124" s="14">
        <v>378.14240494127375</v>
      </c>
      <c r="H124" s="14">
        <v>409.55305493726081</v>
      </c>
      <c r="I124" s="14">
        <v>444.15305159656765</v>
      </c>
      <c r="J124" s="14">
        <v>482.34765373236797</v>
      </c>
      <c r="K124" s="14">
        <v>524.59623083305917</v>
      </c>
      <c r="L124" s="14">
        <v>571.34472329663026</v>
      </c>
      <c r="M124" s="14">
        <v>622.65770836819922</v>
      </c>
      <c r="N124" s="14">
        <v>678.56878129560528</v>
      </c>
      <c r="O124" s="14">
        <v>739.18852776346944</v>
      </c>
      <c r="P124" s="14">
        <v>804.61125131291806</v>
      </c>
      <c r="Q124" s="14">
        <v>875.39324587013868</v>
      </c>
      <c r="R124" s="14">
        <v>951.55284189740917</v>
      </c>
      <c r="S124" s="14"/>
      <c r="T124" s="14"/>
    </row>
    <row r="125" spans="1:20" x14ac:dyDescent="0.35">
      <c r="A125" t="s">
        <v>35</v>
      </c>
      <c r="B125" s="17" t="s">
        <v>94</v>
      </c>
      <c r="C125" s="13" t="s">
        <v>48</v>
      </c>
      <c r="D125" s="13" t="s">
        <v>48</v>
      </c>
      <c r="E125" s="13" t="s">
        <v>48</v>
      </c>
      <c r="F125" s="14">
        <v>80.720577631842062</v>
      </c>
      <c r="G125" s="14">
        <v>88.143872643956854</v>
      </c>
      <c r="H125" s="14">
        <v>96.426122825869555</v>
      </c>
      <c r="I125" s="14">
        <v>105.45445486395535</v>
      </c>
      <c r="J125" s="14">
        <v>115.18749939877443</v>
      </c>
      <c r="K125" s="14">
        <v>125.51170020840956</v>
      </c>
      <c r="L125" s="14">
        <v>136.80309146176995</v>
      </c>
      <c r="M125" s="14">
        <v>149.38389472511827</v>
      </c>
      <c r="N125" s="14">
        <v>163.61961092726517</v>
      </c>
      <c r="O125" s="14">
        <v>179.64825562573697</v>
      </c>
      <c r="P125" s="14">
        <v>197.30699491935783</v>
      </c>
      <c r="Q125" s="14">
        <v>216.43844503468148</v>
      </c>
      <c r="R125" s="14">
        <v>237.1424063145202</v>
      </c>
      <c r="S125" s="14"/>
      <c r="T125" s="14"/>
    </row>
    <row r="126" spans="1:20" x14ac:dyDescent="0.35">
      <c r="A126" t="s">
        <v>35</v>
      </c>
      <c r="B126" s="17" t="s">
        <v>94</v>
      </c>
      <c r="C126" s="13" t="s">
        <v>99</v>
      </c>
      <c r="D126" s="13" t="s">
        <v>99</v>
      </c>
      <c r="E126" s="13" t="s">
        <v>99</v>
      </c>
      <c r="F126" s="14">
        <v>262.91319974732016</v>
      </c>
      <c r="G126" s="14">
        <v>278.2277492678603</v>
      </c>
      <c r="H126" s="14">
        <v>294.89807580425139</v>
      </c>
      <c r="I126" s="14">
        <v>313.05872037833552</v>
      </c>
      <c r="J126" s="14">
        <v>332.96386544958233</v>
      </c>
      <c r="K126" s="14">
        <v>355.02253870629426</v>
      </c>
      <c r="L126" s="14">
        <v>379.3709728775691</v>
      </c>
      <c r="M126" s="14">
        <v>406.14803240187018</v>
      </c>
      <c r="N126" s="14">
        <v>434.95047401853674</v>
      </c>
      <c r="O126" s="14">
        <v>465.50550598851709</v>
      </c>
      <c r="P126" s="14">
        <v>497.2760011647477</v>
      </c>
      <c r="Q126" s="14">
        <v>530.05450452230116</v>
      </c>
      <c r="R126" s="14">
        <v>564.16247834685259</v>
      </c>
      <c r="S126" s="14"/>
      <c r="T126" s="14"/>
    </row>
    <row r="127" spans="1:20" x14ac:dyDescent="0.35">
      <c r="A127" t="s">
        <v>35</v>
      </c>
      <c r="B127" s="17" t="s">
        <v>94</v>
      </c>
      <c r="C127" s="13" t="s">
        <v>100</v>
      </c>
      <c r="D127" s="13" t="s">
        <v>100</v>
      </c>
      <c r="E127" s="13" t="s">
        <v>100</v>
      </c>
      <c r="F127" s="14">
        <v>112.40048328393759</v>
      </c>
      <c r="G127" s="14">
        <v>120.55910310276374</v>
      </c>
      <c r="H127" s="14">
        <v>129.52303696349867</v>
      </c>
      <c r="I127" s="14">
        <v>139.20749584074932</v>
      </c>
      <c r="J127" s="14">
        <v>149.38378828278553</v>
      </c>
      <c r="K127" s="14">
        <v>160.2244312842231</v>
      </c>
      <c r="L127" s="14">
        <v>171.86746374342201</v>
      </c>
      <c r="M127" s="14">
        <v>184.6041421267918</v>
      </c>
      <c r="N127" s="14">
        <v>198.5654958998247</v>
      </c>
      <c r="O127" s="14">
        <v>213.81813551489586</v>
      </c>
      <c r="P127" s="14">
        <v>230.15811901335249</v>
      </c>
      <c r="Q127" s="14">
        <v>247.38279332323503</v>
      </c>
      <c r="R127" s="14">
        <v>265.69874979197573</v>
      </c>
      <c r="S127" s="14"/>
      <c r="T127" s="14"/>
    </row>
    <row r="128" spans="1:20" x14ac:dyDescent="0.35">
      <c r="A128" t="s">
        <v>36</v>
      </c>
      <c r="B128" s="17" t="s">
        <v>54</v>
      </c>
      <c r="C128" s="13" t="s">
        <v>55</v>
      </c>
      <c r="D128" s="13" t="s">
        <v>55</v>
      </c>
      <c r="E128" s="13" t="s">
        <v>55</v>
      </c>
      <c r="F128" s="14">
        <v>18.866920523450556</v>
      </c>
      <c r="G128" s="14">
        <v>20.743290842558803</v>
      </c>
      <c r="H128" s="14">
        <v>22.840843818482316</v>
      </c>
      <c r="I128" s="14">
        <v>25.188568555332612</v>
      </c>
      <c r="J128" s="14">
        <v>27.827984256568147</v>
      </c>
      <c r="K128" s="14">
        <v>30.818182395574787</v>
      </c>
      <c r="L128" s="14">
        <v>34.201595145343241</v>
      </c>
      <c r="M128" s="14">
        <v>38.024863291387753</v>
      </c>
      <c r="N128" s="14">
        <v>42.288195209677816</v>
      </c>
      <c r="O128" s="14">
        <v>47.00133800618152</v>
      </c>
      <c r="P128" s="14">
        <v>52.145771649134439</v>
      </c>
      <c r="Q128" s="14">
        <v>57.731605103868119</v>
      </c>
      <c r="R128" s="14">
        <v>63.825263673355543</v>
      </c>
      <c r="S128" s="14"/>
      <c r="T128" s="14"/>
    </row>
    <row r="129" spans="1:20" x14ac:dyDescent="0.35">
      <c r="A129" t="s">
        <v>36</v>
      </c>
      <c r="B129" s="17" t="s">
        <v>54</v>
      </c>
      <c r="C129" s="13" t="s">
        <v>56</v>
      </c>
      <c r="D129" s="13" t="s">
        <v>56</v>
      </c>
      <c r="E129" s="13" t="s">
        <v>56</v>
      </c>
      <c r="F129" s="14">
        <v>55.756540372668738</v>
      </c>
      <c r="G129" s="14">
        <v>60.287476581725116</v>
      </c>
      <c r="H129" s="14">
        <v>65.293182852958338</v>
      </c>
      <c r="I129" s="14">
        <v>70.741752489276479</v>
      </c>
      <c r="J129" s="14">
        <v>76.526956705562426</v>
      </c>
      <c r="K129" s="14">
        <v>82.744516659679206</v>
      </c>
      <c r="L129" s="14">
        <v>89.475337477998963</v>
      </c>
      <c r="M129" s="14">
        <v>96.882566842533009</v>
      </c>
      <c r="N129" s="14">
        <v>105.05036756869137</v>
      </c>
      <c r="O129" s="14">
        <v>114.03130634045809</v>
      </c>
      <c r="P129" s="14">
        <v>123.73509670302582</v>
      </c>
      <c r="Q129" s="14">
        <v>134.06896078448344</v>
      </c>
      <c r="R129" s="14">
        <v>145.15867839374278</v>
      </c>
      <c r="S129" s="14"/>
      <c r="T129" s="14"/>
    </row>
    <row r="130" spans="1:20" x14ac:dyDescent="0.35">
      <c r="A130" t="s">
        <v>36</v>
      </c>
      <c r="B130" s="17" t="s">
        <v>54</v>
      </c>
      <c r="C130" s="13" t="s">
        <v>57</v>
      </c>
      <c r="D130" s="13" t="s">
        <v>57</v>
      </c>
      <c r="E130" s="13" t="s">
        <v>57</v>
      </c>
      <c r="F130" s="14">
        <v>115.92592146699096</v>
      </c>
      <c r="G130" s="14">
        <v>124.18713474993837</v>
      </c>
      <c r="H130" s="14">
        <v>133.25659760435332</v>
      </c>
      <c r="I130" s="14">
        <v>143.04399576271629</v>
      </c>
      <c r="J130" s="14">
        <v>153.31157993201896</v>
      </c>
      <c r="K130" s="14">
        <v>164.23451858623238</v>
      </c>
      <c r="L130" s="14">
        <v>175.95176701952769</v>
      </c>
      <c r="M130" s="14">
        <v>188.75844303068254</v>
      </c>
      <c r="N130" s="14">
        <v>202.78436500612963</v>
      </c>
      <c r="O130" s="14">
        <v>218.09290968237073</v>
      </c>
      <c r="P130" s="14">
        <v>234.4711635243228</v>
      </c>
      <c r="Q130" s="14">
        <v>251.70855267893828</v>
      </c>
      <c r="R130" s="14">
        <v>270.01192218298894</v>
      </c>
      <c r="S130" s="14"/>
      <c r="T130" s="14"/>
    </row>
    <row r="131" spans="1:20" x14ac:dyDescent="0.35">
      <c r="A131" t="s">
        <v>36</v>
      </c>
      <c r="B131" s="17" t="s">
        <v>59</v>
      </c>
      <c r="C131" s="18" t="s">
        <v>60</v>
      </c>
      <c r="D131" s="38" t="s">
        <v>61</v>
      </c>
      <c r="E131" s="39" t="s">
        <v>62</v>
      </c>
      <c r="F131" s="22">
        <v>7.2450862243482614</v>
      </c>
      <c r="G131" s="22">
        <v>7.9959756347919342</v>
      </c>
      <c r="H131" s="22">
        <v>8.8330648591128149</v>
      </c>
      <c r="I131" s="22">
        <v>9.770301472010603</v>
      </c>
      <c r="J131" s="22">
        <v>10.821755793688974</v>
      </c>
      <c r="K131" s="22">
        <v>12.003628159875282</v>
      </c>
      <c r="L131" s="22">
        <v>13.33286715346442</v>
      </c>
      <c r="M131" s="22">
        <v>14.818602597006141</v>
      </c>
      <c r="N131" s="22">
        <v>16.469652588061344</v>
      </c>
      <c r="O131" s="22">
        <v>18.297090058620256</v>
      </c>
      <c r="P131" s="22">
        <v>20.312135641298212</v>
      </c>
      <c r="Q131" s="22">
        <v>22.538215267083761</v>
      </c>
      <c r="R131" s="22">
        <v>24.986397131166427</v>
      </c>
      <c r="S131" s="14"/>
      <c r="T131" s="14"/>
    </row>
    <row r="132" spans="1:20" x14ac:dyDescent="0.35">
      <c r="A132" t="s">
        <v>36</v>
      </c>
      <c r="B132" s="17" t="s">
        <v>59</v>
      </c>
      <c r="C132" s="18" t="s">
        <v>60</v>
      </c>
      <c r="D132" s="38" t="s">
        <v>61</v>
      </c>
      <c r="E132" s="39" t="s">
        <v>63</v>
      </c>
      <c r="F132" s="22">
        <v>14.9410581554126</v>
      </c>
      <c r="G132" s="22">
        <v>16.152124434618401</v>
      </c>
      <c r="H132" s="22">
        <v>17.400345864043629</v>
      </c>
      <c r="I132" s="22">
        <v>18.714550581520555</v>
      </c>
      <c r="J132" s="22">
        <v>20.150855615834633</v>
      </c>
      <c r="K132" s="22">
        <v>21.766169367563492</v>
      </c>
      <c r="L132" s="22">
        <v>23.605520164242414</v>
      </c>
      <c r="M132" s="22">
        <v>25.651886184509934</v>
      </c>
      <c r="N132" s="22">
        <v>27.857442131366724</v>
      </c>
      <c r="O132" s="22">
        <v>30.224652622142493</v>
      </c>
      <c r="P132" s="22">
        <v>32.790190550352051</v>
      </c>
      <c r="Q132" s="22">
        <v>35.597194385964109</v>
      </c>
      <c r="R132" s="22">
        <v>38.631929886249928</v>
      </c>
      <c r="S132" s="14"/>
      <c r="T132" s="14"/>
    </row>
    <row r="133" spans="1:20" x14ac:dyDescent="0.35">
      <c r="A133" t="s">
        <v>36</v>
      </c>
      <c r="B133" s="17" t="s">
        <v>59</v>
      </c>
      <c r="C133" s="18" t="s">
        <v>60</v>
      </c>
      <c r="D133" s="38" t="s">
        <v>61</v>
      </c>
      <c r="E133" s="39" t="s">
        <v>64</v>
      </c>
      <c r="F133" s="22">
        <v>14.749902652884458</v>
      </c>
      <c r="G133" s="22">
        <v>16.213937678645806</v>
      </c>
      <c r="H133" s="22">
        <v>18.126868100732459</v>
      </c>
      <c r="I133" s="22">
        <v>20.324335597902362</v>
      </c>
      <c r="J133" s="22">
        <v>22.336530431308773</v>
      </c>
      <c r="K133" s="22">
        <v>24.255065517834716</v>
      </c>
      <c r="L133" s="22">
        <v>25.942133595825105</v>
      </c>
      <c r="M133" s="22">
        <v>27.698519817076864</v>
      </c>
      <c r="N133" s="22">
        <v>29.678827206311972</v>
      </c>
      <c r="O133" s="22">
        <v>31.982347132429958</v>
      </c>
      <c r="P133" s="22">
        <v>34.235186632434761</v>
      </c>
      <c r="Q133" s="22">
        <v>36.09135431477506</v>
      </c>
      <c r="R133" s="22">
        <v>37.956034521417372</v>
      </c>
      <c r="S133" s="14"/>
      <c r="T133" s="14"/>
    </row>
    <row r="134" spans="1:20" x14ac:dyDescent="0.35">
      <c r="A134" t="s">
        <v>36</v>
      </c>
      <c r="B134" s="17" t="s">
        <v>59</v>
      </c>
      <c r="C134" s="18" t="s">
        <v>60</v>
      </c>
      <c r="D134" s="38" t="s">
        <v>65</v>
      </c>
      <c r="E134" s="38" t="s">
        <v>65</v>
      </c>
      <c r="F134" s="41">
        <v>34.345391745424493</v>
      </c>
      <c r="G134" s="41">
        <v>36.894583603147687</v>
      </c>
      <c r="H134" s="41">
        <v>39.706771354139576</v>
      </c>
      <c r="I134" s="41">
        <v>42.720074760160848</v>
      </c>
      <c r="J134" s="41">
        <v>45.905094362939003</v>
      </c>
      <c r="K134" s="41">
        <v>49.205161338555079</v>
      </c>
      <c r="L134" s="41">
        <v>52.758868236492027</v>
      </c>
      <c r="M134" s="41">
        <v>56.674749538066457</v>
      </c>
      <c r="N134" s="41">
        <v>61.070192147362491</v>
      </c>
      <c r="O134" s="41">
        <v>65.969379667437323</v>
      </c>
      <c r="P134" s="41">
        <v>71.283580770457448</v>
      </c>
      <c r="Q134" s="41">
        <v>76.930825607841854</v>
      </c>
      <c r="R134" s="41">
        <v>82.925035817321884</v>
      </c>
      <c r="S134" s="14"/>
      <c r="T134" s="14"/>
    </row>
    <row r="135" spans="1:20" x14ac:dyDescent="0.35">
      <c r="A135" t="s">
        <v>36</v>
      </c>
      <c r="B135" s="17" t="s">
        <v>59</v>
      </c>
      <c r="C135" s="18" t="s">
        <v>60</v>
      </c>
      <c r="D135" s="38" t="s">
        <v>66</v>
      </c>
      <c r="E135" s="38" t="s">
        <v>66</v>
      </c>
      <c r="F135" s="41">
        <v>22.184215452411372</v>
      </c>
      <c r="G135" s="41">
        <v>23.672429254064181</v>
      </c>
      <c r="H135" s="41">
        <v>25.290069456400701</v>
      </c>
      <c r="I135" s="41">
        <v>26.999282507722096</v>
      </c>
      <c r="J135" s="41">
        <v>28.770013056957165</v>
      </c>
      <c r="K135" s="41">
        <v>30.642490821958834</v>
      </c>
      <c r="L135" s="41">
        <v>32.65215884138042</v>
      </c>
      <c r="M135" s="41">
        <v>34.891586119670187</v>
      </c>
      <c r="N135" s="41">
        <v>37.398000730000426</v>
      </c>
      <c r="O135" s="41">
        <v>40.11251051967718</v>
      </c>
      <c r="P135" s="41">
        <v>43.054135636529978</v>
      </c>
      <c r="Q135" s="41">
        <v>46.168428800576322</v>
      </c>
      <c r="R135" s="41">
        <v>49.438739711089006</v>
      </c>
      <c r="S135" s="22"/>
      <c r="T135" s="22"/>
    </row>
    <row r="136" spans="1:20" x14ac:dyDescent="0.35">
      <c r="A136" t="s">
        <v>36</v>
      </c>
      <c r="B136" s="17" t="s">
        <v>59</v>
      </c>
      <c r="C136" s="18" t="s">
        <v>60</v>
      </c>
      <c r="D136" s="38" t="s">
        <v>67</v>
      </c>
      <c r="E136" s="38" t="s">
        <v>67</v>
      </c>
      <c r="F136" s="41">
        <v>14.173648586373046</v>
      </c>
      <c r="G136" s="41">
        <v>14.971412720499695</v>
      </c>
      <c r="H136" s="41">
        <v>15.829763364256403</v>
      </c>
      <c r="I136" s="41">
        <v>16.759751016167815</v>
      </c>
      <c r="J136" s="41">
        <v>17.76971394694413</v>
      </c>
      <c r="K136" s="41">
        <v>18.86888539394285</v>
      </c>
      <c r="L136" s="41">
        <v>20.064800273390652</v>
      </c>
      <c r="M136" s="41">
        <v>21.350510136787655</v>
      </c>
      <c r="N136" s="41">
        <v>22.718249720642859</v>
      </c>
      <c r="O136" s="41">
        <v>24.163168785055714</v>
      </c>
      <c r="P136" s="41">
        <v>25.679966231857666</v>
      </c>
      <c r="Q136" s="41">
        <v>27.27822065909087</v>
      </c>
      <c r="R136" s="41">
        <v>28.949486751917991</v>
      </c>
      <c r="S136" s="22"/>
      <c r="T136" s="22"/>
    </row>
    <row r="137" spans="1:20" x14ac:dyDescent="0.35">
      <c r="A137" t="s">
        <v>36</v>
      </c>
      <c r="B137" s="17" t="s">
        <v>59</v>
      </c>
      <c r="C137" s="18" t="s">
        <v>60</v>
      </c>
      <c r="D137" s="38" t="s">
        <v>68</v>
      </c>
      <c r="E137" s="38" t="s">
        <v>68</v>
      </c>
      <c r="F137" s="41">
        <v>23.695212205172329</v>
      </c>
      <c r="G137" s="41">
        <v>25.696753823455897</v>
      </c>
      <c r="H137" s="41">
        <v>27.89428666595402</v>
      </c>
      <c r="I137" s="41">
        <v>30.319264844239999</v>
      </c>
      <c r="J137" s="41">
        <v>33.000897330039095</v>
      </c>
      <c r="K137" s="41">
        <v>35.972355079167407</v>
      </c>
      <c r="L137" s="41">
        <v>39.266183029484999</v>
      </c>
      <c r="M137" s="41">
        <v>42.889004936604792</v>
      </c>
      <c r="N137" s="41">
        <v>46.845365003916434</v>
      </c>
      <c r="O137" s="41">
        <v>51.14515883101771</v>
      </c>
      <c r="P137" s="41">
        <v>55.797240261642933</v>
      </c>
      <c r="Q137" s="41">
        <v>60.842576162192444</v>
      </c>
      <c r="R137" s="41">
        <v>66.28510829228982</v>
      </c>
      <c r="S137" s="22"/>
      <c r="T137" s="22"/>
    </row>
    <row r="138" spans="1:20" x14ac:dyDescent="0.35">
      <c r="A138" t="s">
        <v>36</v>
      </c>
      <c r="B138" s="17" t="s">
        <v>59</v>
      </c>
      <c r="C138" s="18" t="s">
        <v>60</v>
      </c>
      <c r="D138" s="38" t="s">
        <v>69</v>
      </c>
      <c r="E138" s="38" t="s">
        <v>69</v>
      </c>
      <c r="F138" s="41">
        <v>27.087904544791506</v>
      </c>
      <c r="G138" s="41">
        <v>28.505097812856238</v>
      </c>
      <c r="H138" s="41">
        <v>29.888767574824893</v>
      </c>
      <c r="I138" s="41">
        <v>31.287249622438395</v>
      </c>
      <c r="J138" s="41">
        <v>32.789353116385001</v>
      </c>
      <c r="K138" s="41">
        <v>34.475483201651222</v>
      </c>
      <c r="L138" s="41">
        <v>36.39808011711515</v>
      </c>
      <c r="M138" s="41">
        <v>38.507428714805471</v>
      </c>
      <c r="N138" s="41">
        <v>40.711682911628728</v>
      </c>
      <c r="O138" s="41">
        <v>43.001223301217664</v>
      </c>
      <c r="P138" s="41">
        <v>45.415498740958213</v>
      </c>
      <c r="Q138" s="41">
        <v>47.998143434753743</v>
      </c>
      <c r="R138" s="41">
        <v>50.710717449167888</v>
      </c>
      <c r="S138" s="22"/>
      <c r="T138" s="22"/>
    </row>
    <row r="139" spans="1:20" x14ac:dyDescent="0.35">
      <c r="A139" t="s">
        <v>36</v>
      </c>
      <c r="B139" s="17" t="s">
        <v>59</v>
      </c>
      <c r="C139" s="18" t="s">
        <v>70</v>
      </c>
      <c r="D139" s="19" t="s">
        <v>71</v>
      </c>
      <c r="E139" s="19" t="s">
        <v>71</v>
      </c>
      <c r="F139" s="22">
        <v>4.7418365252346115</v>
      </c>
      <c r="G139" s="22">
        <v>5.2585195040228756</v>
      </c>
      <c r="H139" s="22">
        <v>5.8324656548830021</v>
      </c>
      <c r="I139" s="22">
        <v>6.4850065372161705</v>
      </c>
      <c r="J139" s="22">
        <v>7.223423246746588</v>
      </c>
      <c r="K139" s="22">
        <v>8.0549606330883066</v>
      </c>
      <c r="L139" s="22">
        <v>8.9838445973003171</v>
      </c>
      <c r="M139" s="22">
        <v>10.012358896781201</v>
      </c>
      <c r="N139" s="22">
        <v>11.14886412909622</v>
      </c>
      <c r="O139" s="22">
        <v>12.429057783796601</v>
      </c>
      <c r="P139" s="22">
        <v>13.873790294855795</v>
      </c>
      <c r="Q139" s="22">
        <v>15.488032518791178</v>
      </c>
      <c r="R139" s="22">
        <v>17.277391420830885</v>
      </c>
      <c r="S139" s="22"/>
      <c r="T139" s="22"/>
    </row>
    <row r="140" spans="1:20" x14ac:dyDescent="0.35">
      <c r="A140" t="s">
        <v>36</v>
      </c>
      <c r="B140" s="17" t="s">
        <v>59</v>
      </c>
      <c r="C140" s="18" t="s">
        <v>70</v>
      </c>
      <c r="D140" s="19" t="s">
        <v>72</v>
      </c>
      <c r="E140" s="19" t="s">
        <v>72</v>
      </c>
      <c r="F140" s="22">
        <v>3.5634633147664543</v>
      </c>
      <c r="G140" s="22">
        <v>3.9923485345918022</v>
      </c>
      <c r="H140" s="22">
        <v>4.477035248164281</v>
      </c>
      <c r="I140" s="22">
        <v>5.0269072894458198</v>
      </c>
      <c r="J140" s="22">
        <v>5.6519151358131694</v>
      </c>
      <c r="K140" s="22">
        <v>6.3636479076195345</v>
      </c>
      <c r="L140" s="22">
        <v>7.1747045500427422</v>
      </c>
      <c r="M140" s="22">
        <v>8.0941368104930742</v>
      </c>
      <c r="N140" s="22">
        <v>9.1312586275884087</v>
      </c>
      <c r="O140" s="22">
        <v>10.297073403664967</v>
      </c>
      <c r="P140" s="22">
        <v>11.603199336904881</v>
      </c>
      <c r="Q140" s="22">
        <v>13.068784009972564</v>
      </c>
      <c r="R140" s="22">
        <v>14.706808172793332</v>
      </c>
      <c r="S140" s="22"/>
      <c r="T140" s="22"/>
    </row>
    <row r="141" spans="1:20" x14ac:dyDescent="0.35">
      <c r="A141" t="s">
        <v>36</v>
      </c>
      <c r="B141" s="17" t="s">
        <v>59</v>
      </c>
      <c r="C141" s="18" t="s">
        <v>70</v>
      </c>
      <c r="D141" s="19" t="s">
        <v>73</v>
      </c>
      <c r="E141" s="19" t="s">
        <v>73</v>
      </c>
      <c r="F141" s="22">
        <v>3.3380452987382632</v>
      </c>
      <c r="G141" s="22">
        <v>3.6226978166712946</v>
      </c>
      <c r="H141" s="22">
        <v>3.9361525104680166</v>
      </c>
      <c r="I141" s="22">
        <v>4.2737768234725397</v>
      </c>
      <c r="J141" s="22">
        <v>4.6318133795932326</v>
      </c>
      <c r="K141" s="22">
        <v>5.0175286171398943</v>
      </c>
      <c r="L141" s="22">
        <v>5.4378731368750461</v>
      </c>
      <c r="M141" s="22">
        <v>5.909745726949474</v>
      </c>
      <c r="N141" s="22">
        <v>6.4417718343121209</v>
      </c>
      <c r="O141" s="22">
        <v>7.0265250332437574</v>
      </c>
      <c r="P141" s="22">
        <v>7.6696292210986305</v>
      </c>
      <c r="Q141" s="22">
        <v>8.363924026366373</v>
      </c>
      <c r="R141" s="22">
        <v>9.1085241294947856</v>
      </c>
      <c r="S141" s="22"/>
      <c r="T141" s="22"/>
    </row>
    <row r="142" spans="1:20" x14ac:dyDescent="0.35">
      <c r="A142" t="s">
        <v>36</v>
      </c>
      <c r="B142" s="17" t="s">
        <v>59</v>
      </c>
      <c r="C142" s="18" t="s">
        <v>70</v>
      </c>
      <c r="D142" s="19" t="s">
        <v>74</v>
      </c>
      <c r="E142" s="19" t="s">
        <v>74</v>
      </c>
      <c r="F142" s="22">
        <v>4.0261376762979619</v>
      </c>
      <c r="G142" s="22">
        <v>4.3773749483887148</v>
      </c>
      <c r="H142" s="22">
        <v>4.7665495251432546</v>
      </c>
      <c r="I142" s="22">
        <v>5.1982682775412332</v>
      </c>
      <c r="J142" s="22">
        <v>5.6794854535488435</v>
      </c>
      <c r="K142" s="22">
        <v>6.2203954461048436</v>
      </c>
      <c r="L142" s="22">
        <v>6.8273355621936078</v>
      </c>
      <c r="M142" s="22">
        <v>7.5071510706148485</v>
      </c>
      <c r="N142" s="22">
        <v>8.2571599559812885</v>
      </c>
      <c r="O142" s="22">
        <v>9.0765944008474122</v>
      </c>
      <c r="P142" s="22">
        <v>9.9591957249512948</v>
      </c>
      <c r="Q142" s="22">
        <v>10.904382425448935</v>
      </c>
      <c r="R142" s="22">
        <v>11.922174138640525</v>
      </c>
      <c r="S142" s="22"/>
      <c r="T142" s="22"/>
    </row>
    <row r="143" spans="1:20" x14ac:dyDescent="0.35">
      <c r="A143" t="s">
        <v>36</v>
      </c>
      <c r="B143" s="17" t="s">
        <v>59</v>
      </c>
      <c r="C143" s="18" t="s">
        <v>70</v>
      </c>
      <c r="D143" s="19" t="s">
        <v>75</v>
      </c>
      <c r="E143" s="19" t="s">
        <v>75</v>
      </c>
      <c r="F143" s="22">
        <v>2.9777048099489125</v>
      </c>
      <c r="G143" s="22">
        <v>3.2744068822581016</v>
      </c>
      <c r="H143" s="22">
        <v>3.6041030352971259</v>
      </c>
      <c r="I143" s="22">
        <v>3.9721017163556249</v>
      </c>
      <c r="J143" s="22">
        <v>4.3836805199721658</v>
      </c>
      <c r="K143" s="22">
        <v>4.8448990582241871</v>
      </c>
      <c r="L143" s="22">
        <v>5.3620263132883075</v>
      </c>
      <c r="M143" s="22">
        <v>5.9380905398658772</v>
      </c>
      <c r="N143" s="22">
        <v>6.5759447137175293</v>
      </c>
      <c r="O143" s="22">
        <v>7.2792937135061084</v>
      </c>
      <c r="P143" s="22">
        <v>8.0518400051061612</v>
      </c>
      <c r="Q143" s="22">
        <v>8.9020626023281011</v>
      </c>
      <c r="R143" s="22">
        <v>9.8334283539719767</v>
      </c>
      <c r="S143" s="22"/>
      <c r="T143" s="22"/>
    </row>
    <row r="144" spans="1:20" x14ac:dyDescent="0.35">
      <c r="A144" t="s">
        <v>36</v>
      </c>
      <c r="B144" s="17" t="s">
        <v>59</v>
      </c>
      <c r="C144" s="18" t="s">
        <v>76</v>
      </c>
      <c r="D144" s="19" t="s">
        <v>77</v>
      </c>
      <c r="E144" s="19" t="s">
        <v>77</v>
      </c>
      <c r="F144" s="22">
        <v>3.8910904630909044</v>
      </c>
      <c r="G144" s="22">
        <v>4.2193751009820515</v>
      </c>
      <c r="H144" s="22">
        <v>4.5797768492261648</v>
      </c>
      <c r="I144" s="22">
        <v>4.9774506566295091</v>
      </c>
      <c r="J144" s="22">
        <v>5.4171809352785978</v>
      </c>
      <c r="K144" s="22">
        <v>5.9044006491304311</v>
      </c>
      <c r="L144" s="22">
        <v>6.444437947528395</v>
      </c>
      <c r="M144" s="22">
        <v>7.038364723717117</v>
      </c>
      <c r="N144" s="22">
        <v>7.6869111652039894</v>
      </c>
      <c r="O144" s="22">
        <v>8.391685261118301</v>
      </c>
      <c r="P144" s="22">
        <v>9.1541234268905995</v>
      </c>
      <c r="Q144" s="22">
        <v>9.9809299715799806</v>
      </c>
      <c r="R144" s="22">
        <v>10.872732855815141</v>
      </c>
      <c r="S144" s="22"/>
      <c r="T144" s="22"/>
    </row>
    <row r="145" spans="1:20" x14ac:dyDescent="0.35">
      <c r="A145" t="s">
        <v>36</v>
      </c>
      <c r="B145" s="17" t="s">
        <v>59</v>
      </c>
      <c r="C145" s="18" t="s">
        <v>76</v>
      </c>
      <c r="D145" s="19" t="s">
        <v>78</v>
      </c>
      <c r="E145" s="19" t="s">
        <v>78</v>
      </c>
      <c r="F145" s="22">
        <v>3.6697083524915066</v>
      </c>
      <c r="G145" s="22">
        <v>3.940222527133471</v>
      </c>
      <c r="H145" s="22">
        <v>4.2376431034002424</v>
      </c>
      <c r="I145" s="22">
        <v>4.5592816309737518</v>
      </c>
      <c r="J145" s="22">
        <v>4.8977252291559941</v>
      </c>
      <c r="K145" s="22">
        <v>5.2586838644431833</v>
      </c>
      <c r="L145" s="22">
        <v>5.646759967608074</v>
      </c>
      <c r="M145" s="22">
        <v>6.0716093633096264</v>
      </c>
      <c r="N145" s="22">
        <v>6.5376586545505688</v>
      </c>
      <c r="O145" s="22">
        <v>7.0472319999596076</v>
      </c>
      <c r="P145" s="22">
        <v>7.593746084027253</v>
      </c>
      <c r="Q145" s="22">
        <v>8.1706324014904901</v>
      </c>
      <c r="R145" s="22">
        <v>8.784811448546856</v>
      </c>
      <c r="S145" s="22"/>
      <c r="T145" s="22"/>
    </row>
    <row r="146" spans="1:20" x14ac:dyDescent="0.35">
      <c r="A146" t="s">
        <v>36</v>
      </c>
      <c r="B146" s="17" t="s">
        <v>59</v>
      </c>
      <c r="C146" s="18" t="s">
        <v>76</v>
      </c>
      <c r="D146" s="19" t="s">
        <v>79</v>
      </c>
      <c r="E146" s="19" t="s">
        <v>79</v>
      </c>
      <c r="F146" s="22">
        <v>2.2426575307465533</v>
      </c>
      <c r="G146" s="22">
        <v>2.4849907136811584</v>
      </c>
      <c r="H146" s="22">
        <v>2.7441232765084664</v>
      </c>
      <c r="I146" s="22">
        <v>3.0254713907590034</v>
      </c>
      <c r="J146" s="22">
        <v>3.3393581107881771</v>
      </c>
      <c r="K146" s="22">
        <v>3.6972072334536499</v>
      </c>
      <c r="L146" s="22">
        <v>4.1094644371548776</v>
      </c>
      <c r="M146" s="22">
        <v>4.5766700543628431</v>
      </c>
      <c r="N146" s="22">
        <v>5.0937434454553188</v>
      </c>
      <c r="O146" s="22">
        <v>5.6641198193735081</v>
      </c>
      <c r="P146" s="22">
        <v>6.2978345529272897</v>
      </c>
      <c r="Q146" s="22">
        <v>7.0070021308535635</v>
      </c>
      <c r="R146" s="22">
        <v>7.7935528199387933</v>
      </c>
      <c r="S146" s="22"/>
      <c r="T146" s="22"/>
    </row>
    <row r="147" spans="1:20" x14ac:dyDescent="0.35">
      <c r="A147" t="s">
        <v>36</v>
      </c>
      <c r="B147" s="17" t="s">
        <v>59</v>
      </c>
      <c r="C147" s="18" t="s">
        <v>76</v>
      </c>
      <c r="D147" s="19" t="s">
        <v>80</v>
      </c>
      <c r="E147" s="19" t="s">
        <v>80</v>
      </c>
      <c r="F147" s="22">
        <v>1.5993853854229809</v>
      </c>
      <c r="G147" s="22">
        <v>1.7021014951091993</v>
      </c>
      <c r="H147" s="22">
        <v>1.8148184662803495</v>
      </c>
      <c r="I147" s="22">
        <v>1.9343948681113499</v>
      </c>
      <c r="J147" s="22">
        <v>2.0592708349860427</v>
      </c>
      <c r="K147" s="22">
        <v>2.1867168524180696</v>
      </c>
      <c r="L147" s="22">
        <v>2.3227792699550998</v>
      </c>
      <c r="M147" s="22">
        <v>2.471953354227781</v>
      </c>
      <c r="N147" s="22">
        <v>2.6389475766336825</v>
      </c>
      <c r="O147" s="22">
        <v>2.824260382765829</v>
      </c>
      <c r="P147" s="22">
        <v>3.0235276890960581</v>
      </c>
      <c r="Q147" s="22">
        <v>3.2328230439212433</v>
      </c>
      <c r="R147" s="22">
        <v>3.4523863113595707</v>
      </c>
      <c r="S147" s="22"/>
      <c r="T147" s="22"/>
    </row>
    <row r="148" spans="1:20" x14ac:dyDescent="0.35">
      <c r="A148" t="s">
        <v>36</v>
      </c>
      <c r="B148" s="17" t="s">
        <v>59</v>
      </c>
      <c r="C148" s="18" t="s">
        <v>76</v>
      </c>
      <c r="D148" s="19" t="s">
        <v>81</v>
      </c>
      <c r="E148" s="19" t="s">
        <v>81</v>
      </c>
      <c r="F148" s="22">
        <v>2.0769334395540286</v>
      </c>
      <c r="G148" s="22">
        <v>2.2435496893037623</v>
      </c>
      <c r="H148" s="22">
        <v>2.4280193669585617</v>
      </c>
      <c r="I148" s="22">
        <v>2.6268472146576989</v>
      </c>
      <c r="J148" s="22">
        <v>2.8384543941699509</v>
      </c>
      <c r="K148" s="22">
        <v>3.0595384993154098</v>
      </c>
      <c r="L148" s="22">
        <v>3.2988624495282446</v>
      </c>
      <c r="M148" s="22">
        <v>3.5635045797539679</v>
      </c>
      <c r="N148" s="22">
        <v>3.8612552426686699</v>
      </c>
      <c r="O148" s="22">
        <v>4.1941813131359735</v>
      </c>
      <c r="P148" s="22">
        <v>4.5572110750938064</v>
      </c>
      <c r="Q148" s="22">
        <v>4.9455868042592677</v>
      </c>
      <c r="R148" s="22">
        <v>5.360605038075124</v>
      </c>
      <c r="S148" s="22"/>
      <c r="T148" s="22"/>
    </row>
    <row r="149" spans="1:20" x14ac:dyDescent="0.35">
      <c r="A149" t="s">
        <v>36</v>
      </c>
      <c r="B149" s="17" t="s">
        <v>47</v>
      </c>
      <c r="C149" s="13" t="s">
        <v>82</v>
      </c>
      <c r="D149" s="13" t="s">
        <v>82</v>
      </c>
      <c r="E149" s="13" t="s">
        <v>82</v>
      </c>
      <c r="F149" s="14">
        <v>74.623460896119298</v>
      </c>
      <c r="G149" s="14">
        <v>81.030767424283923</v>
      </c>
      <c r="H149" s="14">
        <v>88.134026671440651</v>
      </c>
      <c r="I149" s="14">
        <v>95.930321044609087</v>
      </c>
      <c r="J149" s="14">
        <v>104.35494096213057</v>
      </c>
      <c r="K149" s="14">
        <v>113.562699055254</v>
      </c>
      <c r="L149" s="14">
        <v>123.6769326233422</v>
      </c>
      <c r="M149" s="14">
        <v>134.90743013392077</v>
      </c>
      <c r="N149" s="14">
        <v>147.33856277836918</v>
      </c>
      <c r="O149" s="14">
        <v>161.03264434663961</v>
      </c>
      <c r="P149" s="14">
        <v>175.88086835216026</v>
      </c>
      <c r="Q149" s="14">
        <v>191.80056588835157</v>
      </c>
      <c r="R149" s="14">
        <v>208.98394206709833</v>
      </c>
      <c r="S149" s="22"/>
      <c r="T149" s="22"/>
    </row>
    <row r="150" spans="1:20" x14ac:dyDescent="0.35">
      <c r="A150" t="s">
        <v>36</v>
      </c>
      <c r="B150" s="17" t="s">
        <v>47</v>
      </c>
      <c r="C150" s="13" t="s">
        <v>83</v>
      </c>
      <c r="D150" s="13" t="s">
        <v>83</v>
      </c>
      <c r="E150" s="13" t="s">
        <v>83</v>
      </c>
      <c r="F150" s="14">
        <v>115.92592146699096</v>
      </c>
      <c r="G150" s="14">
        <v>124.18713474993837</v>
      </c>
      <c r="H150" s="14">
        <v>133.25659760435332</v>
      </c>
      <c r="I150" s="14">
        <v>143.04399576271629</v>
      </c>
      <c r="J150" s="14">
        <v>153.31157993201896</v>
      </c>
      <c r="K150" s="14">
        <v>164.23451858623238</v>
      </c>
      <c r="L150" s="14">
        <v>175.95176701952769</v>
      </c>
      <c r="M150" s="14">
        <v>188.75844303068254</v>
      </c>
      <c r="N150" s="14">
        <v>202.78436500612963</v>
      </c>
      <c r="O150" s="14">
        <v>218.09290968237073</v>
      </c>
      <c r="P150" s="14">
        <v>234.4711635243228</v>
      </c>
      <c r="Q150" s="14">
        <v>251.70855267893828</v>
      </c>
      <c r="R150" s="14">
        <v>270.01192218298894</v>
      </c>
      <c r="S150" s="22"/>
      <c r="T150" s="22"/>
    </row>
    <row r="151" spans="1:20" x14ac:dyDescent="0.35">
      <c r="A151" t="s">
        <v>36</v>
      </c>
      <c r="B151" s="17" t="s">
        <v>84</v>
      </c>
      <c r="C151" s="13" t="s">
        <v>85</v>
      </c>
      <c r="D151" s="13" t="s">
        <v>85</v>
      </c>
      <c r="E151" s="13" t="s">
        <v>85</v>
      </c>
      <c r="F151" s="14">
        <v>12.877971305567094</v>
      </c>
      <c r="G151" s="14">
        <v>13.63098411664817</v>
      </c>
      <c r="H151" s="14">
        <v>14.452123975067492</v>
      </c>
      <c r="I151" s="14">
        <v>15.328758443445945</v>
      </c>
      <c r="J151" s="14">
        <v>16.232990816331419</v>
      </c>
      <c r="K151" s="14">
        <v>17.18191848737338</v>
      </c>
      <c r="L151" s="14">
        <v>18.188000349263408</v>
      </c>
      <c r="M151" s="14">
        <v>19.279193504562251</v>
      </c>
      <c r="N151" s="14">
        <v>20.465177561114061</v>
      </c>
      <c r="O151" s="14">
        <v>21.748381300350072</v>
      </c>
      <c r="P151" s="14">
        <v>23.103472295940566</v>
      </c>
      <c r="Q151" s="14">
        <v>24.506456130233488</v>
      </c>
      <c r="R151" s="14">
        <v>25.975044493027024</v>
      </c>
      <c r="S151" s="14"/>
      <c r="T151" s="14"/>
    </row>
    <row r="152" spans="1:20" x14ac:dyDescent="0.35">
      <c r="A152" t="s">
        <v>36</v>
      </c>
      <c r="B152" s="17" t="s">
        <v>84</v>
      </c>
      <c r="C152" s="13" t="s">
        <v>86</v>
      </c>
      <c r="D152" s="13" t="s">
        <v>86</v>
      </c>
      <c r="E152" s="13" t="s">
        <v>86</v>
      </c>
      <c r="F152" s="14">
        <v>36.768272674380007</v>
      </c>
      <c r="G152" s="14">
        <v>39.086442765812151</v>
      </c>
      <c r="H152" s="14">
        <v>41.619864170688309</v>
      </c>
      <c r="I152" s="14">
        <v>44.334852833806728</v>
      </c>
      <c r="J152" s="14">
        <v>47.152973323629361</v>
      </c>
      <c r="K152" s="14">
        <v>50.125115249312316</v>
      </c>
      <c r="L152" s="14">
        <v>53.289506729566305</v>
      </c>
      <c r="M152" s="14">
        <v>56.730431297337404</v>
      </c>
      <c r="N152" s="14">
        <v>60.479827274513866</v>
      </c>
      <c r="O152" s="14">
        <v>64.54872773203013</v>
      </c>
      <c r="P152" s="14">
        <v>68.865930198806524</v>
      </c>
      <c r="Q152" s="14">
        <v>73.36296325217927</v>
      </c>
      <c r="R152" s="14">
        <v>78.095003709704741</v>
      </c>
      <c r="S152" s="14"/>
      <c r="T152" s="14"/>
    </row>
    <row r="153" spans="1:20" x14ac:dyDescent="0.35">
      <c r="A153" t="s">
        <v>36</v>
      </c>
      <c r="B153" s="17" t="s">
        <v>84</v>
      </c>
      <c r="C153" s="40" t="s">
        <v>87</v>
      </c>
      <c r="D153" s="40" t="s">
        <v>87</v>
      </c>
      <c r="E153" s="40" t="s">
        <v>87</v>
      </c>
      <c r="F153" s="42">
        <v>60.655036568034717</v>
      </c>
      <c r="G153" s="42">
        <v>66.435306475874313</v>
      </c>
      <c r="H153" s="42">
        <v>73.026875155343163</v>
      </c>
      <c r="I153" s="42">
        <v>80.287818774301655</v>
      </c>
      <c r="J153" s="42">
        <v>87.864283624904999</v>
      </c>
      <c r="K153" s="42">
        <v>95.832548931675348</v>
      </c>
      <c r="L153" s="42">
        <v>104.28523850895365</v>
      </c>
      <c r="M153" s="42">
        <v>113.60847944855283</v>
      </c>
      <c r="N153" s="42">
        <v>124.11096504513208</v>
      </c>
      <c r="O153" s="42">
        <v>135.93686161917674</v>
      </c>
      <c r="P153" s="42">
        <v>148.89269962303496</v>
      </c>
      <c r="Q153" s="42">
        <v>162.73078435725148</v>
      </c>
      <c r="R153" s="42">
        <v>177.73706762597448</v>
      </c>
      <c r="S153" s="14"/>
      <c r="T153" s="14"/>
    </row>
    <row r="154" spans="1:20" x14ac:dyDescent="0.35">
      <c r="A154" t="s">
        <v>36</v>
      </c>
      <c r="B154" s="17" t="s">
        <v>84</v>
      </c>
      <c r="C154" s="13" t="s">
        <v>88</v>
      </c>
      <c r="D154" s="13" t="s">
        <v>88</v>
      </c>
      <c r="E154" s="13" t="s">
        <v>88</v>
      </c>
      <c r="F154" s="14">
        <v>42.159996656952622</v>
      </c>
      <c r="G154" s="14">
        <v>45.341592723110118</v>
      </c>
      <c r="H154" s="14">
        <v>48.838856647732044</v>
      </c>
      <c r="I154" s="14">
        <v>52.687267791663125</v>
      </c>
      <c r="J154" s="14">
        <v>56.944301117607047</v>
      </c>
      <c r="K154" s="14">
        <v>61.697146294857042</v>
      </c>
      <c r="L154" s="14">
        <v>66.990646791784826</v>
      </c>
      <c r="M154" s="14">
        <v>72.872301087732012</v>
      </c>
      <c r="N154" s="14">
        <v>79.294644467693729</v>
      </c>
      <c r="O154" s="14">
        <v>86.230135346240061</v>
      </c>
      <c r="P154" s="14">
        <v>93.599777334336579</v>
      </c>
      <c r="Q154" s="14">
        <v>101.3808648818281</v>
      </c>
      <c r="R154" s="14">
        <v>109.64983368003305</v>
      </c>
      <c r="S154" s="14"/>
      <c r="T154" s="14"/>
    </row>
    <row r="155" spans="1:20" x14ac:dyDescent="0.35">
      <c r="A155" t="s">
        <v>36</v>
      </c>
      <c r="B155" s="17" t="s">
        <v>84</v>
      </c>
      <c r="C155" s="13" t="s">
        <v>89</v>
      </c>
      <c r="D155" s="13" t="s">
        <v>89</v>
      </c>
      <c r="E155" s="13" t="s">
        <v>89</v>
      </c>
      <c r="F155" s="14">
        <v>12.611769044015928</v>
      </c>
      <c r="G155" s="14">
        <v>13.515037518966384</v>
      </c>
      <c r="H155" s="14">
        <v>14.497157665155973</v>
      </c>
      <c r="I155" s="14">
        <v>15.571184841222898</v>
      </c>
      <c r="J155" s="14">
        <v>16.748323858119718</v>
      </c>
      <c r="K155" s="14">
        <v>18.041168931743378</v>
      </c>
      <c r="L155" s="14">
        <v>19.461303260251633</v>
      </c>
      <c r="M155" s="14">
        <v>21.006801905113999</v>
      </c>
      <c r="N155" s="14">
        <v>22.67468456337194</v>
      </c>
      <c r="O155" s="14">
        <v>24.464572988829321</v>
      </c>
      <c r="P155" s="14">
        <v>26.375480520843457</v>
      </c>
      <c r="Q155" s="14">
        <v>28.421517735660171</v>
      </c>
      <c r="R155" s="14">
        <v>30.598704606506359</v>
      </c>
      <c r="S155" s="14"/>
      <c r="T155" s="14"/>
    </row>
    <row r="156" spans="1:20" x14ac:dyDescent="0.35">
      <c r="A156" t="s">
        <v>36</v>
      </c>
      <c r="B156" s="17" t="s">
        <v>84</v>
      </c>
      <c r="C156" s="13" t="s">
        <v>90</v>
      </c>
      <c r="D156" s="13" t="s">
        <v>90</v>
      </c>
      <c r="E156" s="13" t="s">
        <v>90</v>
      </c>
      <c r="F156" s="14">
        <v>25.476336114159878</v>
      </c>
      <c r="G156" s="14">
        <v>27.208538573811147</v>
      </c>
      <c r="H156" s="14">
        <v>28.955746661807005</v>
      </c>
      <c r="I156" s="14">
        <v>30.764434122885028</v>
      </c>
      <c r="J156" s="14">
        <v>32.723648153556994</v>
      </c>
      <c r="K156" s="14">
        <v>34.919319746524906</v>
      </c>
      <c r="L156" s="14">
        <v>37.41400400305006</v>
      </c>
      <c r="M156" s="14">
        <v>40.168665921304836</v>
      </c>
      <c r="N156" s="14">
        <v>43.097628872673141</v>
      </c>
      <c r="O156" s="14">
        <v>46.196875042384015</v>
      </c>
      <c r="P156" s="14">
        <v>49.514671903520977</v>
      </c>
      <c r="Q156" s="14">
        <v>53.106532210137352</v>
      </c>
      <c r="R156" s="14">
        <v>56.940210134841585</v>
      </c>
      <c r="S156" s="14"/>
      <c r="T156" s="14"/>
    </row>
    <row r="157" spans="1:20" x14ac:dyDescent="0.35">
      <c r="A157" t="s">
        <v>36</v>
      </c>
      <c r="B157" s="17" t="s">
        <v>91</v>
      </c>
      <c r="C157" s="13" t="s">
        <v>92</v>
      </c>
      <c r="D157" s="13" t="s">
        <v>92</v>
      </c>
      <c r="E157" s="13" t="s">
        <v>92</v>
      </c>
      <c r="F157" s="14">
        <v>81.54573496676214</v>
      </c>
      <c r="G157" s="14">
        <v>88.466450721922826</v>
      </c>
      <c r="H157" s="14">
        <v>96.15145451835474</v>
      </c>
      <c r="I157" s="14">
        <v>104.471997440124</v>
      </c>
      <c r="J157" s="14">
        <v>113.3732691934258</v>
      </c>
      <c r="K157" s="14">
        <v>122.73062252797834</v>
      </c>
      <c r="L157" s="14">
        <v>132.90120270208755</v>
      </c>
      <c r="M157" s="14">
        <v>144.18041243384161</v>
      </c>
      <c r="N157" s="14">
        <v>156.89748028137001</v>
      </c>
      <c r="O157" s="14">
        <v>171.15461814720729</v>
      </c>
      <c r="P157" s="14">
        <v>186.7643412968884</v>
      </c>
      <c r="Q157" s="14">
        <v>203.54869056122027</v>
      </c>
      <c r="R157" s="14">
        <v>221.5757315123725</v>
      </c>
      <c r="S157" s="14"/>
      <c r="T157" s="14"/>
    </row>
    <row r="158" spans="1:20" x14ac:dyDescent="0.35">
      <c r="A158" t="s">
        <v>36</v>
      </c>
      <c r="B158" s="17" t="s">
        <v>91</v>
      </c>
      <c r="C158" s="13" t="s">
        <v>93</v>
      </c>
      <c r="D158" s="13" t="s">
        <v>93</v>
      </c>
      <c r="E158" s="13" t="s">
        <v>93</v>
      </c>
      <c r="F158" s="14">
        <v>109.00364739634811</v>
      </c>
      <c r="G158" s="14">
        <v>116.75145145229945</v>
      </c>
      <c r="H158" s="14">
        <v>125.23916975743924</v>
      </c>
      <c r="I158" s="14">
        <v>134.50231936720138</v>
      </c>
      <c r="J158" s="14">
        <v>144.29325170072372</v>
      </c>
      <c r="K158" s="14">
        <v>155.06659511350804</v>
      </c>
      <c r="L158" s="14">
        <v>166.72749694078234</v>
      </c>
      <c r="M158" s="14">
        <v>179.48546073076173</v>
      </c>
      <c r="N158" s="14">
        <v>193.22544750312881</v>
      </c>
      <c r="O158" s="14">
        <v>207.97093588180306</v>
      </c>
      <c r="P158" s="14">
        <v>223.58769057959466</v>
      </c>
      <c r="Q158" s="14">
        <v>239.96042800606961</v>
      </c>
      <c r="R158" s="14">
        <v>257.42013273771477</v>
      </c>
      <c r="S158" s="22"/>
      <c r="T158" s="22"/>
    </row>
    <row r="159" spans="1:20" x14ac:dyDescent="0.35">
      <c r="A159" t="s">
        <v>36</v>
      </c>
      <c r="B159" s="17" t="s">
        <v>94</v>
      </c>
      <c r="C159" s="13" t="s">
        <v>95</v>
      </c>
      <c r="D159" s="13" t="s">
        <v>95</v>
      </c>
      <c r="E159" s="13" t="s">
        <v>95</v>
      </c>
      <c r="F159" s="14">
        <v>21.576067270208036</v>
      </c>
      <c r="G159" s="14">
        <v>23.634362682586627</v>
      </c>
      <c r="H159" s="14">
        <v>25.936282344790058</v>
      </c>
      <c r="I159" s="14">
        <v>28.45375700341123</v>
      </c>
      <c r="J159" s="14">
        <v>31.177649028192093</v>
      </c>
      <c r="K159" s="14">
        <v>34.079160166576479</v>
      </c>
      <c r="L159" s="14">
        <v>37.262056737300085</v>
      </c>
      <c r="M159" s="14">
        <v>40.816750902722752</v>
      </c>
      <c r="N159" s="14">
        <v>44.846608611257032</v>
      </c>
      <c r="O159" s="14">
        <v>49.393927091589411</v>
      </c>
      <c r="P159" s="14">
        <v>54.418795366583694</v>
      </c>
      <c r="Q159" s="14">
        <v>59.882287546223957</v>
      </c>
      <c r="R159" s="14">
        <v>65.816131173547873</v>
      </c>
      <c r="S159" s="22"/>
      <c r="T159" s="22"/>
    </row>
    <row r="160" spans="1:20" x14ac:dyDescent="0.35">
      <c r="A160" t="s">
        <v>36</v>
      </c>
      <c r="B160" s="17" t="s">
        <v>94</v>
      </c>
      <c r="C160" s="40" t="s">
        <v>96</v>
      </c>
      <c r="D160" s="40" t="s">
        <v>96</v>
      </c>
      <c r="E160" s="40" t="s">
        <v>96</v>
      </c>
      <c r="F160" s="42">
        <v>35.673034143289641</v>
      </c>
      <c r="G160" s="42">
        <v>39.308165035798083</v>
      </c>
      <c r="H160" s="42">
        <v>43.373911923227894</v>
      </c>
      <c r="I160" s="42">
        <v>47.814912381696047</v>
      </c>
      <c r="J160" s="42">
        <v>52.306303741512352</v>
      </c>
      <c r="K160" s="42">
        <v>57.195413861781788</v>
      </c>
      <c r="L160" s="42">
        <v>62.391442366121453</v>
      </c>
      <c r="M160" s="42">
        <v>68.169454587370012</v>
      </c>
      <c r="N160" s="42">
        <v>74.531853007309053</v>
      </c>
      <c r="O160" s="42">
        <v>81.555513526785035</v>
      </c>
      <c r="P160" s="42">
        <v>89.127556508943428</v>
      </c>
      <c r="Q160" s="42">
        <v>97.052780200573579</v>
      </c>
      <c r="R160" s="42">
        <v>105.6811677879258</v>
      </c>
      <c r="S160" s="22"/>
      <c r="T160" s="22"/>
    </row>
    <row r="161" spans="1:20" x14ac:dyDescent="0.35">
      <c r="A161" t="s">
        <v>36</v>
      </c>
      <c r="B161" s="17" t="s">
        <v>94</v>
      </c>
      <c r="C161" s="13" t="s">
        <v>97</v>
      </c>
      <c r="D161" s="13" t="s">
        <v>97</v>
      </c>
      <c r="E161" s="13" t="s">
        <v>97</v>
      </c>
      <c r="F161" s="14">
        <v>20.433606747494736</v>
      </c>
      <c r="G161" s="14">
        <v>21.846190701291416</v>
      </c>
      <c r="H161" s="14">
        <v>23.400119567988501</v>
      </c>
      <c r="I161" s="14">
        <v>25.056780018203717</v>
      </c>
      <c r="J161" s="14">
        <v>26.797318172991549</v>
      </c>
      <c r="K161" s="14">
        <v>28.587301137391904</v>
      </c>
      <c r="L161" s="14">
        <v>30.506378861397422</v>
      </c>
      <c r="M161" s="14">
        <v>32.615297849638971</v>
      </c>
      <c r="N161" s="14">
        <v>34.978724966945457</v>
      </c>
      <c r="O161" s="14">
        <v>37.606691499685851</v>
      </c>
      <c r="P161" s="14">
        <v>40.444633843259041</v>
      </c>
      <c r="Q161" s="14">
        <v>43.442811808423158</v>
      </c>
      <c r="R161" s="14">
        <v>46.606537712285196</v>
      </c>
      <c r="S161" s="22"/>
      <c r="T161" s="22"/>
    </row>
    <row r="162" spans="1:20" x14ac:dyDescent="0.35">
      <c r="A162" t="s">
        <v>36</v>
      </c>
      <c r="B162" s="17" t="s">
        <v>94</v>
      </c>
      <c r="C162" s="13" t="s">
        <v>98</v>
      </c>
      <c r="D162" s="13" t="s">
        <v>98</v>
      </c>
      <c r="E162" s="13" t="s">
        <v>98</v>
      </c>
      <c r="F162" s="14">
        <v>41.249752727064369</v>
      </c>
      <c r="G162" s="14">
        <v>44.2250345390093</v>
      </c>
      <c r="H162" s="14">
        <v>47.461249883176876</v>
      </c>
      <c r="I162" s="14">
        <v>51.001515600601735</v>
      </c>
      <c r="J162" s="14">
        <v>54.882968950453851</v>
      </c>
      <c r="K162" s="14">
        <v>59.147370416952391</v>
      </c>
      <c r="L162" s="14">
        <v>63.833244798080052</v>
      </c>
      <c r="M162" s="14">
        <v>68.934882840311474</v>
      </c>
      <c r="N162" s="14">
        <v>74.443101682905592</v>
      </c>
      <c r="O162" s="14">
        <v>80.357244538968104</v>
      </c>
      <c r="P162" s="14">
        <v>86.674655602850649</v>
      </c>
      <c r="Q162" s="14">
        <v>93.442287014355117</v>
      </c>
      <c r="R162" s="14">
        <v>100.64770301209552</v>
      </c>
      <c r="S162" s="22"/>
      <c r="T162" s="22"/>
    </row>
    <row r="163" spans="1:20" x14ac:dyDescent="0.35">
      <c r="A163" t="s">
        <v>36</v>
      </c>
      <c r="B163" s="17" t="s">
        <v>94</v>
      </c>
      <c r="C163" s="13" t="s">
        <v>48</v>
      </c>
      <c r="D163" s="13" t="s">
        <v>48</v>
      </c>
      <c r="E163" s="13" t="s">
        <v>48</v>
      </c>
      <c r="F163" s="14">
        <v>25.840816569352121</v>
      </c>
      <c r="G163" s="14">
        <v>27.961657379660455</v>
      </c>
      <c r="H163" s="14">
        <v>30.312485885805138</v>
      </c>
      <c r="I163" s="14">
        <v>32.850852114739766</v>
      </c>
      <c r="J163" s="14">
        <v>35.55797988339264</v>
      </c>
      <c r="K163" s="14">
        <v>38.393371628416645</v>
      </c>
      <c r="L163" s="14">
        <v>41.467655176469947</v>
      </c>
      <c r="M163" s="14">
        <v>44.871042030365174</v>
      </c>
      <c r="N163" s="14">
        <v>48.703326177729075</v>
      </c>
      <c r="O163" s="14">
        <v>52.992788307010429</v>
      </c>
      <c r="P163" s="14">
        <v>57.677701737494161</v>
      </c>
      <c r="Q163" s="14">
        <v>62.699888938702443</v>
      </c>
      <c r="R163" s="14">
        <v>68.077528911273987</v>
      </c>
      <c r="S163" s="22"/>
      <c r="T163" s="22"/>
    </row>
    <row r="164" spans="1:20" x14ac:dyDescent="0.35">
      <c r="A164" t="s">
        <v>36</v>
      </c>
      <c r="B164" s="17" t="s">
        <v>94</v>
      </c>
      <c r="C164" s="13" t="s">
        <v>99</v>
      </c>
      <c r="D164" s="13" t="s">
        <v>99</v>
      </c>
      <c r="E164" s="13" t="s">
        <v>99</v>
      </c>
      <c r="F164" s="14">
        <v>20.277541426864456</v>
      </c>
      <c r="G164" s="14">
        <v>21.258160940298151</v>
      </c>
      <c r="H164" s="14">
        <v>22.321633366056687</v>
      </c>
      <c r="I164" s="14">
        <v>23.475510369300675</v>
      </c>
      <c r="J164" s="14">
        <v>24.735986005838356</v>
      </c>
      <c r="K164" s="14">
        <v>26.130103261672808</v>
      </c>
      <c r="L164" s="14">
        <v>27.663763042675313</v>
      </c>
      <c r="M164" s="14">
        <v>29.342765773747914</v>
      </c>
      <c r="N164" s="14">
        <v>31.133453501277565</v>
      </c>
      <c r="O164" s="14">
        <v>33.012665085136128</v>
      </c>
      <c r="P164" s="14">
        <v>34.939280328536825</v>
      </c>
      <c r="Q164" s="14">
        <v>36.896807623032707</v>
      </c>
      <c r="R164" s="14">
        <v>38.906151733067802</v>
      </c>
      <c r="S164" s="22"/>
      <c r="T164" s="22"/>
    </row>
    <row r="165" spans="1:20" x14ac:dyDescent="0.35">
      <c r="A165" t="s">
        <v>36</v>
      </c>
      <c r="B165" s="17" t="s">
        <v>94</v>
      </c>
      <c r="C165" s="13" t="s">
        <v>100</v>
      </c>
      <c r="D165" s="13" t="s">
        <v>100</v>
      </c>
      <c r="E165" s="13" t="s">
        <v>100</v>
      </c>
      <c r="F165" s="14">
        <v>25.498563478836914</v>
      </c>
      <c r="G165" s="14">
        <v>26.984330895578239</v>
      </c>
      <c r="H165" s="14">
        <v>28.584941304748831</v>
      </c>
      <c r="I165" s="14">
        <v>30.320989319372199</v>
      </c>
      <c r="J165" s="14">
        <v>32.208315111768691</v>
      </c>
      <c r="K165" s="14">
        <v>34.264497168694348</v>
      </c>
      <c r="L165" s="14">
        <v>36.504158660825624</v>
      </c>
      <c r="M165" s="14">
        <v>38.915679180447036</v>
      </c>
      <c r="N165" s="14">
        <v>41.485859837074997</v>
      </c>
      <c r="O165" s="14">
        <v>44.206723979835367</v>
      </c>
      <c r="P165" s="14">
        <v>47.069408488815291</v>
      </c>
      <c r="Q165" s="14">
        <v>50.092255435978942</v>
      </c>
      <c r="R165" s="14">
        <v>53.260643919891031</v>
      </c>
      <c r="S165" s="22"/>
      <c r="T165" s="22"/>
    </row>
    <row r="166" spans="1:20" x14ac:dyDescent="0.35">
      <c r="A166" s="21" t="s">
        <v>33</v>
      </c>
      <c r="B166" s="17" t="s">
        <v>54</v>
      </c>
      <c r="C166" s="13" t="s">
        <v>55</v>
      </c>
      <c r="D166" s="13" t="s">
        <v>55</v>
      </c>
      <c r="E166" s="13" t="s">
        <v>55</v>
      </c>
      <c r="F166" s="14">
        <v>136.65269523259332</v>
      </c>
      <c r="G166" s="14">
        <v>150.81959102930787</v>
      </c>
      <c r="H166" s="14">
        <v>166.41659443280125</v>
      </c>
      <c r="I166" s="14">
        <v>183.73014603773078</v>
      </c>
      <c r="J166" s="14">
        <v>203.048716697061</v>
      </c>
      <c r="K166" s="14">
        <v>224.66100303449747</v>
      </c>
      <c r="L166" s="14">
        <v>248.9996607508416</v>
      </c>
      <c r="M166" s="14">
        <v>276.28971697738768</v>
      </c>
      <c r="N166" s="14">
        <v>306.69441919127371</v>
      </c>
      <c r="O166" s="14">
        <v>340.68842227058963</v>
      </c>
      <c r="P166" s="14">
        <v>378.57136256195082</v>
      </c>
      <c r="Q166" s="14">
        <v>420.56775355411622</v>
      </c>
      <c r="R166" s="14">
        <v>466.898729190974</v>
      </c>
      <c r="S166" s="22"/>
      <c r="T166" s="22"/>
    </row>
    <row r="167" spans="1:20" x14ac:dyDescent="0.35">
      <c r="A167" s="21" t="s">
        <v>33</v>
      </c>
      <c r="B167" s="17" t="s">
        <v>54</v>
      </c>
      <c r="C167" s="13" t="s">
        <v>56</v>
      </c>
      <c r="D167" s="13" t="s">
        <v>56</v>
      </c>
      <c r="E167" s="13" t="s">
        <v>56</v>
      </c>
      <c r="F167" s="14">
        <v>341.56797287378225</v>
      </c>
      <c r="G167" s="14">
        <v>367.91358054756995</v>
      </c>
      <c r="H167" s="14">
        <v>396.45565284511002</v>
      </c>
      <c r="I167" s="14">
        <v>427.32703029840144</v>
      </c>
      <c r="J167" s="14">
        <v>460.87805878601068</v>
      </c>
      <c r="K167" s="14">
        <v>497.64770704559544</v>
      </c>
      <c r="L167" s="14">
        <v>538.36301391965026</v>
      </c>
      <c r="M167" s="14">
        <v>583.42929503559776</v>
      </c>
      <c r="N167" s="14">
        <v>632.85763290783166</v>
      </c>
      <c r="O167" s="14">
        <v>686.57259371945383</v>
      </c>
      <c r="P167" s="14">
        <v>744.60331832788859</v>
      </c>
      <c r="Q167" s="14">
        <v>807.06877893331193</v>
      </c>
      <c r="R167" s="14">
        <v>874.00906352753168</v>
      </c>
      <c r="S167" s="14"/>
      <c r="T167" s="14"/>
    </row>
    <row r="168" spans="1:20" x14ac:dyDescent="0.35">
      <c r="A168" s="21" t="s">
        <v>33</v>
      </c>
      <c r="B168" s="17" t="s">
        <v>54</v>
      </c>
      <c r="C168" s="13" t="s">
        <v>57</v>
      </c>
      <c r="D168" s="13" t="s">
        <v>57</v>
      </c>
      <c r="E168" s="13" t="s">
        <v>57</v>
      </c>
      <c r="F168" s="14">
        <v>865.46645541383361</v>
      </c>
      <c r="G168" s="14">
        <v>923.24153056280215</v>
      </c>
      <c r="H168" s="14">
        <v>985.67867997915232</v>
      </c>
      <c r="I168" s="14">
        <v>1052.9811697053856</v>
      </c>
      <c r="J168" s="14">
        <v>1125.746584916928</v>
      </c>
      <c r="K168" s="14">
        <v>1204.8044902644917</v>
      </c>
      <c r="L168" s="14">
        <v>1291.6863608357075</v>
      </c>
      <c r="M168" s="14">
        <v>1387.3177308580359</v>
      </c>
      <c r="N168" s="14">
        <v>1491.6559630530023</v>
      </c>
      <c r="O168" s="14">
        <v>1604.5875723996085</v>
      </c>
      <c r="P168" s="14">
        <v>1725.2916074126251</v>
      </c>
      <c r="Q168" s="14">
        <v>1853.1751216237608</v>
      </c>
      <c r="R168" s="14">
        <v>1988.4997522844121</v>
      </c>
      <c r="S168" s="14"/>
      <c r="T168" s="14"/>
    </row>
    <row r="169" spans="1:20" x14ac:dyDescent="0.35">
      <c r="A169" s="21" t="s">
        <v>33</v>
      </c>
      <c r="B169" s="17" t="s">
        <v>59</v>
      </c>
      <c r="C169" s="18" t="s">
        <v>60</v>
      </c>
      <c r="D169" s="38" t="s">
        <v>61</v>
      </c>
      <c r="E169" s="39" t="s">
        <v>62</v>
      </c>
      <c r="F169" s="22">
        <v>53.061152204793558</v>
      </c>
      <c r="G169" s="22">
        <v>58.658948310595079</v>
      </c>
      <c r="H169" s="22">
        <v>64.896856417715796</v>
      </c>
      <c r="I169" s="22">
        <v>71.784994982567483</v>
      </c>
      <c r="J169" s="22">
        <v>79.362452535032915</v>
      </c>
      <c r="K169" s="22">
        <v>87.746871329507883</v>
      </c>
      <c r="L169" s="22">
        <v>97.133466619422023</v>
      </c>
      <c r="M169" s="22">
        <v>107.75145186325298</v>
      </c>
      <c r="N169" s="22">
        <v>119.7629267605404</v>
      </c>
      <c r="O169" s="22">
        <v>133.22090853834641</v>
      </c>
      <c r="P169" s="22">
        <v>148.2225358455745</v>
      </c>
      <c r="Q169" s="22">
        <v>164.7961080660946</v>
      </c>
      <c r="R169" s="22">
        <v>183.04595517185908</v>
      </c>
      <c r="S169" s="14"/>
      <c r="T169" s="14"/>
    </row>
    <row r="170" spans="1:20" x14ac:dyDescent="0.35">
      <c r="A170" s="21" t="s">
        <v>33</v>
      </c>
      <c r="B170" s="17" t="s">
        <v>59</v>
      </c>
      <c r="C170" s="18" t="s">
        <v>60</v>
      </c>
      <c r="D170" s="38" t="s">
        <v>61</v>
      </c>
      <c r="E170" s="39" t="s">
        <v>63</v>
      </c>
      <c r="F170" s="22">
        <v>88.871138502863815</v>
      </c>
      <c r="G170" s="22">
        <v>96.0300433572651</v>
      </c>
      <c r="H170" s="22">
        <v>103.77834431691267</v>
      </c>
      <c r="I170" s="22">
        <v>112.1002540930924</v>
      </c>
      <c r="J170" s="22">
        <v>121.05485367140813</v>
      </c>
      <c r="K170" s="22">
        <v>130.74111941950545</v>
      </c>
      <c r="L170" s="22">
        <v>141.43211831257574</v>
      </c>
      <c r="M170" s="22">
        <v>153.30400709355021</v>
      </c>
      <c r="N170" s="22">
        <v>166.44959826105671</v>
      </c>
      <c r="O170" s="22">
        <v>180.89259278918547</v>
      </c>
      <c r="P170" s="22">
        <v>196.63469771593444</v>
      </c>
      <c r="Q170" s="22">
        <v>213.65089946898919</v>
      </c>
      <c r="R170" s="22">
        <v>231.95322508910482</v>
      </c>
      <c r="S170" s="14"/>
      <c r="T170" s="14"/>
    </row>
    <row r="171" spans="1:20" x14ac:dyDescent="0.35">
      <c r="A171" s="21" t="s">
        <v>33</v>
      </c>
      <c r="B171" s="17" t="s">
        <v>59</v>
      </c>
      <c r="C171" s="18" t="s">
        <v>60</v>
      </c>
      <c r="D171" s="38" t="s">
        <v>61</v>
      </c>
      <c r="E171" s="39" t="s">
        <v>64</v>
      </c>
      <c r="F171" s="22">
        <v>130.93339475558247</v>
      </c>
      <c r="G171" s="22">
        <v>139.29059966812389</v>
      </c>
      <c r="H171" s="22">
        <v>147.64808391639352</v>
      </c>
      <c r="I171" s="22">
        <v>156.23428670822742</v>
      </c>
      <c r="J171" s="22">
        <v>166.1156046651067</v>
      </c>
      <c r="K171" s="22">
        <v>177.22862594450754</v>
      </c>
      <c r="L171" s="22">
        <v>190.18093329615121</v>
      </c>
      <c r="M171" s="22">
        <v>204.33618524948611</v>
      </c>
      <c r="N171" s="22">
        <v>219.04085464956927</v>
      </c>
      <c r="O171" s="22">
        <v>233.92469602547681</v>
      </c>
      <c r="P171" s="22">
        <v>248.63522202185911</v>
      </c>
      <c r="Q171" s="22">
        <v>263.7306665656148</v>
      </c>
      <c r="R171" s="22">
        <v>278.85605799174209</v>
      </c>
      <c r="S171" s="14"/>
      <c r="T171" s="14"/>
    </row>
    <row r="172" spans="1:20" x14ac:dyDescent="0.35">
      <c r="A172" s="21" t="s">
        <v>33</v>
      </c>
      <c r="B172" s="17" t="s">
        <v>59</v>
      </c>
      <c r="C172" s="18" t="s">
        <v>60</v>
      </c>
      <c r="D172" s="38" t="s">
        <v>65</v>
      </c>
      <c r="E172" s="38" t="s">
        <v>65</v>
      </c>
      <c r="F172" s="41">
        <v>246.06121966230646</v>
      </c>
      <c r="G172" s="41">
        <v>263.18174219956899</v>
      </c>
      <c r="H172" s="41">
        <v>281.92557780646086</v>
      </c>
      <c r="I172" s="41">
        <v>302.2387048729023</v>
      </c>
      <c r="J172" s="41">
        <v>324.17319227406585</v>
      </c>
      <c r="K172" s="41">
        <v>348.08935501098728</v>
      </c>
      <c r="L172" s="41">
        <v>374.33691886507262</v>
      </c>
      <c r="M172" s="41">
        <v>403.43413294941467</v>
      </c>
      <c r="N172" s="41">
        <v>435.43978565738689</v>
      </c>
      <c r="O172" s="41">
        <v>470.0728209561704</v>
      </c>
      <c r="P172" s="41">
        <v>507.11573451198365</v>
      </c>
      <c r="Q172" s="41">
        <v>546.27734485124529</v>
      </c>
      <c r="R172" s="41">
        <v>587.71649632476988</v>
      </c>
      <c r="S172" s="14"/>
      <c r="T172" s="14"/>
    </row>
    <row r="173" spans="1:20" x14ac:dyDescent="0.35">
      <c r="A173" s="21" t="s">
        <v>33</v>
      </c>
      <c r="B173" s="17" t="s">
        <v>59</v>
      </c>
      <c r="C173" s="18" t="s">
        <v>60</v>
      </c>
      <c r="D173" s="38" t="s">
        <v>66</v>
      </c>
      <c r="E173" s="38" t="s">
        <v>66</v>
      </c>
      <c r="F173" s="41">
        <v>152.45383731601726</v>
      </c>
      <c r="G173" s="41">
        <v>162.53566815353147</v>
      </c>
      <c r="H173" s="41">
        <v>173.33779834720875</v>
      </c>
      <c r="I173" s="41">
        <v>184.83770828569789</v>
      </c>
      <c r="J173" s="41">
        <v>197.05315764823951</v>
      </c>
      <c r="K173" s="41">
        <v>210.18977834909134</v>
      </c>
      <c r="L173" s="41">
        <v>224.56300253585707</v>
      </c>
      <c r="M173" s="41">
        <v>240.35716479067264</v>
      </c>
      <c r="N173" s="41">
        <v>257.56547702435387</v>
      </c>
      <c r="O173" s="41">
        <v>276.21143277826019</v>
      </c>
      <c r="P173" s="41">
        <v>296.15541537375776</v>
      </c>
      <c r="Q173" s="41">
        <v>317.29944417313669</v>
      </c>
      <c r="R173" s="41">
        <v>339.72310323030217</v>
      </c>
      <c r="S173" s="14"/>
      <c r="T173" s="14"/>
    </row>
    <row r="174" spans="1:20" x14ac:dyDescent="0.35">
      <c r="A174" s="21" t="s">
        <v>33</v>
      </c>
      <c r="B174" s="17" t="s">
        <v>59</v>
      </c>
      <c r="C174" s="18" t="s">
        <v>60</v>
      </c>
      <c r="D174" s="38" t="s">
        <v>67</v>
      </c>
      <c r="E174" s="38" t="s">
        <v>67</v>
      </c>
      <c r="F174" s="41">
        <v>99.630162093376796</v>
      </c>
      <c r="G174" s="41">
        <v>105.40717009530763</v>
      </c>
      <c r="H174" s="41">
        <v>111.64121458454228</v>
      </c>
      <c r="I174" s="41">
        <v>118.32281284362779</v>
      </c>
      <c r="J174" s="41">
        <v>125.36916642501043</v>
      </c>
      <c r="K174" s="41">
        <v>132.80274023324407</v>
      </c>
      <c r="L174" s="41">
        <v>140.74202576139768</v>
      </c>
      <c r="M174" s="41">
        <v>149.3664643071063</v>
      </c>
      <c r="N174" s="41">
        <v>158.79261001253204</v>
      </c>
      <c r="O174" s="41">
        <v>169.05078359883535</v>
      </c>
      <c r="P174" s="41">
        <v>180.14181792556585</v>
      </c>
      <c r="Q174" s="41">
        <v>191.86110137269733</v>
      </c>
      <c r="R174" s="41">
        <v>204.13227645227187</v>
      </c>
      <c r="S174" s="14"/>
      <c r="T174" s="14"/>
    </row>
    <row r="175" spans="1:20" x14ac:dyDescent="0.35">
      <c r="A175" s="21" t="s">
        <v>33</v>
      </c>
      <c r="B175" s="17" t="s">
        <v>59</v>
      </c>
      <c r="C175" s="18" t="s">
        <v>60</v>
      </c>
      <c r="D175" s="38" t="s">
        <v>68</v>
      </c>
      <c r="E175" s="38" t="s">
        <v>68</v>
      </c>
      <c r="F175" s="41">
        <v>163.69317780720706</v>
      </c>
      <c r="G175" s="41">
        <v>177.37403140406232</v>
      </c>
      <c r="H175" s="41">
        <v>192.38471341216973</v>
      </c>
      <c r="I175" s="41">
        <v>209.03790627390086</v>
      </c>
      <c r="J175" s="41">
        <v>227.42873231437136</v>
      </c>
      <c r="K175" s="41">
        <v>247.79374098131225</v>
      </c>
      <c r="L175" s="41">
        <v>270.25727474995062</v>
      </c>
      <c r="M175" s="41">
        <v>294.9811032579068</v>
      </c>
      <c r="N175" s="41">
        <v>322.01796119459021</v>
      </c>
      <c r="O175" s="41">
        <v>351.74191806512295</v>
      </c>
      <c r="P175" s="41">
        <v>384.22888750125992</v>
      </c>
      <c r="Q175" s="41">
        <v>419.36485650170562</v>
      </c>
      <c r="R175" s="41">
        <v>457.27791312732847</v>
      </c>
      <c r="S175" s="14"/>
      <c r="T175" s="14"/>
    </row>
    <row r="176" spans="1:20" x14ac:dyDescent="0.35">
      <c r="A176" s="21" t="s">
        <v>33</v>
      </c>
      <c r="B176" s="17" t="s">
        <v>59</v>
      </c>
      <c r="C176" s="18" t="s">
        <v>60</v>
      </c>
      <c r="D176" s="38" t="s">
        <v>69</v>
      </c>
      <c r="E176" s="38" t="s">
        <v>69</v>
      </c>
      <c r="F176" s="41">
        <v>184.57224267756558</v>
      </c>
      <c r="G176" s="41">
        <v>194.21807496046731</v>
      </c>
      <c r="H176" s="41">
        <v>204.70966860617168</v>
      </c>
      <c r="I176" s="41">
        <v>215.91498800203084</v>
      </c>
      <c r="J176" s="41">
        <v>227.55782216290106</v>
      </c>
      <c r="K176" s="41">
        <v>239.85830640395008</v>
      </c>
      <c r="L176" s="41">
        <v>252.96886770322658</v>
      </c>
      <c r="M176" s="41">
        <v>267.1982748432946</v>
      </c>
      <c r="N176" s="41">
        <v>282.61667703124971</v>
      </c>
      <c r="O176" s="41">
        <v>299.18008236000793</v>
      </c>
      <c r="P176" s="41">
        <v>316.61035583854607</v>
      </c>
      <c r="Q176" s="41">
        <v>334.6441309287888</v>
      </c>
      <c r="R176" s="41">
        <v>353.43725068983849</v>
      </c>
      <c r="S176" s="14"/>
      <c r="T176" s="14"/>
    </row>
    <row r="177" spans="1:20" x14ac:dyDescent="0.35">
      <c r="A177" s="21" t="s">
        <v>33</v>
      </c>
      <c r="B177" s="17" t="s">
        <v>59</v>
      </c>
      <c r="C177" s="18" t="s">
        <v>70</v>
      </c>
      <c r="D177" s="19" t="s">
        <v>71</v>
      </c>
      <c r="E177" s="19" t="s">
        <v>71</v>
      </c>
      <c r="F177" s="22">
        <v>33.260915977814719</v>
      </c>
      <c r="G177" s="22">
        <v>36.877100242356079</v>
      </c>
      <c r="H177" s="22">
        <v>40.925031374035413</v>
      </c>
      <c r="I177" s="22">
        <v>45.479934845792393</v>
      </c>
      <c r="J177" s="22">
        <v>50.579272379600539</v>
      </c>
      <c r="K177" s="22">
        <v>56.30656218255443</v>
      </c>
      <c r="L177" s="22">
        <v>62.733012192610438</v>
      </c>
      <c r="M177" s="22">
        <v>69.961347501452465</v>
      </c>
      <c r="N177" s="22">
        <v>78.072470864308912</v>
      </c>
      <c r="O177" s="22">
        <v>87.181550145885652</v>
      </c>
      <c r="P177" s="22">
        <v>97.382194218283757</v>
      </c>
      <c r="Q177" s="22">
        <v>108.70020595232495</v>
      </c>
      <c r="R177" s="22">
        <v>121.21667249995681</v>
      </c>
      <c r="S177" s="14"/>
      <c r="T177" s="14"/>
    </row>
    <row r="178" spans="1:20" x14ac:dyDescent="0.35">
      <c r="A178" s="21" t="s">
        <v>33</v>
      </c>
      <c r="B178" s="17" t="s">
        <v>59</v>
      </c>
      <c r="C178" s="18" t="s">
        <v>70</v>
      </c>
      <c r="D178" s="19" t="s">
        <v>72</v>
      </c>
      <c r="E178" s="19" t="s">
        <v>72</v>
      </c>
      <c r="F178" s="22">
        <v>25.689496901681657</v>
      </c>
      <c r="G178" s="22">
        <v>28.812667246370474</v>
      </c>
      <c r="H178" s="22">
        <v>32.322464975919239</v>
      </c>
      <c r="I178" s="22">
        <v>36.299464172305285</v>
      </c>
      <c r="J178" s="22">
        <v>40.808083362221623</v>
      </c>
      <c r="K178" s="22">
        <v>45.913694050391278</v>
      </c>
      <c r="L178" s="22">
        <v>51.71478664927163</v>
      </c>
      <c r="M178" s="22">
        <v>58.284916802580547</v>
      </c>
      <c r="N178" s="22">
        <v>65.707711225312678</v>
      </c>
      <c r="O178" s="22">
        <v>74.150255447984605</v>
      </c>
      <c r="P178" s="22">
        <v>83.728260734039182</v>
      </c>
      <c r="Q178" s="22">
        <v>94.525354249153196</v>
      </c>
      <c r="R178" s="22">
        <v>106.63849058470299</v>
      </c>
      <c r="S178" s="14"/>
      <c r="T178" s="14"/>
    </row>
    <row r="179" spans="1:20" x14ac:dyDescent="0.35">
      <c r="A179" s="21" t="s">
        <v>33</v>
      </c>
      <c r="B179" s="17" t="s">
        <v>59</v>
      </c>
      <c r="C179" s="18" t="s">
        <v>70</v>
      </c>
      <c r="D179" s="19" t="s">
        <v>73</v>
      </c>
      <c r="E179" s="19" t="s">
        <v>73</v>
      </c>
      <c r="F179" s="22">
        <v>23.8811377341252</v>
      </c>
      <c r="G179" s="22">
        <v>25.881657991469677</v>
      </c>
      <c r="H179" s="22">
        <v>28.035070143513209</v>
      </c>
      <c r="I179" s="22">
        <v>30.358377722199926</v>
      </c>
      <c r="J179" s="22">
        <v>32.886398602956433</v>
      </c>
      <c r="K179" s="22">
        <v>35.671356781345295</v>
      </c>
      <c r="L179" s="22">
        <v>38.775854801967725</v>
      </c>
      <c r="M179" s="22">
        <v>42.233996444657684</v>
      </c>
      <c r="N179" s="22">
        <v>46.043037027716892</v>
      </c>
      <c r="O179" s="22">
        <v>50.209215793225319</v>
      </c>
      <c r="P179" s="22">
        <v>54.760190308367243</v>
      </c>
      <c r="Q179" s="22">
        <v>59.70791263146188</v>
      </c>
      <c r="R179" s="22">
        <v>65.053572347685488</v>
      </c>
      <c r="S179" s="14"/>
      <c r="T179" s="14"/>
    </row>
    <row r="180" spans="1:20" x14ac:dyDescent="0.35">
      <c r="A180" s="21" t="s">
        <v>33</v>
      </c>
      <c r="B180" s="17" t="s">
        <v>59</v>
      </c>
      <c r="C180" s="18" t="s">
        <v>70</v>
      </c>
      <c r="D180" s="19" t="s">
        <v>74</v>
      </c>
      <c r="E180" s="19" t="s">
        <v>74</v>
      </c>
      <c r="F180" s="22">
        <v>27.874109121037147</v>
      </c>
      <c r="G180" s="22">
        <v>30.473238153066042</v>
      </c>
      <c r="H180" s="22">
        <v>33.324616421189354</v>
      </c>
      <c r="I180" s="22">
        <v>36.454402649603693</v>
      </c>
      <c r="J180" s="22">
        <v>39.875293569518597</v>
      </c>
      <c r="K180" s="22">
        <v>43.645862569038052</v>
      </c>
      <c r="L180" s="22">
        <v>47.831551862151777</v>
      </c>
      <c r="M180" s="22">
        <v>52.488206167048595</v>
      </c>
      <c r="N180" s="22">
        <v>57.643894171600529</v>
      </c>
      <c r="O180" s="22">
        <v>63.351437740110285</v>
      </c>
      <c r="P180" s="22">
        <v>69.632614385985278</v>
      </c>
      <c r="Q180" s="22">
        <v>76.496744591055005</v>
      </c>
      <c r="R180" s="22">
        <v>83.984863749138782</v>
      </c>
      <c r="S180" s="14"/>
      <c r="T180" s="14"/>
    </row>
    <row r="181" spans="1:20" x14ac:dyDescent="0.35">
      <c r="A181" s="21" t="s">
        <v>33</v>
      </c>
      <c r="B181" s="17" t="s">
        <v>59</v>
      </c>
      <c r="C181" s="18" t="s">
        <v>70</v>
      </c>
      <c r="D181" s="19" t="s">
        <v>75</v>
      </c>
      <c r="E181" s="19" t="s">
        <v>75</v>
      </c>
      <c r="F181" s="22">
        <v>21.240588359419547</v>
      </c>
      <c r="G181" s="22">
        <v>23.412388403585137</v>
      </c>
      <c r="H181" s="22">
        <v>25.816888379728908</v>
      </c>
      <c r="I181" s="22">
        <v>28.465454430996637</v>
      </c>
      <c r="J181" s="22">
        <v>31.368033841107071</v>
      </c>
      <c r="K181" s="22">
        <v>34.574863687001397</v>
      </c>
      <c r="L181" s="22">
        <v>38.153349739987242</v>
      </c>
      <c r="M181" s="22">
        <v>42.177313034821644</v>
      </c>
      <c r="N181" s="22">
        <v>46.693615672590688</v>
      </c>
      <c r="O181" s="22">
        <v>51.738008898347601</v>
      </c>
      <c r="P181" s="22">
        <v>57.343339703811999</v>
      </c>
      <c r="Q181" s="22">
        <v>63.518377367130867</v>
      </c>
      <c r="R181" s="22">
        <v>70.304894103409353</v>
      </c>
      <c r="S181" s="14"/>
      <c r="T181" s="14"/>
    </row>
    <row r="182" spans="1:20" x14ac:dyDescent="0.35">
      <c r="A182" s="21" t="s">
        <v>33</v>
      </c>
      <c r="B182" s="17" t="s">
        <v>59</v>
      </c>
      <c r="C182" s="18" t="s">
        <v>76</v>
      </c>
      <c r="D182" s="19" t="s">
        <v>77</v>
      </c>
      <c r="E182" s="19" t="s">
        <v>77</v>
      </c>
      <c r="F182" s="22">
        <v>26.614282306197428</v>
      </c>
      <c r="G182" s="22">
        <v>28.888048989124623</v>
      </c>
      <c r="H182" s="22">
        <v>31.359130853451934</v>
      </c>
      <c r="I182" s="22">
        <v>34.034230594826759</v>
      </c>
      <c r="J182" s="22">
        <v>36.941431382713176</v>
      </c>
      <c r="K182" s="22">
        <v>40.130663344823006</v>
      </c>
      <c r="L182" s="22">
        <v>43.680313600995277</v>
      </c>
      <c r="M182" s="22">
        <v>47.64037151055075</v>
      </c>
      <c r="N182" s="22">
        <v>52.021083723723791</v>
      </c>
      <c r="O182" s="22">
        <v>56.83306260096515</v>
      </c>
      <c r="P182" s="22">
        <v>62.076046375185449</v>
      </c>
      <c r="Q182" s="22">
        <v>67.754661662810165</v>
      </c>
      <c r="R182" s="22">
        <v>73.892794571161318</v>
      </c>
      <c r="S182" s="22"/>
      <c r="T182" s="22"/>
    </row>
    <row r="183" spans="1:20" x14ac:dyDescent="0.35">
      <c r="A183" s="21" t="s">
        <v>33</v>
      </c>
      <c r="B183" s="17" t="s">
        <v>59</v>
      </c>
      <c r="C183" s="18" t="s">
        <v>76</v>
      </c>
      <c r="D183" s="19" t="s">
        <v>78</v>
      </c>
      <c r="E183" s="19" t="s">
        <v>78</v>
      </c>
      <c r="F183" s="22">
        <v>25.57505219675383</v>
      </c>
      <c r="G183" s="22">
        <v>27.363058727478155</v>
      </c>
      <c r="H183" s="22">
        <v>29.270925961290224</v>
      </c>
      <c r="I183" s="22">
        <v>31.336799432244682</v>
      </c>
      <c r="J183" s="22">
        <v>33.582246228696285</v>
      </c>
      <c r="K183" s="22">
        <v>36.03337784689198</v>
      </c>
      <c r="L183" s="22">
        <v>38.723116857131217</v>
      </c>
      <c r="M183" s="22">
        <v>41.652047226531216</v>
      </c>
      <c r="N183" s="22">
        <v>44.81077708552079</v>
      </c>
      <c r="O183" s="22">
        <v>48.245555304619415</v>
      </c>
      <c r="P183" s="22">
        <v>51.967676532052799</v>
      </c>
      <c r="Q183" s="22">
        <v>55.967618586539245</v>
      </c>
      <c r="R183" s="22">
        <v>60.235851995772009</v>
      </c>
      <c r="S183" s="22"/>
      <c r="T183" s="22"/>
    </row>
    <row r="184" spans="1:20" x14ac:dyDescent="0.35">
      <c r="A184" s="21" t="s">
        <v>33</v>
      </c>
      <c r="B184" s="17" t="s">
        <v>59</v>
      </c>
      <c r="C184" s="18" t="s">
        <v>76</v>
      </c>
      <c r="D184" s="19" t="s">
        <v>79</v>
      </c>
      <c r="E184" s="19" t="s">
        <v>79</v>
      </c>
      <c r="F184" s="22">
        <v>14.943490162260133</v>
      </c>
      <c r="G184" s="22">
        <v>16.514602715682422</v>
      </c>
      <c r="H184" s="22">
        <v>18.248519158725422</v>
      </c>
      <c r="I184" s="22">
        <v>20.179891194328341</v>
      </c>
      <c r="J184" s="22">
        <v>22.346543491335613</v>
      </c>
      <c r="K184" s="22">
        <v>24.791706974130232</v>
      </c>
      <c r="L184" s="22">
        <v>27.560002281643555</v>
      </c>
      <c r="M184" s="22">
        <v>30.674736273249923</v>
      </c>
      <c r="N184" s="22">
        <v>34.143272684058644</v>
      </c>
      <c r="O184" s="22">
        <v>38.010316555482262</v>
      </c>
      <c r="P184" s="22">
        <v>42.309542031966203</v>
      </c>
      <c r="Q184" s="22">
        <v>47.074402906472336</v>
      </c>
      <c r="R184" s="22">
        <v>52.336492859069949</v>
      </c>
      <c r="S184" s="22"/>
      <c r="T184" s="22"/>
    </row>
    <row r="185" spans="1:20" x14ac:dyDescent="0.35">
      <c r="A185" s="21" t="s">
        <v>33</v>
      </c>
      <c r="B185" s="17" t="s">
        <v>59</v>
      </c>
      <c r="C185" s="18" t="s">
        <v>76</v>
      </c>
      <c r="D185" s="19" t="s">
        <v>80</v>
      </c>
      <c r="E185" s="19" t="s">
        <v>80</v>
      </c>
      <c r="F185" s="22">
        <v>11.678237039024426</v>
      </c>
      <c r="G185" s="22">
        <v>12.376494859899312</v>
      </c>
      <c r="H185" s="22">
        <v>13.136059523678275</v>
      </c>
      <c r="I185" s="22">
        <v>13.957171732626454</v>
      </c>
      <c r="J185" s="22">
        <v>14.843444033179892</v>
      </c>
      <c r="K185" s="22">
        <v>15.798338374829941</v>
      </c>
      <c r="L185" s="22">
        <v>16.838712653332266</v>
      </c>
      <c r="M185" s="22">
        <v>17.972504005041205</v>
      </c>
      <c r="N185" s="22">
        <v>19.201935914521705</v>
      </c>
      <c r="O185" s="22">
        <v>20.523764090767838</v>
      </c>
      <c r="P185" s="22">
        <v>21.922478780170668</v>
      </c>
      <c r="Q185" s="22">
        <v>23.393282917403468</v>
      </c>
      <c r="R185" s="22">
        <v>24.937412540017839</v>
      </c>
      <c r="S185" s="22"/>
      <c r="T185" s="22"/>
    </row>
    <row r="186" spans="1:20" x14ac:dyDescent="0.35">
      <c r="A186" s="21" t="s">
        <v>33</v>
      </c>
      <c r="B186" s="17" t="s">
        <v>59</v>
      </c>
      <c r="C186" s="18" t="s">
        <v>76</v>
      </c>
      <c r="D186" s="19" t="s">
        <v>81</v>
      </c>
      <c r="E186" s="19" t="s">
        <v>81</v>
      </c>
      <c r="F186" s="22">
        <v>13.653488702181942</v>
      </c>
      <c r="G186" s="22">
        <v>14.679166661726253</v>
      </c>
      <c r="H186" s="22">
        <v>15.789963057956287</v>
      </c>
      <c r="I186" s="22">
        <v>17.00096320454675</v>
      </c>
      <c r="J186" s="22">
        <v>18.327631812534563</v>
      </c>
      <c r="K186" s="22">
        <v>19.79623686147319</v>
      </c>
      <c r="L186" s="22">
        <v>21.423727023454752</v>
      </c>
      <c r="M186" s="22">
        <v>23.222519550402897</v>
      </c>
      <c r="N186" s="22">
        <v>25.184326191473748</v>
      </c>
      <c r="O186" s="22">
        <v>27.310186700858182</v>
      </c>
      <c r="P186" s="22">
        <v>29.599278498120484</v>
      </c>
      <c r="Q186" s="22">
        <v>32.048541318565775</v>
      </c>
      <c r="R186" s="22">
        <v>34.664221674786106</v>
      </c>
      <c r="S186" s="22"/>
      <c r="T186" s="22"/>
    </row>
    <row r="187" spans="1:20" x14ac:dyDescent="0.35">
      <c r="A187" s="21" t="s">
        <v>33</v>
      </c>
      <c r="B187" s="17" t="s">
        <v>47</v>
      </c>
      <c r="C187" s="13" t="s">
        <v>82</v>
      </c>
      <c r="D187" s="13" t="s">
        <v>82</v>
      </c>
      <c r="E187" s="13" t="s">
        <v>82</v>
      </c>
      <c r="F187" s="14">
        <v>478.22066810637557</v>
      </c>
      <c r="G187" s="14">
        <v>518.73317157687779</v>
      </c>
      <c r="H187" s="14">
        <v>562.87224727791124</v>
      </c>
      <c r="I187" s="14">
        <v>611.05717633613222</v>
      </c>
      <c r="J187" s="14">
        <v>663.92677548307165</v>
      </c>
      <c r="K187" s="14">
        <v>722.30871008009285</v>
      </c>
      <c r="L187" s="14">
        <v>787.36267467049186</v>
      </c>
      <c r="M187" s="14">
        <v>859.71901201298544</v>
      </c>
      <c r="N187" s="14">
        <v>939.55205209910537</v>
      </c>
      <c r="O187" s="14">
        <v>1027.2610159900435</v>
      </c>
      <c r="P187" s="14">
        <v>1123.1746808898395</v>
      </c>
      <c r="Q187" s="14">
        <v>1227.6365324874282</v>
      </c>
      <c r="R187" s="14">
        <v>1340.9077927185058</v>
      </c>
      <c r="S187" s="22"/>
      <c r="T187" s="22"/>
    </row>
    <row r="188" spans="1:20" x14ac:dyDescent="0.35">
      <c r="A188" s="21" t="s">
        <v>33</v>
      </c>
      <c r="B188" s="17" t="s">
        <v>47</v>
      </c>
      <c r="C188" s="13" t="s">
        <v>83</v>
      </c>
      <c r="D188" s="13" t="s">
        <v>83</v>
      </c>
      <c r="E188" s="13" t="s">
        <v>83</v>
      </c>
      <c r="F188" s="14">
        <v>865.46645541383361</v>
      </c>
      <c r="G188" s="14">
        <v>923.24153056280215</v>
      </c>
      <c r="H188" s="14">
        <v>985.67867997915232</v>
      </c>
      <c r="I188" s="14">
        <v>1052.9811697053856</v>
      </c>
      <c r="J188" s="14">
        <v>1125.746584916928</v>
      </c>
      <c r="K188" s="14">
        <v>1204.8044902644917</v>
      </c>
      <c r="L188" s="14">
        <v>1291.6863608357075</v>
      </c>
      <c r="M188" s="14">
        <v>1387.3177308580359</v>
      </c>
      <c r="N188" s="14">
        <v>1491.6559630530023</v>
      </c>
      <c r="O188" s="14">
        <v>1604.5875723996085</v>
      </c>
      <c r="P188" s="14">
        <v>1725.2916074126251</v>
      </c>
      <c r="Q188" s="14">
        <v>1853.1751216237608</v>
      </c>
      <c r="R188" s="14">
        <v>1988.4997522844121</v>
      </c>
      <c r="S188" s="22"/>
      <c r="T188" s="22"/>
    </row>
    <row r="189" spans="1:20" x14ac:dyDescent="0.35">
      <c r="A189" s="21" t="s">
        <v>33</v>
      </c>
      <c r="B189" s="17" t="s">
        <v>84</v>
      </c>
      <c r="C189" s="13" t="s">
        <v>85</v>
      </c>
      <c r="D189" s="13" t="s">
        <v>85</v>
      </c>
      <c r="E189" s="13" t="s">
        <v>85</v>
      </c>
      <c r="F189" s="14">
        <v>93.14148970557649</v>
      </c>
      <c r="G189" s="14">
        <v>98.390080773061896</v>
      </c>
      <c r="H189" s="14">
        <v>104.12323528272746</v>
      </c>
      <c r="I189" s="14">
        <v>110.20123797750124</v>
      </c>
      <c r="J189" s="14">
        <v>116.54536763133851</v>
      </c>
      <c r="K189" s="14">
        <v>123.12758529555853</v>
      </c>
      <c r="L189" s="14">
        <v>130.17714858623438</v>
      </c>
      <c r="M189" s="14">
        <v>137.92770369511271</v>
      </c>
      <c r="N189" s="14">
        <v>146.53197397450631</v>
      </c>
      <c r="O189" s="14">
        <v>155.9283400080439</v>
      </c>
      <c r="P189" s="14">
        <v>165.95057018841126</v>
      </c>
      <c r="Q189" s="14">
        <v>176.40241415344181</v>
      </c>
      <c r="R189" s="14">
        <v>187.29417328074572</v>
      </c>
      <c r="S189" s="22"/>
      <c r="T189" s="22"/>
    </row>
    <row r="190" spans="1:20" x14ac:dyDescent="0.35">
      <c r="A190" s="21" t="s">
        <v>33</v>
      </c>
      <c r="B190" s="17" t="s">
        <v>84</v>
      </c>
      <c r="C190" s="13" t="s">
        <v>86</v>
      </c>
      <c r="D190" s="13" t="s">
        <v>86</v>
      </c>
      <c r="E190" s="13" t="s">
        <v>86</v>
      </c>
      <c r="F190" s="14">
        <v>244.50949040588239</v>
      </c>
      <c r="G190" s="14">
        <v>259.56225483694436</v>
      </c>
      <c r="H190" s="14">
        <v>275.75286715787479</v>
      </c>
      <c r="I190" s="14">
        <v>292.81929965503929</v>
      </c>
      <c r="J190" s="14">
        <v>310.71354005525035</v>
      </c>
      <c r="K190" s="14">
        <v>329.42387895265978</v>
      </c>
      <c r="L190" s="14">
        <v>349.68406428150547</v>
      </c>
      <c r="M190" s="14">
        <v>371.95569307897932</v>
      </c>
      <c r="N190" s="14">
        <v>396.54067874192566</v>
      </c>
      <c r="O190" s="14">
        <v>423.42254224262342</v>
      </c>
      <c r="P190" s="14">
        <v>452.26144901292389</v>
      </c>
      <c r="Q190" s="14">
        <v>482.71728274063531</v>
      </c>
      <c r="R190" s="14">
        <v>514.76418909667632</v>
      </c>
      <c r="S190" s="22"/>
      <c r="T190" s="22"/>
    </row>
    <row r="191" spans="1:20" x14ac:dyDescent="0.35">
      <c r="A191" s="21" t="s">
        <v>33</v>
      </c>
      <c r="B191" s="17" t="s">
        <v>84</v>
      </c>
      <c r="C191" s="40" t="s">
        <v>87</v>
      </c>
      <c r="D191" s="40" t="s">
        <v>87</v>
      </c>
      <c r="E191" s="40" t="s">
        <v>87</v>
      </c>
      <c r="F191" s="42">
        <v>421.06166286323759</v>
      </c>
      <c r="G191" s="42">
        <v>455.51131196005213</v>
      </c>
      <c r="H191" s="42">
        <v>493.93432800183371</v>
      </c>
      <c r="I191" s="42">
        <v>536.85023098778834</v>
      </c>
      <c r="J191" s="42">
        <v>584.62665848176971</v>
      </c>
      <c r="K191" s="42">
        <v>637.60793689147908</v>
      </c>
      <c r="L191" s="42">
        <v>696.22113252229735</v>
      </c>
      <c r="M191" s="42">
        <v>761.0710977747691</v>
      </c>
      <c r="N191" s="42">
        <v>832.51380521661531</v>
      </c>
      <c r="O191" s="42">
        <v>910.92321918673508</v>
      </c>
      <c r="P191" s="42">
        <v>995.86932173115304</v>
      </c>
      <c r="Q191" s="42">
        <v>1087.1605069237023</v>
      </c>
      <c r="R191" s="42">
        <v>1185.4369259408907</v>
      </c>
      <c r="S191" s="22"/>
      <c r="T191" s="22"/>
    </row>
    <row r="192" spans="1:20" x14ac:dyDescent="0.35">
      <c r="A192" s="21" t="s">
        <v>33</v>
      </c>
      <c r="B192" s="17" t="s">
        <v>84</v>
      </c>
      <c r="C192" s="13" t="s">
        <v>88</v>
      </c>
      <c r="D192" s="13" t="s">
        <v>88</v>
      </c>
      <c r="E192" s="13" t="s">
        <v>88</v>
      </c>
      <c r="F192" s="14">
        <v>299.14502838353491</v>
      </c>
      <c r="G192" s="14">
        <v>322.95375712630971</v>
      </c>
      <c r="H192" s="14">
        <v>348.25400344382024</v>
      </c>
      <c r="I192" s="14">
        <v>375.36375426539416</v>
      </c>
      <c r="J192" s="14">
        <v>404.93770744737458</v>
      </c>
      <c r="K192" s="14">
        <v>437.85205332232562</v>
      </c>
      <c r="L192" s="14">
        <v>474.81035562201691</v>
      </c>
      <c r="M192" s="14">
        <v>515.93197818738201</v>
      </c>
      <c r="N192" s="14">
        <v>560.76220416135209</v>
      </c>
      <c r="O192" s="14">
        <v>609.2077525209728</v>
      </c>
      <c r="P192" s="14">
        <v>661.67330208950204</v>
      </c>
      <c r="Q192" s="14">
        <v>718.6050543530904</v>
      </c>
      <c r="R192" s="14">
        <v>779.94615888621092</v>
      </c>
      <c r="S192" s="22"/>
      <c r="T192" s="22"/>
    </row>
    <row r="193" spans="1:20" x14ac:dyDescent="0.35">
      <c r="A193" s="21" t="s">
        <v>33</v>
      </c>
      <c r="B193" s="17" t="s">
        <v>84</v>
      </c>
      <c r="C193" s="13" t="s">
        <v>89</v>
      </c>
      <c r="D193" s="13" t="s">
        <v>89</v>
      </c>
      <c r="E193" s="13" t="s">
        <v>89</v>
      </c>
      <c r="F193" s="14">
        <v>96.760934797053622</v>
      </c>
      <c r="G193" s="14">
        <v>103.97171454379757</v>
      </c>
      <c r="H193" s="14">
        <v>111.72646125091157</v>
      </c>
      <c r="I193" s="14">
        <v>120.00204470291266</v>
      </c>
      <c r="J193" s="14">
        <v>128.81921395462516</v>
      </c>
      <c r="K193" s="14">
        <v>138.33276100875875</v>
      </c>
      <c r="L193" s="14">
        <v>148.78459891148518</v>
      </c>
      <c r="M193" s="14">
        <v>160.34826171516775</v>
      </c>
      <c r="N193" s="14">
        <v>173.06396043520132</v>
      </c>
      <c r="O193" s="14">
        <v>186.93647267264288</v>
      </c>
      <c r="P193" s="14">
        <v>201.95009350948402</v>
      </c>
      <c r="Q193" s="14">
        <v>218.05729244823161</v>
      </c>
      <c r="R193" s="14">
        <v>235.28567404840712</v>
      </c>
      <c r="S193" s="22"/>
      <c r="T193" s="22"/>
    </row>
    <row r="194" spans="1:20" x14ac:dyDescent="0.35">
      <c r="A194" s="21" t="s">
        <v>33</v>
      </c>
      <c r="B194" s="17" t="s">
        <v>84</v>
      </c>
      <c r="C194" s="13" t="s">
        <v>90</v>
      </c>
      <c r="D194" s="13" t="s">
        <v>90</v>
      </c>
      <c r="E194" s="13" t="s">
        <v>90</v>
      </c>
      <c r="F194" s="14">
        <v>189.06851736492405</v>
      </c>
      <c r="G194" s="14">
        <v>201.58558289951429</v>
      </c>
      <c r="H194" s="14">
        <v>214.76003211989581</v>
      </c>
      <c r="I194" s="14">
        <v>228.80177845288216</v>
      </c>
      <c r="J194" s="14">
        <v>244.03087282964142</v>
      </c>
      <c r="K194" s="14">
        <v>260.76898487380288</v>
      </c>
      <c r="L194" s="14">
        <v>279.37173558266016</v>
      </c>
      <c r="M194" s="14">
        <v>299.80200841961039</v>
      </c>
      <c r="N194" s="14">
        <v>321.79539262250654</v>
      </c>
      <c r="O194" s="14">
        <v>345.430261758634</v>
      </c>
      <c r="P194" s="14">
        <v>370.76155177099002</v>
      </c>
      <c r="Q194" s="14">
        <v>397.8691034920879</v>
      </c>
      <c r="R194" s="14">
        <v>426.68042374998669</v>
      </c>
      <c r="S194" s="22"/>
      <c r="T194" s="22"/>
    </row>
    <row r="195" spans="1:20" x14ac:dyDescent="0.35">
      <c r="A195" s="21" t="s">
        <v>33</v>
      </c>
      <c r="B195" s="17" t="s">
        <v>91</v>
      </c>
      <c r="C195" s="13" t="s">
        <v>92</v>
      </c>
      <c r="D195" s="13" t="s">
        <v>92</v>
      </c>
      <c r="E195" s="13" t="s">
        <v>92</v>
      </c>
      <c r="F195" s="14">
        <v>537.96373726407512</v>
      </c>
      <c r="G195" s="14">
        <v>582.20390616376653</v>
      </c>
      <c r="H195" s="14">
        <v>629.64276292776458</v>
      </c>
      <c r="I195" s="14">
        <v>681.08812682635289</v>
      </c>
      <c r="J195" s="14">
        <v>737.39423076843445</v>
      </c>
      <c r="K195" s="14">
        <v>799.94012665334901</v>
      </c>
      <c r="L195" s="14">
        <v>869.75234742173825</v>
      </c>
      <c r="M195" s="14">
        <v>947.05799676034485</v>
      </c>
      <c r="N195" s="14">
        <v>1031.3089490361945</v>
      </c>
      <c r="O195" s="14">
        <v>1123.1213914791538</v>
      </c>
      <c r="P195" s="14">
        <v>1222.9594168540168</v>
      </c>
      <c r="Q195" s="14">
        <v>1331.2732712462391</v>
      </c>
      <c r="R195" s="14">
        <v>1448.3717992957522</v>
      </c>
      <c r="S195" s="22"/>
      <c r="T195" s="22"/>
    </row>
    <row r="196" spans="1:20" x14ac:dyDescent="0.35">
      <c r="A196" s="21" t="s">
        <v>33</v>
      </c>
      <c r="B196" s="17" t="s">
        <v>91</v>
      </c>
      <c r="C196" s="13" t="s">
        <v>93</v>
      </c>
      <c r="D196" s="13" t="s">
        <v>93</v>
      </c>
      <c r="E196" s="13" t="s">
        <v>93</v>
      </c>
      <c r="F196" s="14">
        <v>805.72338625613406</v>
      </c>
      <c r="G196" s="14">
        <v>859.77079597591342</v>
      </c>
      <c r="H196" s="14">
        <v>918.90816432929887</v>
      </c>
      <c r="I196" s="14">
        <v>982.95021921516513</v>
      </c>
      <c r="J196" s="14">
        <v>1052.2791296315654</v>
      </c>
      <c r="K196" s="14">
        <v>1127.1730736912357</v>
      </c>
      <c r="L196" s="14">
        <v>1209.2966880844613</v>
      </c>
      <c r="M196" s="14">
        <v>1299.9787461106762</v>
      </c>
      <c r="N196" s="14">
        <v>1399.899066115913</v>
      </c>
      <c r="O196" s="14">
        <v>1508.7271969104984</v>
      </c>
      <c r="P196" s="14">
        <v>1625.5068714484476</v>
      </c>
      <c r="Q196" s="14">
        <v>1749.5383828649497</v>
      </c>
      <c r="R196" s="14">
        <v>1881.035745707165</v>
      </c>
      <c r="S196" s="22"/>
      <c r="T196" s="22"/>
    </row>
    <row r="197" spans="1:20" x14ac:dyDescent="0.35">
      <c r="A197" s="21" t="s">
        <v>33</v>
      </c>
      <c r="B197" s="17" t="s">
        <v>94</v>
      </c>
      <c r="C197" s="13" t="s">
        <v>95</v>
      </c>
      <c r="D197" s="13" t="s">
        <v>95</v>
      </c>
      <c r="E197" s="13" t="s">
        <v>95</v>
      </c>
      <c r="F197" s="14">
        <v>65.967321205238875</v>
      </c>
      <c r="G197" s="14">
        <v>72.142925748397261</v>
      </c>
      <c r="H197" s="14">
        <v>78.919553402436335</v>
      </c>
      <c r="I197" s="14">
        <v>86.398112768826323</v>
      </c>
      <c r="J197" s="14">
        <v>94.624672328078589</v>
      </c>
      <c r="K197" s="14">
        <v>103.73814439081782</v>
      </c>
      <c r="L197" s="14">
        <v>113.85574214256133</v>
      </c>
      <c r="M197" s="14">
        <v>125.08961234130035</v>
      </c>
      <c r="N197" s="14">
        <v>137.50437324363995</v>
      </c>
      <c r="O197" s="14">
        <v>151.23690526406861</v>
      </c>
      <c r="P197" s="14">
        <v>166.40418474239831</v>
      </c>
      <c r="Q197" s="14">
        <v>183.03899539110807</v>
      </c>
      <c r="R197" s="14">
        <v>201.19189627392637</v>
      </c>
      <c r="S197" s="22"/>
      <c r="T197" s="22"/>
    </row>
    <row r="198" spans="1:20" x14ac:dyDescent="0.35">
      <c r="A198" s="21" t="s">
        <v>33</v>
      </c>
      <c r="B198" s="17" t="s">
        <v>94</v>
      </c>
      <c r="C198" s="40" t="s">
        <v>96</v>
      </c>
      <c r="D198" s="40" t="s">
        <v>96</v>
      </c>
      <c r="E198" s="40" t="s">
        <v>96</v>
      </c>
      <c r="F198" s="42">
        <v>266.40832052270349</v>
      </c>
      <c r="G198" s="42">
        <v>288.97549613661801</v>
      </c>
      <c r="H198" s="42">
        <v>313.09568544479038</v>
      </c>
      <c r="I198" s="42">
        <v>339.1008434874019</v>
      </c>
      <c r="J198" s="42">
        <v>368.22242519051503</v>
      </c>
      <c r="K198" s="42">
        <v>401.00663199467078</v>
      </c>
      <c r="L198" s="42">
        <v>438.47016184383472</v>
      </c>
      <c r="M198" s="42">
        <v>480.82697943524738</v>
      </c>
      <c r="N198" s="42">
        <v>527.7136426987081</v>
      </c>
      <c r="O198" s="42">
        <v>578.88763083923982</v>
      </c>
      <c r="P198" s="42">
        <v>634.67317903291894</v>
      </c>
      <c r="Q198" s="42">
        <v>695.38815204190223</v>
      </c>
      <c r="R198" s="42">
        <v>760.92405866128013</v>
      </c>
      <c r="S198" s="14"/>
      <c r="T198" s="14"/>
    </row>
    <row r="199" spans="1:20" x14ac:dyDescent="0.35">
      <c r="A199" s="21" t="s">
        <v>33</v>
      </c>
      <c r="B199" s="17" t="s">
        <v>94</v>
      </c>
      <c r="C199" s="13" t="s">
        <v>97</v>
      </c>
      <c r="D199" s="13" t="s">
        <v>97</v>
      </c>
      <c r="E199" s="13" t="s">
        <v>97</v>
      </c>
      <c r="F199" s="14">
        <v>145.19711307498073</v>
      </c>
      <c r="G199" s="14">
        <v>155.27981708730283</v>
      </c>
      <c r="H199" s="14">
        <v>166.33752910194985</v>
      </c>
      <c r="I199" s="14">
        <v>178.2919751398245</v>
      </c>
      <c r="J199" s="14">
        <v>190.91559229132321</v>
      </c>
      <c r="K199" s="14">
        <v>204.41576332951254</v>
      </c>
      <c r="L199" s="14">
        <v>218.9607643099657</v>
      </c>
      <c r="M199" s="14">
        <v>234.87229388562292</v>
      </c>
      <c r="N199" s="14">
        <v>252.28981499294065</v>
      </c>
      <c r="O199" s="14">
        <v>271.2632511550616</v>
      </c>
      <c r="P199" s="14">
        <v>291.58629454639993</v>
      </c>
      <c r="Q199" s="14">
        <v>313.05428852896227</v>
      </c>
      <c r="R199" s="14">
        <v>335.87182666829887</v>
      </c>
      <c r="S199" s="14"/>
      <c r="T199" s="14"/>
    </row>
    <row r="200" spans="1:20" x14ac:dyDescent="0.35">
      <c r="A200" s="21" t="s">
        <v>33</v>
      </c>
      <c r="B200" s="17" t="s">
        <v>94</v>
      </c>
      <c r="C200" s="13" t="s">
        <v>98</v>
      </c>
      <c r="D200" s="13" t="s">
        <v>98</v>
      </c>
      <c r="E200" s="13" t="s">
        <v>98</v>
      </c>
      <c r="F200" s="14">
        <v>361.44835940109033</v>
      </c>
      <c r="G200" s="14">
        <v>388.64961536696967</v>
      </c>
      <c r="H200" s="14">
        <v>418.34034987265522</v>
      </c>
      <c r="I200" s="14">
        <v>450.69579120479563</v>
      </c>
      <c r="J200" s="14">
        <v>485.93873458800567</v>
      </c>
      <c r="K200" s="14">
        <v>524.46363571822883</v>
      </c>
      <c r="L200" s="14">
        <v>566.88906694801278</v>
      </c>
      <c r="M200" s="14">
        <v>613.5602593023284</v>
      </c>
      <c r="N200" s="14">
        <v>664.58853506360344</v>
      </c>
      <c r="O200" s="14">
        <v>720.06243326139202</v>
      </c>
      <c r="P200" s="14">
        <v>779.74149481943334</v>
      </c>
      <c r="Q200" s="14">
        <v>843.69077901433832</v>
      </c>
      <c r="R200" s="14">
        <v>912.10017048722466</v>
      </c>
      <c r="S200" s="14"/>
      <c r="T200" s="14"/>
    </row>
    <row r="201" spans="1:20" x14ac:dyDescent="0.35">
      <c r="A201" s="21" t="s">
        <v>33</v>
      </c>
      <c r="B201" s="17" t="s">
        <v>94</v>
      </c>
      <c r="C201" s="13" t="s">
        <v>48</v>
      </c>
      <c r="D201" s="13" t="s">
        <v>48</v>
      </c>
      <c r="E201" s="13" t="s">
        <v>48</v>
      </c>
      <c r="F201" s="14">
        <v>118.54470173949875</v>
      </c>
      <c r="G201" s="14">
        <v>128.17419797921696</v>
      </c>
      <c r="H201" s="14">
        <v>138.60573809033713</v>
      </c>
      <c r="I201" s="14">
        <v>149.96251984999751</v>
      </c>
      <c r="J201" s="14">
        <v>162.36654042494553</v>
      </c>
      <c r="K201" s="14">
        <v>175.97457657768553</v>
      </c>
      <c r="L201" s="14">
        <v>191.02910298981968</v>
      </c>
      <c r="M201" s="14">
        <v>207.6394271999574</v>
      </c>
      <c r="N201" s="14">
        <v>225.83796838498779</v>
      </c>
      <c r="O201" s="14">
        <v>245.75887360165299</v>
      </c>
      <c r="P201" s="14">
        <v>267.48493063419551</v>
      </c>
      <c r="Q201" s="14">
        <v>291.05087495573804</v>
      </c>
      <c r="R201" s="14">
        <v>316.45192433045219</v>
      </c>
      <c r="S201" s="14"/>
      <c r="T201" s="14"/>
    </row>
    <row r="202" spans="1:20" x14ac:dyDescent="0.35">
      <c r="A202" s="21" t="s">
        <v>33</v>
      </c>
      <c r="B202" s="17" t="s">
        <v>94</v>
      </c>
      <c r="C202" s="13" t="s">
        <v>99</v>
      </c>
      <c r="D202" s="13" t="s">
        <v>99</v>
      </c>
      <c r="E202" s="13" t="s">
        <v>99</v>
      </c>
      <c r="F202" s="14">
        <v>193.31942050427034</v>
      </c>
      <c r="G202" s="14">
        <v>203.8889943699258</v>
      </c>
      <c r="H202" s="14">
        <v>215.22871375075636</v>
      </c>
      <c r="I202" s="14">
        <v>227.36285216080063</v>
      </c>
      <c r="J202" s="14">
        <v>240.26095021275182</v>
      </c>
      <c r="K202" s="14">
        <v>254.08629491322895</v>
      </c>
      <c r="L202" s="14">
        <v>269.06886510805862</v>
      </c>
      <c r="M202" s="14">
        <v>285.37629567183689</v>
      </c>
      <c r="N202" s="14">
        <v>302.98041302994835</v>
      </c>
      <c r="O202" s="14">
        <v>321.91850148757231</v>
      </c>
      <c r="P202" s="14">
        <v>341.92925210841651</v>
      </c>
      <c r="Q202" s="14">
        <v>362.78133460478932</v>
      </c>
      <c r="R202" s="14">
        <v>384.559219781313</v>
      </c>
      <c r="S202" s="14"/>
      <c r="T202" s="14"/>
    </row>
    <row r="203" spans="1:20" x14ac:dyDescent="0.35">
      <c r="A203" s="21" t="s">
        <v>33</v>
      </c>
      <c r="B203" s="17" t="s">
        <v>94</v>
      </c>
      <c r="C203" s="13" t="s">
        <v>100</v>
      </c>
      <c r="D203" s="13" t="s">
        <v>100</v>
      </c>
      <c r="E203" s="13" t="s">
        <v>100</v>
      </c>
      <c r="F203" s="14">
        <v>192.80188707242664</v>
      </c>
      <c r="G203" s="14">
        <v>204.86365545124946</v>
      </c>
      <c r="H203" s="14">
        <v>218.0233575941383</v>
      </c>
      <c r="I203" s="14">
        <v>232.22625142987133</v>
      </c>
      <c r="J203" s="14">
        <v>247.34444536437999</v>
      </c>
      <c r="K203" s="14">
        <v>263.4281534204402</v>
      </c>
      <c r="L203" s="14">
        <v>280.77533216394653</v>
      </c>
      <c r="M203" s="14">
        <v>299.67187503472786</v>
      </c>
      <c r="N203" s="14">
        <v>320.29326773827921</v>
      </c>
      <c r="O203" s="14">
        <v>342.72099278066435</v>
      </c>
      <c r="P203" s="14">
        <v>366.64695241870209</v>
      </c>
      <c r="Q203" s="14">
        <v>391.80722957435086</v>
      </c>
      <c r="R203" s="14">
        <v>418.30844880042207</v>
      </c>
      <c r="S203" s="14"/>
      <c r="T203" s="14"/>
    </row>
    <row r="204" spans="1:20" x14ac:dyDescent="0.35">
      <c r="A204" s="21" t="s">
        <v>33</v>
      </c>
      <c r="B204" s="17" t="s">
        <v>30</v>
      </c>
      <c r="C204" t="s">
        <v>101</v>
      </c>
      <c r="D204" t="s">
        <v>101</v>
      </c>
      <c r="E204" t="s">
        <v>101</v>
      </c>
      <c r="F204" s="14">
        <v>277.54639155712908</v>
      </c>
      <c r="G204" s="14">
        <v>299.24577430493389</v>
      </c>
      <c r="H204" s="14">
        <v>322.7272145722103</v>
      </c>
      <c r="I204" s="14">
        <v>348.39121447773368</v>
      </c>
      <c r="J204" s="14">
        <v>376.77157824336911</v>
      </c>
      <c r="K204" s="14">
        <v>408.5293312275403</v>
      </c>
      <c r="L204" s="14">
        <v>444.07314703547297</v>
      </c>
      <c r="M204" s="14">
        <v>483.51494886428151</v>
      </c>
      <c r="N204" s="14">
        <v>526.4633162047511</v>
      </c>
      <c r="O204" s="14">
        <v>573.02086091933904</v>
      </c>
      <c r="P204" s="14">
        <v>623.15817611166278</v>
      </c>
      <c r="Q204" s="14">
        <v>677.01548462630706</v>
      </c>
      <c r="R204" s="14">
        <v>734.86326549455862</v>
      </c>
      <c r="S204" s="14"/>
      <c r="T204" s="14"/>
    </row>
    <row r="205" spans="1:20" x14ac:dyDescent="0.35">
      <c r="A205" s="21" t="s">
        <v>33</v>
      </c>
      <c r="B205" s="17" t="s">
        <v>30</v>
      </c>
      <c r="C205" t="s">
        <v>19</v>
      </c>
      <c r="D205" t="s">
        <v>19</v>
      </c>
      <c r="E205" t="s">
        <v>19</v>
      </c>
      <c r="F205" s="14">
        <v>313.76499662197972</v>
      </c>
      <c r="G205" s="14">
        <v>341.56321527912047</v>
      </c>
      <c r="H205" s="14">
        <v>372.46262278531856</v>
      </c>
      <c r="I205" s="14">
        <v>406.23348117895404</v>
      </c>
      <c r="J205" s="14">
        <v>442.85467303097994</v>
      </c>
      <c r="K205" s="14">
        <v>482.11519645352575</v>
      </c>
      <c r="L205" s="14">
        <v>525.22156035283024</v>
      </c>
      <c r="M205" s="14">
        <v>573.1305205010085</v>
      </c>
      <c r="N205" s="14">
        <v>626.90959623473088</v>
      </c>
      <c r="O205" s="14">
        <v>686.98775122749703</v>
      </c>
      <c r="P205" s="14">
        <v>752.93409651288664</v>
      </c>
      <c r="Q205" s="14">
        <v>824.45359504111389</v>
      </c>
      <c r="R205" s="14">
        <v>901.86613016522529</v>
      </c>
      <c r="S205" s="22"/>
      <c r="T205" s="22"/>
    </row>
    <row r="206" spans="1:20" x14ac:dyDescent="0.35">
      <c r="A206" s="21" t="s">
        <v>33</v>
      </c>
      <c r="B206" s="17" t="s">
        <v>30</v>
      </c>
      <c r="C206" t="s">
        <v>20</v>
      </c>
      <c r="D206" t="s">
        <v>20</v>
      </c>
      <c r="E206" t="s">
        <v>20</v>
      </c>
      <c r="F206" s="14">
        <v>134.32587532300803</v>
      </c>
      <c r="G206" s="14">
        <v>141.84717642849412</v>
      </c>
      <c r="H206" s="14">
        <v>149.94183351335892</v>
      </c>
      <c r="I206" s="14">
        <v>158.74696974762583</v>
      </c>
      <c r="J206" s="14">
        <v>168.33561310693065</v>
      </c>
      <c r="K206" s="14">
        <v>178.78639141644965</v>
      </c>
      <c r="L206" s="14">
        <v>190.15434041189488</v>
      </c>
      <c r="M206" s="14">
        <v>202.36707064712471</v>
      </c>
      <c r="N206" s="14">
        <v>215.36053034343792</v>
      </c>
      <c r="O206" s="14">
        <v>229.15769285036288</v>
      </c>
      <c r="P206" s="14">
        <v>243.73885068857027</v>
      </c>
      <c r="Q206" s="14">
        <v>259.17030055048167</v>
      </c>
      <c r="R206" s="14">
        <v>275.36958416199747</v>
      </c>
      <c r="S206" s="22"/>
      <c r="T206" s="22"/>
    </row>
    <row r="207" spans="1:20" x14ac:dyDescent="0.35">
      <c r="A207" s="21" t="s">
        <v>33</v>
      </c>
      <c r="B207" s="17" t="s">
        <v>30</v>
      </c>
      <c r="C207" t="s">
        <v>27</v>
      </c>
      <c r="D207" t="s">
        <v>27</v>
      </c>
      <c r="E207" t="s">
        <v>27</v>
      </c>
      <c r="F207" s="14">
        <v>204.38769218296309</v>
      </c>
      <c r="G207" s="14">
        <v>219.69767945867267</v>
      </c>
      <c r="H207" s="14">
        <v>235.65455569376419</v>
      </c>
      <c r="I207" s="14">
        <v>252.59131904087417</v>
      </c>
      <c r="J207" s="14">
        <v>271.13551410059995</v>
      </c>
      <c r="K207" s="14">
        <v>291.94829054365448</v>
      </c>
      <c r="L207" s="14">
        <v>315.51035376418019</v>
      </c>
      <c r="M207" s="14">
        <v>341.68702448042438</v>
      </c>
      <c r="N207" s="14">
        <v>369.92941261717885</v>
      </c>
      <c r="O207" s="14">
        <v>400.21545499798924</v>
      </c>
      <c r="P207" s="14">
        <v>432.79400086575777</v>
      </c>
      <c r="Q207" s="14">
        <v>468.0420726751172</v>
      </c>
      <c r="R207" s="14">
        <v>505.90551209487529</v>
      </c>
      <c r="S207" s="22"/>
      <c r="T207" s="22"/>
    </row>
    <row r="208" spans="1:20" x14ac:dyDescent="0.35">
      <c r="A208" s="21" t="s">
        <v>33</v>
      </c>
      <c r="B208" s="17" t="s">
        <v>30</v>
      </c>
      <c r="C208" t="s">
        <v>21</v>
      </c>
      <c r="D208" t="s">
        <v>21</v>
      </c>
      <c r="E208" t="s">
        <v>21</v>
      </c>
      <c r="F208" s="14">
        <v>110.17622464908015</v>
      </c>
      <c r="G208" s="14">
        <v>117.29311441393926</v>
      </c>
      <c r="H208" s="14">
        <v>125.03006271639251</v>
      </c>
      <c r="I208" s="14">
        <v>133.22409035702742</v>
      </c>
      <c r="J208" s="14">
        <v>141.75630577425738</v>
      </c>
      <c r="K208" s="14">
        <v>150.82839743337482</v>
      </c>
      <c r="L208" s="14">
        <v>160.60765051592918</v>
      </c>
      <c r="M208" s="14">
        <v>171.50900670941667</v>
      </c>
      <c r="N208" s="14">
        <v>183.67450411615027</v>
      </c>
      <c r="O208" s="14">
        <v>196.83341794978725</v>
      </c>
      <c r="P208" s="14">
        <v>211.04014173060409</v>
      </c>
      <c r="Q208" s="14">
        <v>226.04855331430088</v>
      </c>
      <c r="R208" s="14">
        <v>241.8065270870884</v>
      </c>
      <c r="S208" s="22"/>
      <c r="T208" s="22"/>
    </row>
    <row r="209" spans="1:20" x14ac:dyDescent="0.35">
      <c r="A209" s="21" t="s">
        <v>33</v>
      </c>
      <c r="B209" s="17" t="s">
        <v>30</v>
      </c>
      <c r="C209" t="s">
        <v>37</v>
      </c>
      <c r="D209" t="s">
        <v>37</v>
      </c>
      <c r="E209" t="s">
        <v>37</v>
      </c>
      <c r="F209" s="14">
        <v>88.425564691055172</v>
      </c>
      <c r="G209" s="14">
        <v>92.907135896285183</v>
      </c>
      <c r="H209" s="14">
        <v>97.685160784004609</v>
      </c>
      <c r="I209" s="14">
        <v>102.88103845892019</v>
      </c>
      <c r="J209" s="14">
        <v>108.45420564023998</v>
      </c>
      <c r="K209" s="14">
        <v>114.44151317226959</v>
      </c>
      <c r="L209" s="14">
        <v>120.83481447028024</v>
      </c>
      <c r="M209" s="14">
        <v>127.67222091260936</v>
      </c>
      <c r="N209" s="14">
        <v>134.96318791562499</v>
      </c>
      <c r="O209" s="14">
        <v>142.81359382276298</v>
      </c>
      <c r="P209" s="14">
        <v>151.25021632872654</v>
      </c>
      <c r="Q209" s="14">
        <v>160.12235020602253</v>
      </c>
      <c r="R209" s="14">
        <v>169.35403400888291</v>
      </c>
      <c r="S209" s="22"/>
      <c r="T209" s="22"/>
    </row>
    <row r="210" spans="1:20" x14ac:dyDescent="0.35">
      <c r="A210" s="21" t="s">
        <v>33</v>
      </c>
      <c r="B210" s="17" t="s">
        <v>30</v>
      </c>
      <c r="C210" t="s">
        <v>38</v>
      </c>
      <c r="D210" t="s">
        <v>38</v>
      </c>
      <c r="E210" t="s">
        <v>38</v>
      </c>
      <c r="F210" s="14">
        <v>215.06037849499381</v>
      </c>
      <c r="G210" s="14">
        <v>229.42060635823435</v>
      </c>
      <c r="H210" s="14">
        <v>245.04947719201451</v>
      </c>
      <c r="I210" s="14">
        <v>261.9702327803825</v>
      </c>
      <c r="J210" s="14">
        <v>280.36547050362282</v>
      </c>
      <c r="K210" s="14">
        <v>300.46408009777008</v>
      </c>
      <c r="L210" s="14">
        <v>322.64716895561173</v>
      </c>
      <c r="M210" s="14">
        <v>347.15595075615613</v>
      </c>
      <c r="N210" s="14">
        <v>373.90746772023346</v>
      </c>
      <c r="O210" s="14">
        <v>402.81981662191356</v>
      </c>
      <c r="P210" s="14">
        <v>433.55080606425645</v>
      </c>
      <c r="Q210" s="14">
        <v>465.95929769784595</v>
      </c>
      <c r="R210" s="14">
        <v>500.24249199028952</v>
      </c>
      <c r="S210" s="22"/>
      <c r="T210" s="22"/>
    </row>
    <row r="211" spans="1:20" x14ac:dyDescent="0.35">
      <c r="A211" t="s">
        <v>101</v>
      </c>
      <c r="B211" s="17" t="s">
        <v>54</v>
      </c>
      <c r="C211" s="13" t="s">
        <v>55</v>
      </c>
      <c r="D211" s="13" t="s">
        <v>55</v>
      </c>
      <c r="E211" s="13" t="s">
        <v>55</v>
      </c>
      <c r="F211" s="14">
        <v>29.328513413667434</v>
      </c>
      <c r="G211" s="14">
        <v>32.553095654261128</v>
      </c>
      <c r="H211" s="14">
        <v>36.138178963939865</v>
      </c>
      <c r="I211" s="14">
        <v>40.216920638965547</v>
      </c>
      <c r="J211" s="14">
        <v>44.835817810960918</v>
      </c>
      <c r="K211" s="14">
        <v>50.041309092866385</v>
      </c>
      <c r="L211" s="14">
        <v>55.861244750890272</v>
      </c>
      <c r="M211" s="14">
        <v>62.311500679914758</v>
      </c>
      <c r="N211" s="14">
        <v>69.445831843124481</v>
      </c>
      <c r="O211" s="14">
        <v>77.488468082190565</v>
      </c>
      <c r="P211" s="14">
        <v>86.571873444805476</v>
      </c>
      <c r="Q211" s="14">
        <v>96.7298969473608</v>
      </c>
      <c r="R211" s="14">
        <v>108.00048606928658</v>
      </c>
      <c r="S211" s="22"/>
      <c r="T211" s="22"/>
    </row>
    <row r="212" spans="1:20" x14ac:dyDescent="0.35">
      <c r="A212" t="s">
        <v>101</v>
      </c>
      <c r="B212" s="17" t="s">
        <v>54</v>
      </c>
      <c r="C212" s="13" t="s">
        <v>56</v>
      </c>
      <c r="D212" s="13" t="s">
        <v>56</v>
      </c>
      <c r="E212" s="13" t="s">
        <v>56</v>
      </c>
      <c r="F212" s="14">
        <v>69.445443292893799</v>
      </c>
      <c r="G212" s="14">
        <v>75.404407582418628</v>
      </c>
      <c r="H212" s="14">
        <v>81.589882380066953</v>
      </c>
      <c r="I212" s="14">
        <v>88.1398445481057</v>
      </c>
      <c r="J212" s="14">
        <v>95.323209295572383</v>
      </c>
      <c r="K212" s="14">
        <v>103.41735493033984</v>
      </c>
      <c r="L212" s="14">
        <v>112.64803875410976</v>
      </c>
      <c r="M212" s="14">
        <v>122.9487714129536</v>
      </c>
      <c r="N212" s="14">
        <v>134.10414171091634</v>
      </c>
      <c r="O212" s="14">
        <v>146.13696659667215</v>
      </c>
      <c r="P212" s="14">
        <v>159.23579126485433</v>
      </c>
      <c r="Q212" s="14">
        <v>173.62379271002899</v>
      </c>
      <c r="R212" s="14">
        <v>189.25057480745627</v>
      </c>
      <c r="S212" s="22"/>
      <c r="T212" s="22"/>
    </row>
    <row r="213" spans="1:20" x14ac:dyDescent="0.35">
      <c r="A213" t="s">
        <v>101</v>
      </c>
      <c r="B213" s="17" t="s">
        <v>54</v>
      </c>
      <c r="C213" s="13" t="s">
        <v>57</v>
      </c>
      <c r="D213" s="13" t="s">
        <v>57</v>
      </c>
      <c r="E213" s="13" t="s">
        <v>57</v>
      </c>
      <c r="F213" s="14">
        <v>178.77243485056786</v>
      </c>
      <c r="G213" s="14">
        <v>191.28827106825415</v>
      </c>
      <c r="H213" s="14">
        <v>204.99915322820351</v>
      </c>
      <c r="I213" s="14">
        <v>220.03444929066242</v>
      </c>
      <c r="J213" s="14">
        <v>236.6125511368358</v>
      </c>
      <c r="K213" s="14">
        <v>255.07066720433409</v>
      </c>
      <c r="L213" s="14">
        <v>275.56386353047293</v>
      </c>
      <c r="M213" s="14">
        <v>298.25467677141313</v>
      </c>
      <c r="N213" s="14">
        <v>322.91334265071026</v>
      </c>
      <c r="O213" s="14">
        <v>349.3954262404763</v>
      </c>
      <c r="P213" s="14">
        <v>377.35051140200301</v>
      </c>
      <c r="Q213" s="14">
        <v>406.66179496891726</v>
      </c>
      <c r="R213" s="14">
        <v>437.61220461781585</v>
      </c>
      <c r="S213" s="22"/>
      <c r="T213" s="22"/>
    </row>
    <row r="214" spans="1:20" x14ac:dyDescent="0.35">
      <c r="A214" t="s">
        <v>101</v>
      </c>
      <c r="B214" s="17" t="s">
        <v>59</v>
      </c>
      <c r="C214" s="18" t="s">
        <v>60</v>
      </c>
      <c r="D214" s="38" t="s">
        <v>61</v>
      </c>
      <c r="E214" s="39" t="s">
        <v>62</v>
      </c>
      <c r="F214" s="22">
        <v>11.328845664153922</v>
      </c>
      <c r="G214" s="22">
        <v>12.609625736532175</v>
      </c>
      <c r="H214" s="22">
        <v>14.050966141140181</v>
      </c>
      <c r="I214" s="22">
        <v>15.646520408584292</v>
      </c>
      <c r="J214" s="22">
        <v>17.391964437503045</v>
      </c>
      <c r="K214" s="22">
        <v>19.323425096242762</v>
      </c>
      <c r="L214" s="22">
        <v>21.479045392113225</v>
      </c>
      <c r="M214" s="22">
        <v>23.939572556457755</v>
      </c>
      <c r="N214" s="22">
        <v>26.759768461832078</v>
      </c>
      <c r="O214" s="22">
        <v>29.932266731369943</v>
      </c>
      <c r="P214" s="22">
        <v>33.503329012434477</v>
      </c>
      <c r="Q214" s="22">
        <v>37.466932738498855</v>
      </c>
      <c r="R214" s="22">
        <v>41.843249303642672</v>
      </c>
      <c r="S214" s="14"/>
      <c r="T214" s="14"/>
    </row>
    <row r="215" spans="1:20" x14ac:dyDescent="0.35">
      <c r="A215" t="s">
        <v>101</v>
      </c>
      <c r="B215" s="17" t="s">
        <v>59</v>
      </c>
      <c r="C215" s="18" t="s">
        <v>60</v>
      </c>
      <c r="D215" s="38" t="s">
        <v>61</v>
      </c>
      <c r="E215" s="39" t="s">
        <v>63</v>
      </c>
      <c r="F215" s="22">
        <v>18.062428912806645</v>
      </c>
      <c r="G215" s="22">
        <v>19.639966561953777</v>
      </c>
      <c r="H215" s="22">
        <v>21.281099770690254</v>
      </c>
      <c r="I215" s="22">
        <v>23.022091960011526</v>
      </c>
      <c r="J215" s="22">
        <v>24.933612733411451</v>
      </c>
      <c r="K215" s="22">
        <v>27.08894551900816</v>
      </c>
      <c r="L215" s="22">
        <v>29.548265263573636</v>
      </c>
      <c r="M215" s="22">
        <v>32.295425298694852</v>
      </c>
      <c r="N215" s="22">
        <v>35.275068194823263</v>
      </c>
      <c r="O215" s="22">
        <v>38.494189193444178</v>
      </c>
      <c r="P215" s="22">
        <v>42.003477532270644</v>
      </c>
      <c r="Q215" s="22">
        <v>45.86304251489026</v>
      </c>
      <c r="R215" s="22">
        <v>50.061065990602224</v>
      </c>
      <c r="S215" s="14"/>
      <c r="T215" s="14"/>
    </row>
    <row r="216" spans="1:20" x14ac:dyDescent="0.35">
      <c r="A216" t="s">
        <v>101</v>
      </c>
      <c r="B216" s="17" t="s">
        <v>59</v>
      </c>
      <c r="C216" s="18" t="s">
        <v>60</v>
      </c>
      <c r="D216" s="38" t="s">
        <v>61</v>
      </c>
      <c r="E216" s="39" t="s">
        <v>64</v>
      </c>
      <c r="F216" s="22">
        <v>26.999374972286688</v>
      </c>
      <c r="G216" s="22">
        <v>28.618611123573842</v>
      </c>
      <c r="H216" s="22">
        <v>30.340040802443944</v>
      </c>
      <c r="I216" s="22">
        <v>32.280976658024699</v>
      </c>
      <c r="J216" s="22">
        <v>34.630017685293666</v>
      </c>
      <c r="K216" s="22">
        <v>37.434270228408565</v>
      </c>
      <c r="L216" s="22">
        <v>40.65079412640965</v>
      </c>
      <c r="M216" s="22">
        <v>44.121778605244835</v>
      </c>
      <c r="N216" s="22">
        <v>47.620879064619643</v>
      </c>
      <c r="O216" s="22">
        <v>51.126056236035794</v>
      </c>
      <c r="P216" s="22">
        <v>54.541730333568978</v>
      </c>
      <c r="Q216" s="22">
        <v>57.911364439039033</v>
      </c>
      <c r="R216" s="22">
        <v>61.253232124555836</v>
      </c>
      <c r="S216" s="14"/>
      <c r="T216" s="14"/>
    </row>
    <row r="217" spans="1:20" x14ac:dyDescent="0.35">
      <c r="A217" t="s">
        <v>101</v>
      </c>
      <c r="B217" s="17" t="s">
        <v>59</v>
      </c>
      <c r="C217" s="18" t="s">
        <v>60</v>
      </c>
      <c r="D217" s="38" t="s">
        <v>65</v>
      </c>
      <c r="E217" s="38" t="s">
        <v>65</v>
      </c>
      <c r="F217" s="41">
        <v>50.498381548346316</v>
      </c>
      <c r="G217" s="41">
        <v>54.212037270747132</v>
      </c>
      <c r="H217" s="41">
        <v>58.28914897924988</v>
      </c>
      <c r="I217" s="41">
        <v>62.770035633573748</v>
      </c>
      <c r="J217" s="41">
        <v>67.720923473463159</v>
      </c>
      <c r="K217" s="41">
        <v>73.242893934545791</v>
      </c>
      <c r="L217" s="41">
        <v>79.386026471553507</v>
      </c>
      <c r="M217" s="41">
        <v>86.203176641518795</v>
      </c>
      <c r="N217" s="41">
        <v>93.634473252964682</v>
      </c>
      <c r="O217" s="41">
        <v>101.64397489015097</v>
      </c>
      <c r="P217" s="41">
        <v>110.13532209993792</v>
      </c>
      <c r="Q217" s="41">
        <v>119.07905483499329</v>
      </c>
      <c r="R217" s="41">
        <v>128.5623551435099</v>
      </c>
      <c r="S217" s="14"/>
      <c r="T217" s="14"/>
    </row>
    <row r="218" spans="1:20" x14ac:dyDescent="0.35">
      <c r="A218" t="s">
        <v>101</v>
      </c>
      <c r="B218" s="17" t="s">
        <v>59</v>
      </c>
      <c r="C218" s="18" t="s">
        <v>60</v>
      </c>
      <c r="D218" s="38" t="s">
        <v>66</v>
      </c>
      <c r="E218" s="38" t="s">
        <v>66</v>
      </c>
      <c r="F218" s="41">
        <v>31.792653930057501</v>
      </c>
      <c r="G218" s="41">
        <v>34.1023730861967</v>
      </c>
      <c r="H218" s="41">
        <v>36.451081565068009</v>
      </c>
      <c r="I218" s="41">
        <v>38.897703930848202</v>
      </c>
      <c r="J218" s="41">
        <v>41.556021222352399</v>
      </c>
      <c r="K218" s="41">
        <v>44.537842436631571</v>
      </c>
      <c r="L218" s="41">
        <v>47.927093484993648</v>
      </c>
      <c r="M218" s="41">
        <v>51.67898686311181</v>
      </c>
      <c r="N218" s="41">
        <v>55.687904970560467</v>
      </c>
      <c r="O218" s="41">
        <v>59.95187636904911</v>
      </c>
      <c r="P218" s="41">
        <v>64.536725977799847</v>
      </c>
      <c r="Q218" s="41">
        <v>69.518844316791004</v>
      </c>
      <c r="R218" s="41">
        <v>74.861040723635512</v>
      </c>
      <c r="S218" s="14"/>
      <c r="T218" s="14"/>
    </row>
    <row r="219" spans="1:20" x14ac:dyDescent="0.35">
      <c r="A219" t="s">
        <v>101</v>
      </c>
      <c r="B219" s="17" t="s">
        <v>59</v>
      </c>
      <c r="C219" s="18" t="s">
        <v>60</v>
      </c>
      <c r="D219" s="38" t="s">
        <v>67</v>
      </c>
      <c r="E219" s="38" t="s">
        <v>67</v>
      </c>
      <c r="F219" s="41">
        <v>20.568578521328806</v>
      </c>
      <c r="G219" s="41">
        <v>21.866888759142491</v>
      </c>
      <c r="H219" s="41">
        <v>23.251158521314924</v>
      </c>
      <c r="I219" s="41">
        <v>24.786646690351962</v>
      </c>
      <c r="J219" s="41">
        <v>26.472724630535598</v>
      </c>
      <c r="K219" s="41">
        <v>28.306628470632862</v>
      </c>
      <c r="L219" s="41">
        <v>30.273278707737916</v>
      </c>
      <c r="M219" s="41">
        <v>32.35133616820864</v>
      </c>
      <c r="N219" s="41">
        <v>34.540507586578372</v>
      </c>
      <c r="O219" s="41">
        <v>36.923308347807627</v>
      </c>
      <c r="P219" s="41">
        <v>39.522587975700993</v>
      </c>
      <c r="Q219" s="41">
        <v>42.309339267100199</v>
      </c>
      <c r="R219" s="41">
        <v>45.257882604473636</v>
      </c>
      <c r="S219" s="14"/>
      <c r="T219" s="14"/>
    </row>
    <row r="220" spans="1:20" x14ac:dyDescent="0.35">
      <c r="A220" t="s">
        <v>101</v>
      </c>
      <c r="B220" s="17" t="s">
        <v>59</v>
      </c>
      <c r="C220" s="18" t="s">
        <v>60</v>
      </c>
      <c r="D220" s="38" t="s">
        <v>68</v>
      </c>
      <c r="E220" s="38" t="s">
        <v>68</v>
      </c>
      <c r="F220" s="41">
        <v>33.588718841143596</v>
      </c>
      <c r="G220" s="41">
        <v>36.523338131450636</v>
      </c>
      <c r="H220" s="41">
        <v>39.775224973863622</v>
      </c>
      <c r="I220" s="41">
        <v>43.382938401478377</v>
      </c>
      <c r="J220" s="41">
        <v>47.404646431424212</v>
      </c>
      <c r="K220" s="41">
        <v>51.925589350146844</v>
      </c>
      <c r="L220" s="41">
        <v>56.998850659317277</v>
      </c>
      <c r="M220" s="41">
        <v>62.681780121181838</v>
      </c>
      <c r="N220" s="41">
        <v>68.952205939363139</v>
      </c>
      <c r="O220" s="41">
        <v>75.803931063283642</v>
      </c>
      <c r="P220" s="41">
        <v>83.184898727674522</v>
      </c>
      <c r="Q220" s="41">
        <v>91.090447166942582</v>
      </c>
      <c r="R220" s="41">
        <v>99.604470240622604</v>
      </c>
      <c r="S220" s="14"/>
      <c r="T220" s="14"/>
    </row>
    <row r="221" spans="1:20" x14ac:dyDescent="0.35">
      <c r="A221" t="s">
        <v>101</v>
      </c>
      <c r="B221" s="17" t="s">
        <v>59</v>
      </c>
      <c r="C221" s="18" t="s">
        <v>60</v>
      </c>
      <c r="D221" s="38" t="s">
        <v>69</v>
      </c>
      <c r="E221" s="38" t="s">
        <v>69</v>
      </c>
      <c r="F221" s="41">
        <v>37.547172515772147</v>
      </c>
      <c r="G221" s="41">
        <v>39.822984982460866</v>
      </c>
      <c r="H221" s="41">
        <v>42.307136284930529</v>
      </c>
      <c r="I221" s="41">
        <v>44.963896600797391</v>
      </c>
      <c r="J221" s="41">
        <v>47.712468810849046</v>
      </c>
      <c r="K221" s="41">
        <v>50.603648119034965</v>
      </c>
      <c r="L221" s="41">
        <v>53.674977645749976</v>
      </c>
      <c r="M221" s="41">
        <v>57.010038726677919</v>
      </c>
      <c r="N221" s="41">
        <v>60.639036578702154</v>
      </c>
      <c r="O221" s="41">
        <v>64.57093005170735</v>
      </c>
      <c r="P221" s="41">
        <v>68.732321182063913</v>
      </c>
      <c r="Q221" s="41">
        <v>73.053195859789625</v>
      </c>
      <c r="R221" s="41">
        <v>77.587296486514447</v>
      </c>
      <c r="S221" s="14"/>
      <c r="T221" s="14"/>
    </row>
    <row r="222" spans="1:20" x14ac:dyDescent="0.35">
      <c r="A222" t="s">
        <v>101</v>
      </c>
      <c r="B222" s="17" t="s">
        <v>59</v>
      </c>
      <c r="C222" s="18" t="s">
        <v>70</v>
      </c>
      <c r="D222" s="19" t="s">
        <v>71</v>
      </c>
      <c r="E222" s="19" t="s">
        <v>71</v>
      </c>
      <c r="F222" s="22">
        <v>7.3530649137751505</v>
      </c>
      <c r="G222" s="22">
        <v>8.1715147932340404</v>
      </c>
      <c r="H222" s="22">
        <v>9.0946833188737859</v>
      </c>
      <c r="I222" s="22">
        <v>10.137303669978417</v>
      </c>
      <c r="J222" s="22">
        <v>11.319725296743783</v>
      </c>
      <c r="K222" s="22">
        <v>12.670251277458094</v>
      </c>
      <c r="L222" s="22">
        <v>14.211468800334556</v>
      </c>
      <c r="M222" s="22">
        <v>15.968583952576283</v>
      </c>
      <c r="N222" s="22">
        <v>17.948272814841953</v>
      </c>
      <c r="O222" s="22">
        <v>20.161426063698535</v>
      </c>
      <c r="P222" s="22">
        <v>22.607154435260941</v>
      </c>
      <c r="Q222" s="22">
        <v>25.296817510767088</v>
      </c>
      <c r="R222" s="22">
        <v>28.266813383524244</v>
      </c>
      <c r="S222" s="14"/>
      <c r="T222" s="14"/>
    </row>
    <row r="223" spans="1:20" x14ac:dyDescent="0.35">
      <c r="A223" t="s">
        <v>101</v>
      </c>
      <c r="B223" s="17" t="s">
        <v>59</v>
      </c>
      <c r="C223" s="18" t="s">
        <v>70</v>
      </c>
      <c r="D223" s="19" t="s">
        <v>72</v>
      </c>
      <c r="E223" s="19" t="s">
        <v>72</v>
      </c>
      <c r="F223" s="22">
        <v>5.7796851333587638</v>
      </c>
      <c r="G223" s="22">
        <v>6.5148166611175737</v>
      </c>
      <c r="H223" s="22">
        <v>7.3446456199168502</v>
      </c>
      <c r="I223" s="22">
        <v>8.3002609664652773</v>
      </c>
      <c r="J223" s="22">
        <v>9.3966831613896264</v>
      </c>
      <c r="K223" s="22">
        <v>10.649697846936087</v>
      </c>
      <c r="L223" s="22">
        <v>12.071942995116107</v>
      </c>
      <c r="M223" s="22">
        <v>13.674065553818805</v>
      </c>
      <c r="N223" s="22">
        <v>15.475485874544272</v>
      </c>
      <c r="O223" s="22">
        <v>17.534606922822128</v>
      </c>
      <c r="P223" s="22">
        <v>19.892450119243207</v>
      </c>
      <c r="Q223" s="22">
        <v>22.56960809144379</v>
      </c>
      <c r="R223" s="22">
        <v>25.588550367652815</v>
      </c>
      <c r="S223" s="14"/>
      <c r="T223" s="14"/>
    </row>
    <row r="224" spans="1:20" x14ac:dyDescent="0.35">
      <c r="A224" t="s">
        <v>101</v>
      </c>
      <c r="B224" s="17" t="s">
        <v>59</v>
      </c>
      <c r="C224" s="18" t="s">
        <v>70</v>
      </c>
      <c r="D224" s="19" t="s">
        <v>73</v>
      </c>
      <c r="E224" s="19" t="s">
        <v>73</v>
      </c>
      <c r="F224" s="22">
        <v>5.0477232571547423</v>
      </c>
      <c r="G224" s="22">
        <v>5.5098777588950565</v>
      </c>
      <c r="H224" s="22">
        <v>6.0212330970246049</v>
      </c>
      <c r="I224" s="22">
        <v>6.5755298756806333</v>
      </c>
      <c r="J224" s="22">
        <v>7.1677025045018548</v>
      </c>
      <c r="K224" s="22">
        <v>7.8096205846449003</v>
      </c>
      <c r="L224" s="22">
        <v>8.5129317457438081</v>
      </c>
      <c r="M224" s="22">
        <v>9.3051198097338403</v>
      </c>
      <c r="N224" s="22">
        <v>10.20126817401713</v>
      </c>
      <c r="O224" s="22">
        <v>11.191372868322189</v>
      </c>
      <c r="P224" s="22">
        <v>12.28596770389211</v>
      </c>
      <c r="Q224" s="22">
        <v>13.475335631281366</v>
      </c>
      <c r="R224" s="22">
        <v>14.759629720554086</v>
      </c>
      <c r="S224" s="14"/>
      <c r="T224" s="14"/>
    </row>
    <row r="225" spans="1:20" x14ac:dyDescent="0.35">
      <c r="A225" t="s">
        <v>101</v>
      </c>
      <c r="B225" s="17" t="s">
        <v>59</v>
      </c>
      <c r="C225" s="18" t="s">
        <v>70</v>
      </c>
      <c r="D225" s="19" t="s">
        <v>74</v>
      </c>
      <c r="E225" s="19" t="s">
        <v>74</v>
      </c>
      <c r="F225" s="22">
        <v>6.2719308483052183</v>
      </c>
      <c r="G225" s="22">
        <v>6.8948530225103104</v>
      </c>
      <c r="H225" s="22">
        <v>7.5536001857715069</v>
      </c>
      <c r="I225" s="22">
        <v>8.2620545394733949</v>
      </c>
      <c r="J225" s="22">
        <v>9.0470391367797784</v>
      </c>
      <c r="K225" s="22">
        <v>9.9374834250325108</v>
      </c>
      <c r="L225" s="22">
        <v>10.958736881392035</v>
      </c>
      <c r="M225" s="22">
        <v>12.10888844879528</v>
      </c>
      <c r="N225" s="22">
        <v>13.371155898042661</v>
      </c>
      <c r="O225" s="22">
        <v>14.751576098147424</v>
      </c>
      <c r="P225" s="22">
        <v>16.27312861478638</v>
      </c>
      <c r="Q225" s="22">
        <v>17.963382223425945</v>
      </c>
      <c r="R225" s="22">
        <v>19.822859626163314</v>
      </c>
      <c r="S225" s="14"/>
      <c r="T225" s="14"/>
    </row>
    <row r="226" spans="1:20" x14ac:dyDescent="0.35">
      <c r="A226" t="s">
        <v>101</v>
      </c>
      <c r="B226" s="17" t="s">
        <v>59</v>
      </c>
      <c r="C226" s="18" t="s">
        <v>70</v>
      </c>
      <c r="D226" s="19" t="s">
        <v>75</v>
      </c>
      <c r="E226" s="19" t="s">
        <v>75</v>
      </c>
      <c r="F226" s="22">
        <v>4.544903506093342</v>
      </c>
      <c r="G226" s="22">
        <v>5.0372895723260598</v>
      </c>
      <c r="H226" s="22">
        <v>5.563993084807386</v>
      </c>
      <c r="I226" s="22">
        <v>6.1360234011183339</v>
      </c>
      <c r="J226" s="22">
        <v>6.7743529768157771</v>
      </c>
      <c r="K226" s="22">
        <v>7.5022088327915748</v>
      </c>
      <c r="L226" s="22">
        <v>8.3408570462340155</v>
      </c>
      <c r="M226" s="22">
        <v>9.2914808433535754</v>
      </c>
      <c r="N226" s="22">
        <v>10.343853227689126</v>
      </c>
      <c r="O226" s="22">
        <v>11.50503022651918</v>
      </c>
      <c r="P226" s="22">
        <v>12.795481654828889</v>
      </c>
      <c r="Q226" s="22">
        <v>14.239922585568094</v>
      </c>
      <c r="R226" s="22">
        <v>15.842396711802486</v>
      </c>
      <c r="S226" s="14"/>
      <c r="T226" s="14"/>
    </row>
    <row r="227" spans="1:20" x14ac:dyDescent="0.35">
      <c r="A227" t="s">
        <v>101</v>
      </c>
      <c r="B227" s="17" t="s">
        <v>59</v>
      </c>
      <c r="C227" s="18" t="s">
        <v>76</v>
      </c>
      <c r="D227" s="19" t="s">
        <v>77</v>
      </c>
      <c r="E227" s="19" t="s">
        <v>77</v>
      </c>
      <c r="F227" s="22">
        <v>5.0816692786650517</v>
      </c>
      <c r="G227" s="22">
        <v>5.5251322462800037</v>
      </c>
      <c r="H227" s="22">
        <v>6.0165035319999491</v>
      </c>
      <c r="I227" s="22">
        <v>6.5616018641184892</v>
      </c>
      <c r="J227" s="22">
        <v>7.1692095908148286</v>
      </c>
      <c r="K227" s="22">
        <v>7.8521999995388914</v>
      </c>
      <c r="L227" s="22">
        <v>8.6185787811525216</v>
      </c>
      <c r="M227" s="22">
        <v>9.4769936858339321</v>
      </c>
      <c r="N227" s="22">
        <v>10.424066156943825</v>
      </c>
      <c r="O227" s="22">
        <v>11.458833849448288</v>
      </c>
      <c r="P227" s="22">
        <v>12.573402349110975</v>
      </c>
      <c r="Q227" s="22">
        <v>13.767043849218839</v>
      </c>
      <c r="R227" s="22">
        <v>15.052414679852362</v>
      </c>
      <c r="S227" s="14"/>
      <c r="T227" s="14"/>
    </row>
    <row r="228" spans="1:20" x14ac:dyDescent="0.35">
      <c r="A228" t="s">
        <v>101</v>
      </c>
      <c r="B228" s="17" t="s">
        <v>59</v>
      </c>
      <c r="C228" s="18" t="s">
        <v>76</v>
      </c>
      <c r="D228" s="19" t="s">
        <v>78</v>
      </c>
      <c r="E228" s="19" t="s">
        <v>78</v>
      </c>
      <c r="F228" s="22">
        <v>5.0927292760663816</v>
      </c>
      <c r="G228" s="22">
        <v>5.4898871950533854</v>
      </c>
      <c r="H228" s="22">
        <v>5.8972813375336841</v>
      </c>
      <c r="I228" s="22">
        <v>6.3245778595287216</v>
      </c>
      <c r="J228" s="22">
        <v>6.7905541546802421</v>
      </c>
      <c r="K228" s="22">
        <v>7.3140384597498578</v>
      </c>
      <c r="L228" s="22">
        <v>7.909650241928424</v>
      </c>
      <c r="M228" s="22">
        <v>8.5710486176116163</v>
      </c>
      <c r="N228" s="22">
        <v>9.2816681313392273</v>
      </c>
      <c r="O228" s="22">
        <v>10.041882185494556</v>
      </c>
      <c r="P228" s="22">
        <v>10.863421799272187</v>
      </c>
      <c r="Q228" s="22">
        <v>11.760023542087705</v>
      </c>
      <c r="R228" s="22">
        <v>12.726475436194967</v>
      </c>
      <c r="S228" s="14"/>
      <c r="T228" s="14"/>
    </row>
    <row r="229" spans="1:20" x14ac:dyDescent="0.35">
      <c r="A229" t="s">
        <v>101</v>
      </c>
      <c r="B229" s="17" t="s">
        <v>59</v>
      </c>
      <c r="C229" s="18" t="s">
        <v>76</v>
      </c>
      <c r="D229" s="19" t="s">
        <v>79</v>
      </c>
      <c r="E229" s="19" t="s">
        <v>79</v>
      </c>
      <c r="F229" s="22">
        <v>2.9665734196097993</v>
      </c>
      <c r="G229" s="22">
        <v>3.3057656937297235</v>
      </c>
      <c r="H229" s="22">
        <v>3.6712541117050748</v>
      </c>
      <c r="I229" s="22">
        <v>4.0707207558650129</v>
      </c>
      <c r="J229" s="22">
        <v>4.5186215378727255</v>
      </c>
      <c r="K229" s="22">
        <v>5.0312268867171888</v>
      </c>
      <c r="L229" s="22">
        <v>5.6238391996765547</v>
      </c>
      <c r="M229" s="22">
        <v>6.2985421919572264</v>
      </c>
      <c r="N229" s="22">
        <v>7.0497193925308546</v>
      </c>
      <c r="O229" s="22">
        <v>7.8834028751894687</v>
      </c>
      <c r="P229" s="22">
        <v>8.8149381271114375</v>
      </c>
      <c r="Q229" s="22">
        <v>9.8629178803578661</v>
      </c>
      <c r="R229" s="22">
        <v>11.032008072731871</v>
      </c>
      <c r="S229" s="22"/>
      <c r="T229" s="22"/>
    </row>
    <row r="230" spans="1:20" x14ac:dyDescent="0.35">
      <c r="A230" t="s">
        <v>101</v>
      </c>
      <c r="B230" s="17" t="s">
        <v>59</v>
      </c>
      <c r="C230" s="18" t="s">
        <v>76</v>
      </c>
      <c r="D230" s="19" t="s">
        <v>80</v>
      </c>
      <c r="E230" s="19" t="s">
        <v>80</v>
      </c>
      <c r="F230" s="22">
        <v>2.2788995405425156</v>
      </c>
      <c r="G230" s="22">
        <v>2.4395711826377746</v>
      </c>
      <c r="H230" s="22">
        <v>2.6164499682296976</v>
      </c>
      <c r="I230" s="22">
        <v>2.8052810317542711</v>
      </c>
      <c r="J230" s="22">
        <v>3.0039997933343821</v>
      </c>
      <c r="K230" s="22">
        <v>3.2087846054476192</v>
      </c>
      <c r="L230" s="22">
        <v>3.4285993393791965</v>
      </c>
      <c r="M230" s="22">
        <v>3.6703294710258212</v>
      </c>
      <c r="N230" s="22">
        <v>3.9413369869943331</v>
      </c>
      <c r="O230" s="22">
        <v>4.2428652201696675</v>
      </c>
      <c r="P230" s="22">
        <v>4.5688758721099916</v>
      </c>
      <c r="Q230" s="22">
        <v>4.9138444942647475</v>
      </c>
      <c r="R230" s="22">
        <v>5.2784453343487447</v>
      </c>
      <c r="S230" s="22"/>
      <c r="T230" s="22"/>
    </row>
    <row r="231" spans="1:20" x14ac:dyDescent="0.35">
      <c r="A231" t="s">
        <v>101</v>
      </c>
      <c r="B231" s="17" t="s">
        <v>59</v>
      </c>
      <c r="C231" s="18" t="s">
        <v>76</v>
      </c>
      <c r="D231" s="19" t="s">
        <v>81</v>
      </c>
      <c r="E231" s="19" t="s">
        <v>81</v>
      </c>
      <c r="F231" s="22">
        <v>2.7430574776624823</v>
      </c>
      <c r="G231" s="22">
        <v>2.9612405270923636</v>
      </c>
      <c r="H231" s="22">
        <v>3.2017132776464159</v>
      </c>
      <c r="I231" s="22">
        <v>3.4670502300809174</v>
      </c>
      <c r="J231" s="22">
        <v>3.761310665603554</v>
      </c>
      <c r="K231" s="22">
        <v>4.0905761545720711</v>
      </c>
      <c r="L231" s="22">
        <v>4.4582102530669472</v>
      </c>
      <c r="M231" s="22">
        <v>4.8678013084787208</v>
      </c>
      <c r="N231" s="22">
        <v>5.316645498363922</v>
      </c>
      <c r="O231" s="22">
        <v>5.803331726679029</v>
      </c>
      <c r="P231" s="22">
        <v>6.3229625945953964</v>
      </c>
      <c r="Q231" s="22">
        <v>6.874367679846765</v>
      </c>
      <c r="R231" s="22">
        <v>7.4630795441768534</v>
      </c>
      <c r="S231" s="22"/>
      <c r="T231" s="22"/>
    </row>
    <row r="232" spans="1:20" x14ac:dyDescent="0.35">
      <c r="A232" t="s">
        <v>101</v>
      </c>
      <c r="B232" s="17" t="s">
        <v>47</v>
      </c>
      <c r="C232" s="13" t="s">
        <v>82</v>
      </c>
      <c r="D232" s="13" t="s">
        <v>82</v>
      </c>
      <c r="E232" s="13" t="s">
        <v>82</v>
      </c>
      <c r="F232" s="14">
        <v>98.773956706561236</v>
      </c>
      <c r="G232" s="14">
        <v>107.95750323667976</v>
      </c>
      <c r="H232" s="14">
        <v>117.72806134400682</v>
      </c>
      <c r="I232" s="14">
        <v>128.35676518707123</v>
      </c>
      <c r="J232" s="14">
        <v>140.1590271065333</v>
      </c>
      <c r="K232" s="14">
        <v>153.45866402320621</v>
      </c>
      <c r="L232" s="14">
        <v>168.50928350500004</v>
      </c>
      <c r="M232" s="14">
        <v>185.26027209286838</v>
      </c>
      <c r="N232" s="14">
        <v>203.54997355404083</v>
      </c>
      <c r="O232" s="14">
        <v>223.62543467886272</v>
      </c>
      <c r="P232" s="14">
        <v>245.8076647096598</v>
      </c>
      <c r="Q232" s="14">
        <v>270.35368965738979</v>
      </c>
      <c r="R232" s="14">
        <v>297.25106087674283</v>
      </c>
      <c r="S232" s="22"/>
      <c r="T232" s="22"/>
    </row>
    <row r="233" spans="1:20" x14ac:dyDescent="0.35">
      <c r="A233" t="s">
        <v>101</v>
      </c>
      <c r="B233" s="17" t="s">
        <v>47</v>
      </c>
      <c r="C233" s="13" t="s">
        <v>83</v>
      </c>
      <c r="D233" s="13" t="s">
        <v>83</v>
      </c>
      <c r="E233" s="13" t="s">
        <v>83</v>
      </c>
      <c r="F233" s="14">
        <v>178.77243485056786</v>
      </c>
      <c r="G233" s="14">
        <v>191.28827106825415</v>
      </c>
      <c r="H233" s="14">
        <v>204.99915322820351</v>
      </c>
      <c r="I233" s="14">
        <v>220.03444929066242</v>
      </c>
      <c r="J233" s="14">
        <v>236.6125511368358</v>
      </c>
      <c r="K233" s="14">
        <v>255.07066720433409</v>
      </c>
      <c r="L233" s="14">
        <v>275.56386353047293</v>
      </c>
      <c r="M233" s="14">
        <v>298.25467677141313</v>
      </c>
      <c r="N233" s="14">
        <v>322.91334265071026</v>
      </c>
      <c r="O233" s="14">
        <v>349.3954262404763</v>
      </c>
      <c r="P233" s="14">
        <v>377.35051140200301</v>
      </c>
      <c r="Q233" s="14">
        <v>406.66179496891726</v>
      </c>
      <c r="R233" s="14">
        <v>437.61220461781585</v>
      </c>
      <c r="S233" s="22"/>
      <c r="T233" s="22"/>
    </row>
    <row r="234" spans="1:20" x14ac:dyDescent="0.35">
      <c r="A234" t="s">
        <v>101</v>
      </c>
      <c r="B234" s="17" t="s">
        <v>84</v>
      </c>
      <c r="C234" s="13" t="s">
        <v>85</v>
      </c>
      <c r="D234" s="13" t="s">
        <v>85</v>
      </c>
      <c r="E234" s="13" t="s">
        <v>85</v>
      </c>
      <c r="F234" s="14">
        <v>20.273254140792144</v>
      </c>
      <c r="G234" s="14">
        <v>21.572431113080164</v>
      </c>
      <c r="H234" s="14">
        <v>22.981829168416468</v>
      </c>
      <c r="I234" s="14">
        <v>24.466071474035981</v>
      </c>
      <c r="J234" s="14">
        <v>25.997238898792471</v>
      </c>
      <c r="K234" s="14">
        <v>27.611233210255033</v>
      </c>
      <c r="L234" s="14">
        <v>29.339235226997403</v>
      </c>
      <c r="M234" s="14">
        <v>31.263399013364875</v>
      </c>
      <c r="N234" s="14">
        <v>33.415361852175813</v>
      </c>
      <c r="O234" s="14">
        <v>35.740512910232489</v>
      </c>
      <c r="P234" s="14">
        <v>38.25426103030572</v>
      </c>
      <c r="Q234" s="14">
        <v>40.906555083208268</v>
      </c>
      <c r="R234" s="14">
        <v>43.681381595575758</v>
      </c>
      <c r="S234" s="22"/>
      <c r="T234" s="22"/>
    </row>
    <row r="235" spans="1:20" x14ac:dyDescent="0.35">
      <c r="A235" t="s">
        <v>101</v>
      </c>
      <c r="B235" s="17" t="s">
        <v>84</v>
      </c>
      <c r="C235" s="13" t="s">
        <v>86</v>
      </c>
      <c r="D235" s="13" t="s">
        <v>86</v>
      </c>
      <c r="E235" s="13" t="s">
        <v>86</v>
      </c>
      <c r="F235" s="14">
        <v>51.048807367323754</v>
      </c>
      <c r="G235" s="14">
        <v>54.51715344360467</v>
      </c>
      <c r="H235" s="14">
        <v>58.015224409996513</v>
      </c>
      <c r="I235" s="14">
        <v>61.63612928110512</v>
      </c>
      <c r="J235" s="14">
        <v>65.558254614346225</v>
      </c>
      <c r="K235" s="14">
        <v>69.953709831897427</v>
      </c>
      <c r="L235" s="14">
        <v>74.947742681435116</v>
      </c>
      <c r="M235" s="14">
        <v>80.462071818704615</v>
      </c>
      <c r="N235" s="14">
        <v>86.325002645606631</v>
      </c>
      <c r="O235" s="14">
        <v>92.528436465380722</v>
      </c>
      <c r="P235" s="14">
        <v>99.168999034636215</v>
      </c>
      <c r="Q235" s="14">
        <v>106.35780867196311</v>
      </c>
      <c r="R235" s="14">
        <v>114.03020615227855</v>
      </c>
      <c r="S235" s="22"/>
      <c r="T235" s="22"/>
    </row>
    <row r="236" spans="1:20" x14ac:dyDescent="0.35">
      <c r="A236" t="s">
        <v>101</v>
      </c>
      <c r="B236" s="17" t="s">
        <v>84</v>
      </c>
      <c r="C236" s="40" t="s">
        <v>87</v>
      </c>
      <c r="D236" s="40" t="s">
        <v>87</v>
      </c>
      <c r="E236" s="40" t="s">
        <v>87</v>
      </c>
      <c r="F236" s="42">
        <v>83.914416809759018</v>
      </c>
      <c r="G236" s="42">
        <v>90.719073023137526</v>
      </c>
      <c r="H236" s="42">
        <v>98.689798107604418</v>
      </c>
      <c r="I236" s="42">
        <v>108.00645934578282</v>
      </c>
      <c r="J236" s="42">
        <v>118.68304714666124</v>
      </c>
      <c r="K236" s="42">
        <v>130.81283094176194</v>
      </c>
      <c r="L236" s="42">
        <v>144.24126464138163</v>
      </c>
      <c r="M236" s="42">
        <v>159.10772349815068</v>
      </c>
      <c r="N236" s="42">
        <v>175.39562222571737</v>
      </c>
      <c r="O236" s="42">
        <v>193.22146799037102</v>
      </c>
      <c r="P236" s="42">
        <v>212.23386836941745</v>
      </c>
      <c r="Q236" s="42">
        <v>232.2521932932458</v>
      </c>
      <c r="R236" s="42">
        <v>253.69433287137537</v>
      </c>
      <c r="S236" s="22"/>
      <c r="T236" s="22"/>
    </row>
    <row r="237" spans="1:20" x14ac:dyDescent="0.35">
      <c r="A237" t="s">
        <v>101</v>
      </c>
      <c r="B237" s="17" t="s">
        <v>84</v>
      </c>
      <c r="C237" s="13" t="s">
        <v>88</v>
      </c>
      <c r="D237" s="13" t="s">
        <v>88</v>
      </c>
      <c r="E237" s="13" t="s">
        <v>88</v>
      </c>
      <c r="F237" s="14">
        <v>61.223949761937398</v>
      </c>
      <c r="G237" s="14">
        <v>66.621968035605533</v>
      </c>
      <c r="H237" s="14">
        <v>72.244278364348688</v>
      </c>
      <c r="I237" s="14">
        <v>78.214520676017628</v>
      </c>
      <c r="J237" s="14">
        <v>84.773605104758047</v>
      </c>
      <c r="K237" s="14">
        <v>92.172068972228004</v>
      </c>
      <c r="L237" s="14">
        <v>100.61661405984674</v>
      </c>
      <c r="M237" s="14">
        <v>110.05468365836506</v>
      </c>
      <c r="N237" s="14">
        <v>120.29993989227418</v>
      </c>
      <c r="O237" s="14">
        <v>131.37812369961375</v>
      </c>
      <c r="P237" s="14">
        <v>143.46418155207414</v>
      </c>
      <c r="Q237" s="14">
        <v>156.76576980181667</v>
      </c>
      <c r="R237" s="14">
        <v>171.24532230586561</v>
      </c>
      <c r="S237" s="22"/>
      <c r="T237" s="22"/>
    </row>
    <row r="238" spans="1:20" x14ac:dyDescent="0.35">
      <c r="A238" t="s">
        <v>101</v>
      </c>
      <c r="B238" s="17" t="s">
        <v>84</v>
      </c>
      <c r="C238" s="13" t="s">
        <v>89</v>
      </c>
      <c r="D238" s="13" t="s">
        <v>89</v>
      </c>
      <c r="E238" s="13" t="s">
        <v>89</v>
      </c>
      <c r="F238" s="14">
        <v>21.354363297060665</v>
      </c>
      <c r="G238" s="14">
        <v>23.107721904372919</v>
      </c>
      <c r="H238" s="14">
        <v>25.051260276184252</v>
      </c>
      <c r="I238" s="14">
        <v>27.149914856865685</v>
      </c>
      <c r="J238" s="14">
        <v>29.38818310298279</v>
      </c>
      <c r="K238" s="14">
        <v>31.732608107699452</v>
      </c>
      <c r="L238" s="14">
        <v>34.274635772920597</v>
      </c>
      <c r="M238" s="14">
        <v>37.088848812614209</v>
      </c>
      <c r="N238" s="14">
        <v>40.257760033813142</v>
      </c>
      <c r="O238" s="14">
        <v>43.804780472327032</v>
      </c>
      <c r="P238" s="14">
        <v>47.678922475156405</v>
      </c>
      <c r="Q238" s="14">
        <v>51.83212587608061</v>
      </c>
      <c r="R238" s="14">
        <v>56.279446155305585</v>
      </c>
      <c r="S238" s="22"/>
      <c r="T238" s="22"/>
    </row>
    <row r="239" spans="1:20" x14ac:dyDescent="0.35">
      <c r="A239" t="s">
        <v>101</v>
      </c>
      <c r="B239" s="17" t="s">
        <v>84</v>
      </c>
      <c r="C239" s="13" t="s">
        <v>90</v>
      </c>
      <c r="D239" s="13" t="s">
        <v>90</v>
      </c>
      <c r="E239" s="13" t="s">
        <v>90</v>
      </c>
      <c r="F239" s="14">
        <v>39.731600180256102</v>
      </c>
      <c r="G239" s="14">
        <v>42.70742678513308</v>
      </c>
      <c r="H239" s="14">
        <v>45.744824245659927</v>
      </c>
      <c r="I239" s="14">
        <v>48.918118843926464</v>
      </c>
      <c r="J239" s="14">
        <v>52.371249375828313</v>
      </c>
      <c r="K239" s="14">
        <v>56.246880163698407</v>
      </c>
      <c r="L239" s="14">
        <v>60.653654652891483</v>
      </c>
      <c r="M239" s="14">
        <v>65.538222063082074</v>
      </c>
      <c r="N239" s="14">
        <v>70.769629555163931</v>
      </c>
      <c r="O239" s="14">
        <v>76.347539381414023</v>
      </c>
      <c r="P239" s="14">
        <v>82.357943650072826</v>
      </c>
      <c r="Q239" s="14">
        <v>88.901031899992574</v>
      </c>
      <c r="R239" s="14">
        <v>95.932576414157722</v>
      </c>
      <c r="S239" s="22"/>
      <c r="T239" s="22"/>
    </row>
    <row r="240" spans="1:20" x14ac:dyDescent="0.35">
      <c r="A240" t="s">
        <v>101</v>
      </c>
      <c r="B240" s="17" t="s">
        <v>91</v>
      </c>
      <c r="C240" s="13" t="s">
        <v>92</v>
      </c>
      <c r="D240" s="13" t="s">
        <v>92</v>
      </c>
      <c r="E240" s="13" t="s">
        <v>92</v>
      </c>
      <c r="F240" s="14">
        <v>112.4864515848062</v>
      </c>
      <c r="G240" s="14">
        <v>122.66962708544283</v>
      </c>
      <c r="H240" s="14">
        <v>133.31132100234942</v>
      </c>
      <c r="I240" s="14">
        <v>144.64268522116089</v>
      </c>
      <c r="J240" s="14">
        <v>157.11374812748491</v>
      </c>
      <c r="K240" s="14">
        <v>171.19629474604076</v>
      </c>
      <c r="L240" s="14">
        <v>187.28477280930656</v>
      </c>
      <c r="M240" s="14">
        <v>205.29443356741416</v>
      </c>
      <c r="N240" s="14">
        <v>224.89020254804225</v>
      </c>
      <c r="O240" s="14">
        <v>246.13054982878819</v>
      </c>
      <c r="P240" s="14">
        <v>269.35396538708159</v>
      </c>
      <c r="Q240" s="14">
        <v>294.96326391196681</v>
      </c>
      <c r="R240" s="14">
        <v>322.90332188239944</v>
      </c>
      <c r="S240" s="22"/>
      <c r="T240" s="22"/>
    </row>
    <row r="241" spans="1:20" x14ac:dyDescent="0.35">
      <c r="A241" t="s">
        <v>101</v>
      </c>
      <c r="B241" s="17" t="s">
        <v>91</v>
      </c>
      <c r="C241" s="13" t="s">
        <v>93</v>
      </c>
      <c r="D241" s="13" t="s">
        <v>93</v>
      </c>
      <c r="E241" s="13" t="s">
        <v>93</v>
      </c>
      <c r="F241" s="14">
        <v>165.05993997232287</v>
      </c>
      <c r="G241" s="14">
        <v>176.57614721949108</v>
      </c>
      <c r="H241" s="14">
        <v>189.41589356986088</v>
      </c>
      <c r="I241" s="14">
        <v>203.74852925657279</v>
      </c>
      <c r="J241" s="14">
        <v>219.6578301158842</v>
      </c>
      <c r="K241" s="14">
        <v>237.33303648149953</v>
      </c>
      <c r="L241" s="14">
        <v>256.78837422616641</v>
      </c>
      <c r="M241" s="14">
        <v>278.22051529686735</v>
      </c>
      <c r="N241" s="14">
        <v>301.57311365670887</v>
      </c>
      <c r="O241" s="14">
        <v>326.89031109055088</v>
      </c>
      <c r="P241" s="14">
        <v>353.8042107245812</v>
      </c>
      <c r="Q241" s="14">
        <v>382.05222071434025</v>
      </c>
      <c r="R241" s="14">
        <v>411.95994361215918</v>
      </c>
      <c r="S241" s="22"/>
      <c r="T241" s="22"/>
    </row>
    <row r="242" spans="1:20" x14ac:dyDescent="0.35">
      <c r="A242" t="s">
        <v>101</v>
      </c>
      <c r="B242" s="17" t="s">
        <v>94</v>
      </c>
      <c r="C242" s="13" t="s">
        <v>95</v>
      </c>
      <c r="D242" s="13" t="s">
        <v>95</v>
      </c>
      <c r="E242" s="13" t="s">
        <v>95</v>
      </c>
      <c r="F242" s="14">
        <v>11.673783305447323</v>
      </c>
      <c r="G242" s="14">
        <v>12.862650099103984</v>
      </c>
      <c r="H242" s="14">
        <v>14.174950061955377</v>
      </c>
      <c r="I242" s="14">
        <v>15.659902356715527</v>
      </c>
      <c r="J242" s="14">
        <v>17.331492599194977</v>
      </c>
      <c r="K242" s="14">
        <v>19.203205717702527</v>
      </c>
      <c r="L242" s="14">
        <v>21.280922781270935</v>
      </c>
      <c r="M242" s="14">
        <v>23.565706227824339</v>
      </c>
      <c r="N242" s="14">
        <v>26.072822889470757</v>
      </c>
      <c r="O242" s="14">
        <v>28.881006381999278</v>
      </c>
      <c r="P242" s="14">
        <v>32.032398187791756</v>
      </c>
      <c r="Q242" s="14">
        <v>35.531298373823539</v>
      </c>
      <c r="R242" s="14">
        <v>39.383240274861357</v>
      </c>
      <c r="S242" s="22"/>
      <c r="T242" s="22"/>
    </row>
    <row r="243" spans="1:20" x14ac:dyDescent="0.35">
      <c r="A243" t="s">
        <v>101</v>
      </c>
      <c r="B243" s="17" t="s">
        <v>94</v>
      </c>
      <c r="C243" s="40" t="s">
        <v>96</v>
      </c>
      <c r="D243" s="40" t="s">
        <v>96</v>
      </c>
      <c r="E243" s="40" t="s">
        <v>96</v>
      </c>
      <c r="F243" s="42">
        <v>68.465854197532252</v>
      </c>
      <c r="G243" s="42">
        <v>74.184618391685291</v>
      </c>
      <c r="H243" s="42">
        <v>80.062162188970944</v>
      </c>
      <c r="I243" s="42">
        <v>86.527677786267304</v>
      </c>
      <c r="J243" s="42">
        <v>94.192894560842262</v>
      </c>
      <c r="K243" s="42">
        <v>103.57192185351471</v>
      </c>
      <c r="L243" s="42">
        <v>114.67238016280999</v>
      </c>
      <c r="M243" s="42">
        <v>127.18417489232473</v>
      </c>
      <c r="N243" s="42">
        <v>140.45791662926592</v>
      </c>
      <c r="O243" s="42">
        <v>154.4398926110407</v>
      </c>
      <c r="P243" s="42">
        <v>169.39795170697727</v>
      </c>
      <c r="Q243" s="42">
        <v>185.7050435778807</v>
      </c>
      <c r="R243" s="42">
        <v>203.37816768237838</v>
      </c>
      <c r="S243" s="22"/>
      <c r="T243" s="22"/>
    </row>
    <row r="244" spans="1:20" x14ac:dyDescent="0.35">
      <c r="A244" t="s">
        <v>101</v>
      </c>
      <c r="B244" s="17" t="s">
        <v>94</v>
      </c>
      <c r="C244" s="13" t="s">
        <v>97</v>
      </c>
      <c r="D244" s="13" t="s">
        <v>97</v>
      </c>
      <c r="E244" s="13" t="s">
        <v>97</v>
      </c>
      <c r="F244" s="14">
        <v>24.319760231744205</v>
      </c>
      <c r="G244" s="14">
        <v>26.251888216102991</v>
      </c>
      <c r="H244" s="14">
        <v>28.383924437474008</v>
      </c>
      <c r="I244" s="14">
        <v>30.700953208665329</v>
      </c>
      <c r="J244" s="14">
        <v>33.155898885416477</v>
      </c>
      <c r="K244" s="14">
        <v>35.789492972145013</v>
      </c>
      <c r="L244" s="14">
        <v>38.635780703386601</v>
      </c>
      <c r="M244" s="14">
        <v>41.764085936001869</v>
      </c>
      <c r="N244" s="14">
        <v>45.209212355615392</v>
      </c>
      <c r="O244" s="14">
        <v>48.992125338593794</v>
      </c>
      <c r="P244" s="14">
        <v>53.072266413450485</v>
      </c>
      <c r="Q244" s="14">
        <v>57.408270610633913</v>
      </c>
      <c r="R244" s="14">
        <v>62.052627737193312</v>
      </c>
      <c r="S244" s="22"/>
      <c r="T244" s="22"/>
    </row>
    <row r="245" spans="1:20" x14ac:dyDescent="0.35">
      <c r="A245" t="s">
        <v>101</v>
      </c>
      <c r="B245" s="17" t="s">
        <v>94</v>
      </c>
      <c r="C245" s="13" t="s">
        <v>98</v>
      </c>
      <c r="D245" s="13" t="s">
        <v>98</v>
      </c>
      <c r="E245" s="13" t="s">
        <v>98</v>
      </c>
      <c r="F245" s="14">
        <v>56.574125624332545</v>
      </c>
      <c r="G245" s="14">
        <v>61.393105913499056</v>
      </c>
      <c r="H245" s="14">
        <v>66.745352837673636</v>
      </c>
      <c r="I245" s="14">
        <v>72.541959844728552</v>
      </c>
      <c r="J245" s="14">
        <v>78.745259852864137</v>
      </c>
      <c r="K245" s="14">
        <v>85.269036953597407</v>
      </c>
      <c r="L245" s="14">
        <v>92.361709823225567</v>
      </c>
      <c r="M245" s="14">
        <v>100.22907417397759</v>
      </c>
      <c r="N245" s="14">
        <v>109.10067701512462</v>
      </c>
      <c r="O245" s="14">
        <v>119.04846954930515</v>
      </c>
      <c r="P245" s="14">
        <v>129.94298397379924</v>
      </c>
      <c r="Q245" s="14">
        <v>141.66123369778182</v>
      </c>
      <c r="R245" s="14">
        <v>154.25131626917803</v>
      </c>
      <c r="S245" s="14"/>
      <c r="T245" s="14"/>
    </row>
    <row r="246" spans="1:20" x14ac:dyDescent="0.35">
      <c r="A246" t="s">
        <v>101</v>
      </c>
      <c r="B246" s="17" t="s">
        <v>94</v>
      </c>
      <c r="C246" s="13" t="s">
        <v>48</v>
      </c>
      <c r="D246" s="13" t="s">
        <v>48</v>
      </c>
      <c r="E246" s="13" t="s">
        <v>48</v>
      </c>
      <c r="F246" s="14">
        <v>22.968663031162997</v>
      </c>
      <c r="G246" s="14">
        <v>24.989047828571831</v>
      </c>
      <c r="H246" s="14">
        <v>27.213330058315503</v>
      </c>
      <c r="I246" s="14">
        <v>29.674148497328606</v>
      </c>
      <c r="J246" s="14">
        <v>32.402355728929741</v>
      </c>
      <c r="K246" s="14">
        <v>35.433080681441943</v>
      </c>
      <c r="L246" s="14">
        <v>38.801275009165181</v>
      </c>
      <c r="M246" s="14">
        <v>42.516711333320472</v>
      </c>
      <c r="N246" s="14">
        <v>46.587212588515179</v>
      </c>
      <c r="O246" s="14">
        <v>51.026011039158746</v>
      </c>
      <c r="P246" s="14">
        <v>55.845456541958264</v>
      </c>
      <c r="Q246" s="14">
        <v>61.090185124561131</v>
      </c>
      <c r="R246" s="14">
        <v>66.768215897084204</v>
      </c>
      <c r="S246" s="14"/>
      <c r="T246" s="14"/>
    </row>
    <row r="247" spans="1:20" x14ac:dyDescent="0.35">
      <c r="A247" t="s">
        <v>101</v>
      </c>
      <c r="B247" s="17" t="s">
        <v>94</v>
      </c>
      <c r="C247" s="13" t="s">
        <v>99</v>
      </c>
      <c r="D247" s="13" t="s">
        <v>99</v>
      </c>
      <c r="E247" s="13" t="s">
        <v>99</v>
      </c>
      <c r="F247" s="14">
        <v>50.953738749590535</v>
      </c>
      <c r="G247" s="14">
        <v>53.900408677247874</v>
      </c>
      <c r="H247" s="14">
        <v>57.107319421216154</v>
      </c>
      <c r="I247" s="14">
        <v>60.600210488095463</v>
      </c>
      <c r="J247" s="14">
        <v>64.427939879616119</v>
      </c>
      <c r="K247" s="14">
        <v>68.669250401315935</v>
      </c>
      <c r="L247" s="14">
        <v>73.349995912132741</v>
      </c>
      <c r="M247" s="14">
        <v>78.496498029036957</v>
      </c>
      <c r="N247" s="14">
        <v>84.030262925657965</v>
      </c>
      <c r="O247" s="14">
        <v>89.898121278812852</v>
      </c>
      <c r="P247" s="14">
        <v>95.995937690466519</v>
      </c>
      <c r="Q247" s="14">
        <v>102.28338028897042</v>
      </c>
      <c r="R247" s="14">
        <v>108.82224405800605</v>
      </c>
      <c r="S247" s="14"/>
      <c r="T247" s="14"/>
    </row>
    <row r="248" spans="1:20" x14ac:dyDescent="0.35">
      <c r="A248" t="s">
        <v>101</v>
      </c>
      <c r="B248" s="17" t="s">
        <v>94</v>
      </c>
      <c r="C248" s="13" t="s">
        <v>100</v>
      </c>
      <c r="D248" s="13" t="s">
        <v>100</v>
      </c>
      <c r="E248" s="13" t="s">
        <v>100</v>
      </c>
      <c r="F248" s="14">
        <v>42.59046641731922</v>
      </c>
      <c r="G248" s="14">
        <v>45.664055178722869</v>
      </c>
      <c r="H248" s="14">
        <v>49.040175566604674</v>
      </c>
      <c r="I248" s="14">
        <v>52.686362295932874</v>
      </c>
      <c r="J248" s="14">
        <v>56.515736736505374</v>
      </c>
      <c r="K248" s="14">
        <v>60.593342647822766</v>
      </c>
      <c r="L248" s="14">
        <v>64.971082643481964</v>
      </c>
      <c r="M248" s="14">
        <v>69.758698271795538</v>
      </c>
      <c r="N248" s="14">
        <v>75.005211801101254</v>
      </c>
      <c r="O248" s="14">
        <v>80.735234720428494</v>
      </c>
      <c r="P248" s="14">
        <v>86.871181597219277</v>
      </c>
      <c r="Q248" s="14">
        <v>93.336072952655542</v>
      </c>
      <c r="R248" s="14">
        <v>100.20745357585726</v>
      </c>
      <c r="S248" s="14"/>
      <c r="T248" s="14"/>
    </row>
    <row r="249" spans="1:20" x14ac:dyDescent="0.35">
      <c r="A249" t="s">
        <v>19</v>
      </c>
      <c r="B249" s="17" t="s">
        <v>54</v>
      </c>
      <c r="C249" s="13" t="s">
        <v>55</v>
      </c>
      <c r="D249" s="13" t="s">
        <v>55</v>
      </c>
      <c r="E249" s="13" t="s">
        <v>55</v>
      </c>
      <c r="F249" s="14">
        <v>31.476303600842545</v>
      </c>
      <c r="G249" s="14">
        <v>35.234647900937517</v>
      </c>
      <c r="H249" s="14">
        <v>39.512216600266463</v>
      </c>
      <c r="I249" s="14">
        <v>44.295921409740529</v>
      </c>
      <c r="J249" s="14">
        <v>49.599723379469751</v>
      </c>
      <c r="K249" s="14">
        <v>55.406313719518508</v>
      </c>
      <c r="L249" s="14">
        <v>61.911144593225906</v>
      </c>
      <c r="M249" s="14">
        <v>69.303480121088768</v>
      </c>
      <c r="N249" s="14">
        <v>77.809489408414777</v>
      </c>
      <c r="O249" s="14">
        <v>87.566981443568153</v>
      </c>
      <c r="P249" s="14">
        <v>98.577274804912889</v>
      </c>
      <c r="Q249" s="14">
        <v>110.84051844769955</v>
      </c>
      <c r="R249" s="14">
        <v>124.4846521158595</v>
      </c>
      <c r="S249" s="14"/>
      <c r="T249" s="14"/>
    </row>
    <row r="250" spans="1:20" x14ac:dyDescent="0.35">
      <c r="A250" t="s">
        <v>19</v>
      </c>
      <c r="B250" s="17" t="s">
        <v>54</v>
      </c>
      <c r="C250" s="13" t="s">
        <v>56</v>
      </c>
      <c r="D250" s="13" t="s">
        <v>56</v>
      </c>
      <c r="E250" s="13" t="s">
        <v>56</v>
      </c>
      <c r="F250" s="14">
        <v>77.323575844596277</v>
      </c>
      <c r="G250" s="14">
        <v>84.268879839370257</v>
      </c>
      <c r="H250" s="14">
        <v>91.92630174176935</v>
      </c>
      <c r="I250" s="14">
        <v>100.40977421187978</v>
      </c>
      <c r="J250" s="14">
        <v>109.82795891168307</v>
      </c>
      <c r="K250" s="14">
        <v>120.30474743196392</v>
      </c>
      <c r="L250" s="14">
        <v>131.96426690109126</v>
      </c>
      <c r="M250" s="14">
        <v>144.84584740289492</v>
      </c>
      <c r="N250" s="14">
        <v>158.98243841256189</v>
      </c>
      <c r="O250" s="14">
        <v>174.42566899312575</v>
      </c>
      <c r="P250" s="14">
        <v>191.22449944369575</v>
      </c>
      <c r="Q250" s="14">
        <v>209.53877337602216</v>
      </c>
      <c r="R250" s="14">
        <v>229.40382266291249</v>
      </c>
      <c r="S250" s="14"/>
      <c r="T250" s="14"/>
    </row>
    <row r="251" spans="1:20" x14ac:dyDescent="0.35">
      <c r="A251" t="s">
        <v>19</v>
      </c>
      <c r="B251" s="17" t="s">
        <v>54</v>
      </c>
      <c r="C251" s="13" t="s">
        <v>57</v>
      </c>
      <c r="D251" s="13" t="s">
        <v>57</v>
      </c>
      <c r="E251" s="13" t="s">
        <v>57</v>
      </c>
      <c r="F251" s="14">
        <v>204.9651171765409</v>
      </c>
      <c r="G251" s="14">
        <v>222.05968753881268</v>
      </c>
      <c r="H251" s="14">
        <v>241.02410444328274</v>
      </c>
      <c r="I251" s="14">
        <v>261.52778555733374</v>
      </c>
      <c r="J251" s="14">
        <v>283.42699073982709</v>
      </c>
      <c r="K251" s="14">
        <v>306.4041353020433</v>
      </c>
      <c r="L251" s="14">
        <v>331.34614885851312</v>
      </c>
      <c r="M251" s="14">
        <v>358.98119297702488</v>
      </c>
      <c r="N251" s="14">
        <v>390.11766841375425</v>
      </c>
      <c r="O251" s="14">
        <v>424.99510079080318</v>
      </c>
      <c r="P251" s="14">
        <v>463.132322264278</v>
      </c>
      <c r="Q251" s="14">
        <v>504.07430321739218</v>
      </c>
      <c r="R251" s="14">
        <v>547.97765538645331</v>
      </c>
      <c r="S251" s="14"/>
      <c r="T251" s="14"/>
    </row>
    <row r="252" spans="1:20" x14ac:dyDescent="0.35">
      <c r="A252" t="s">
        <v>19</v>
      </c>
      <c r="B252" s="17" t="s">
        <v>59</v>
      </c>
      <c r="C252" s="18" t="s">
        <v>60</v>
      </c>
      <c r="D252" s="38" t="s">
        <v>61</v>
      </c>
      <c r="E252" s="39" t="s">
        <v>62</v>
      </c>
      <c r="F252" s="22">
        <v>12.373431280220943</v>
      </c>
      <c r="G252" s="22">
        <v>13.856774594685618</v>
      </c>
      <c r="H252" s="22">
        <v>15.545656617645657</v>
      </c>
      <c r="I252" s="22">
        <v>17.43519993076276</v>
      </c>
      <c r="J252" s="22">
        <v>19.531166502124542</v>
      </c>
      <c r="K252" s="22">
        <v>21.827015864307032</v>
      </c>
      <c r="L252" s="22">
        <v>24.400013376018041</v>
      </c>
      <c r="M252" s="22">
        <v>27.325119265765927</v>
      </c>
      <c r="N252" s="22">
        <v>30.691974450978755</v>
      </c>
      <c r="O252" s="22">
        <v>34.555520806656034</v>
      </c>
      <c r="P252" s="22">
        <v>38.916933996787137</v>
      </c>
      <c r="Q252" s="22">
        <v>43.776932209405345</v>
      </c>
      <c r="R252" s="22">
        <v>49.18670901076726</v>
      </c>
      <c r="S252" s="14"/>
      <c r="T252" s="14"/>
    </row>
    <row r="253" spans="1:20" x14ac:dyDescent="0.35">
      <c r="A253" t="s">
        <v>19</v>
      </c>
      <c r="B253" s="17" t="s">
        <v>59</v>
      </c>
      <c r="C253" s="18" t="s">
        <v>60</v>
      </c>
      <c r="D253" s="38" t="s">
        <v>61</v>
      </c>
      <c r="E253" s="39" t="s">
        <v>63</v>
      </c>
      <c r="F253" s="22">
        <v>19.999149867362934</v>
      </c>
      <c r="G253" s="22">
        <v>21.896695669762565</v>
      </c>
      <c r="H253" s="22">
        <v>24.01807652007636</v>
      </c>
      <c r="I253" s="22">
        <v>26.336973528684581</v>
      </c>
      <c r="J253" s="22">
        <v>28.844639417489489</v>
      </c>
      <c r="K253" s="22">
        <v>31.514152814164362</v>
      </c>
      <c r="L253" s="22">
        <v>34.441229027242919</v>
      </c>
      <c r="M253" s="22">
        <v>37.709058410169916</v>
      </c>
      <c r="N253" s="22">
        <v>41.412640630325924</v>
      </c>
      <c r="O253" s="22">
        <v>45.590402614545269</v>
      </c>
      <c r="P253" s="22">
        <v>50.204819556641631</v>
      </c>
      <c r="Q253" s="22">
        <v>55.219343365250189</v>
      </c>
      <c r="R253" s="22">
        <v>60.662643624510046</v>
      </c>
      <c r="S253" s="14"/>
      <c r="T253" s="14"/>
    </row>
    <row r="254" spans="1:20" x14ac:dyDescent="0.35">
      <c r="A254" t="s">
        <v>19</v>
      </c>
      <c r="B254" s="17" t="s">
        <v>59</v>
      </c>
      <c r="C254" s="18" t="s">
        <v>60</v>
      </c>
      <c r="D254" s="38" t="s">
        <v>61</v>
      </c>
      <c r="E254" s="39" t="s">
        <v>64</v>
      </c>
      <c r="F254" s="22">
        <v>29.949150619781129</v>
      </c>
      <c r="G254" s="22">
        <v>32.497894199433588</v>
      </c>
      <c r="H254" s="22">
        <v>35.490418805183189</v>
      </c>
      <c r="I254" s="22">
        <v>38.633917448568184</v>
      </c>
      <c r="J254" s="22">
        <v>42.046261219851438</v>
      </c>
      <c r="K254" s="22">
        <v>45.060241898057072</v>
      </c>
      <c r="L254" s="22">
        <v>48.295409825224652</v>
      </c>
      <c r="M254" s="22">
        <v>51.814031624901247</v>
      </c>
      <c r="N254" s="22">
        <v>56.076277259808791</v>
      </c>
      <c r="O254" s="22">
        <v>61.129116032684635</v>
      </c>
      <c r="P254" s="22">
        <v>66.301325678716381</v>
      </c>
      <c r="Q254" s="22">
        <v>71.558259609214389</v>
      </c>
      <c r="R254" s="22">
        <v>76.887148249210583</v>
      </c>
      <c r="S254" s="14"/>
      <c r="T254" s="14"/>
    </row>
    <row r="255" spans="1:20" x14ac:dyDescent="0.35">
      <c r="A255" t="s">
        <v>19</v>
      </c>
      <c r="B255" s="17" t="s">
        <v>59</v>
      </c>
      <c r="C255" s="18" t="s">
        <v>60</v>
      </c>
      <c r="D255" s="38" t="s">
        <v>65</v>
      </c>
      <c r="E255" s="38" t="s">
        <v>65</v>
      </c>
      <c r="F255" s="41">
        <v>57.85202928503206</v>
      </c>
      <c r="G255" s="41">
        <v>62.852298668686259</v>
      </c>
      <c r="H255" s="41">
        <v>68.363316950059243</v>
      </c>
      <c r="I255" s="41">
        <v>74.30628011430025</v>
      </c>
      <c r="J255" s="41">
        <v>80.617264678559593</v>
      </c>
      <c r="K255" s="41">
        <v>87.423945455683238</v>
      </c>
      <c r="L255" s="41">
        <v>94.849040204993486</v>
      </c>
      <c r="M255" s="41">
        <v>103.1893105800596</v>
      </c>
      <c r="N255" s="41">
        <v>112.59832327113548</v>
      </c>
      <c r="O255" s="41">
        <v>122.94971775338048</v>
      </c>
      <c r="P255" s="41">
        <v>134.34494942042349</v>
      </c>
      <c r="Q255" s="41">
        <v>146.66196954866555</v>
      </c>
      <c r="R255" s="41">
        <v>159.88824635566726</v>
      </c>
      <c r="S255" s="14"/>
      <c r="T255" s="14"/>
    </row>
    <row r="256" spans="1:20" x14ac:dyDescent="0.35">
      <c r="A256" t="s">
        <v>19</v>
      </c>
      <c r="B256" s="17" t="s">
        <v>59</v>
      </c>
      <c r="C256" s="18" t="s">
        <v>60</v>
      </c>
      <c r="D256" s="38" t="s">
        <v>66</v>
      </c>
      <c r="E256" s="38" t="s">
        <v>66</v>
      </c>
      <c r="F256" s="41">
        <v>35.483059506084238</v>
      </c>
      <c r="G256" s="41">
        <v>38.358560787023322</v>
      </c>
      <c r="H256" s="41">
        <v>41.534897332695571</v>
      </c>
      <c r="I256" s="41">
        <v>44.991580984323527</v>
      </c>
      <c r="J256" s="41">
        <v>48.660871472644075</v>
      </c>
      <c r="K256" s="41">
        <v>52.603497261993958</v>
      </c>
      <c r="L256" s="41">
        <v>56.870717009689258</v>
      </c>
      <c r="M256" s="41">
        <v>61.566019937769568</v>
      </c>
      <c r="N256" s="41">
        <v>66.742616437931147</v>
      </c>
      <c r="O256" s="41">
        <v>72.433598035586925</v>
      </c>
      <c r="P256" s="41">
        <v>78.581286775967385</v>
      </c>
      <c r="Q256" s="41">
        <v>85.126469322783436</v>
      </c>
      <c r="R256" s="41">
        <v>92.148752726359689</v>
      </c>
      <c r="S256" s="14"/>
      <c r="T256" s="14"/>
    </row>
    <row r="257" spans="1:20" x14ac:dyDescent="0.35">
      <c r="A257" t="s">
        <v>19</v>
      </c>
      <c r="B257" s="17" t="s">
        <v>59</v>
      </c>
      <c r="C257" s="18" t="s">
        <v>60</v>
      </c>
      <c r="D257" s="38" t="s">
        <v>67</v>
      </c>
      <c r="E257" s="38" t="s">
        <v>67</v>
      </c>
      <c r="F257" s="41">
        <v>23.360999099052243</v>
      </c>
      <c r="G257" s="41">
        <v>25.044763521353577</v>
      </c>
      <c r="H257" s="41">
        <v>26.881192690023799</v>
      </c>
      <c r="I257" s="41">
        <v>28.832118737593582</v>
      </c>
      <c r="J257" s="41">
        <v>30.866970710259302</v>
      </c>
      <c r="K257" s="41">
        <v>33.030000653541833</v>
      </c>
      <c r="L257" s="41">
        <v>35.361121810426305</v>
      </c>
      <c r="M257" s="41">
        <v>37.962847245262594</v>
      </c>
      <c r="N257" s="41">
        <v>40.879376155834493</v>
      </c>
      <c r="O257" s="41">
        <v>44.050629480465531</v>
      </c>
      <c r="P257" s="41">
        <v>47.500933524824347</v>
      </c>
      <c r="Q257" s="41">
        <v>51.173984714719225</v>
      </c>
      <c r="R257" s="41">
        <v>55.054296820217829</v>
      </c>
      <c r="S257" s="14"/>
      <c r="T257" s="14"/>
    </row>
    <row r="258" spans="1:20" x14ac:dyDescent="0.35">
      <c r="A258" t="s">
        <v>19</v>
      </c>
      <c r="B258" s="17" t="s">
        <v>59</v>
      </c>
      <c r="C258" s="18" t="s">
        <v>60</v>
      </c>
      <c r="D258" s="38" t="s">
        <v>68</v>
      </c>
      <c r="E258" s="38" t="s">
        <v>68</v>
      </c>
      <c r="F258" s="41">
        <v>38.489046581921478</v>
      </c>
      <c r="G258" s="41">
        <v>42.248795140497229</v>
      </c>
      <c r="H258" s="41">
        <v>46.38355486924133</v>
      </c>
      <c r="I258" s="41">
        <v>51.049822174465639</v>
      </c>
      <c r="J258" s="41">
        <v>56.286828942237548</v>
      </c>
      <c r="K258" s="41">
        <v>62.131527768369303</v>
      </c>
      <c r="L258" s="41">
        <v>68.595643340228392</v>
      </c>
      <c r="M258" s="41">
        <v>75.675114345896105</v>
      </c>
      <c r="N258" s="41">
        <v>83.411472491705098</v>
      </c>
      <c r="O258" s="41">
        <v>92.048583681538616</v>
      </c>
      <c r="P258" s="41">
        <v>101.70993538836599</v>
      </c>
      <c r="Q258" s="41">
        <v>112.39689267789383</v>
      </c>
      <c r="R258" s="41">
        <v>124.11456990294408</v>
      </c>
      <c r="S258" s="14"/>
      <c r="T258" s="14"/>
    </row>
    <row r="259" spans="1:20" x14ac:dyDescent="0.35">
      <c r="A259" t="s">
        <v>19</v>
      </c>
      <c r="B259" s="17" t="s">
        <v>59</v>
      </c>
      <c r="C259" s="18" t="s">
        <v>60</v>
      </c>
      <c r="D259" s="38" t="s">
        <v>69</v>
      </c>
      <c r="E259" s="38" t="s">
        <v>69</v>
      </c>
      <c r="F259" s="41">
        <v>43.246302303890971</v>
      </c>
      <c r="G259" s="41">
        <v>46.143344498885746</v>
      </c>
      <c r="H259" s="41">
        <v>49.316027613109178</v>
      </c>
      <c r="I259" s="41">
        <v>52.727427015975906</v>
      </c>
      <c r="J259" s="41">
        <v>56.286828942237548</v>
      </c>
      <c r="K259" s="41">
        <v>60.056535808109231</v>
      </c>
      <c r="L259" s="41">
        <v>64.084594421084503</v>
      </c>
      <c r="M259" s="41">
        <v>68.475135622414285</v>
      </c>
      <c r="N259" s="41">
        <v>73.27063381065939</v>
      </c>
      <c r="O259" s="41">
        <v>78.488839213443882</v>
      </c>
      <c r="P259" s="41">
        <v>84.047740280898054</v>
      </c>
      <c r="Q259" s="41">
        <v>89.867418225200495</v>
      </c>
      <c r="R259" s="41">
        <v>96.018215275484991</v>
      </c>
      <c r="S259" s="22"/>
      <c r="T259" s="22"/>
    </row>
    <row r="260" spans="1:20" x14ac:dyDescent="0.35">
      <c r="A260" t="s">
        <v>19</v>
      </c>
      <c r="B260" s="17" t="s">
        <v>59</v>
      </c>
      <c r="C260" s="18" t="s">
        <v>70</v>
      </c>
      <c r="D260" s="19" t="s">
        <v>71</v>
      </c>
      <c r="E260" s="19" t="s">
        <v>71</v>
      </c>
      <c r="F260" s="22">
        <v>7.7651846045273771</v>
      </c>
      <c r="G260" s="22">
        <v>8.7296148231858126</v>
      </c>
      <c r="H260" s="22">
        <v>9.8247385844492001</v>
      </c>
      <c r="I260" s="22">
        <v>11.049876262453065</v>
      </c>
      <c r="J260" s="22">
        <v>12.405687955616841</v>
      </c>
      <c r="K260" s="22">
        <v>13.921653902715827</v>
      </c>
      <c r="L260" s="22">
        <v>15.629830600912715</v>
      </c>
      <c r="M260" s="22">
        <v>17.594488815872367</v>
      </c>
      <c r="N260" s="22">
        <v>19.863285212621495</v>
      </c>
      <c r="O260" s="22">
        <v>22.439538700545768</v>
      </c>
      <c r="P260" s="22">
        <v>25.366760025731359</v>
      </c>
      <c r="Q260" s="22">
        <v>28.650468460570494</v>
      </c>
      <c r="R260" s="22">
        <v>32.316274835316243</v>
      </c>
      <c r="S260" s="22"/>
      <c r="T260" s="22"/>
    </row>
    <row r="261" spans="1:20" x14ac:dyDescent="0.35">
      <c r="A261" t="s">
        <v>19</v>
      </c>
      <c r="B261" s="17" t="s">
        <v>59</v>
      </c>
      <c r="C261" s="18" t="s">
        <v>70</v>
      </c>
      <c r="D261" s="19" t="s">
        <v>72</v>
      </c>
      <c r="E261" s="19" t="s">
        <v>72</v>
      </c>
      <c r="F261" s="22">
        <v>6.1251453281218753</v>
      </c>
      <c r="G261" s="22">
        <v>6.9432784763047355</v>
      </c>
      <c r="H261" s="22">
        <v>7.8719622333439148</v>
      </c>
      <c r="I261" s="22">
        <v>8.9463886673966577</v>
      </c>
      <c r="J261" s="22">
        <v>10.185214625039507</v>
      </c>
      <c r="K261" s="22">
        <v>11.608331129778607</v>
      </c>
      <c r="L261" s="22">
        <v>13.232629297444772</v>
      </c>
      <c r="M261" s="22">
        <v>15.073179945420744</v>
      </c>
      <c r="N261" s="22">
        <v>17.155045306098256</v>
      </c>
      <c r="O261" s="22">
        <v>19.547045869153422</v>
      </c>
      <c r="P261" s="22">
        <v>22.300154563483989</v>
      </c>
      <c r="Q261" s="22">
        <v>25.443559504852185</v>
      </c>
      <c r="R261" s="22">
        <v>29.009186119706403</v>
      </c>
      <c r="S261" s="22"/>
      <c r="T261" s="22"/>
    </row>
    <row r="262" spans="1:20" x14ac:dyDescent="0.35">
      <c r="A262" t="s">
        <v>19</v>
      </c>
      <c r="B262" s="17" t="s">
        <v>59</v>
      </c>
      <c r="C262" s="18" t="s">
        <v>70</v>
      </c>
      <c r="D262" s="19" t="s">
        <v>73</v>
      </c>
      <c r="E262" s="19" t="s">
        <v>73</v>
      </c>
      <c r="F262" s="22">
        <v>5.8676752975183604</v>
      </c>
      <c r="G262" s="22">
        <v>6.4381165570554959</v>
      </c>
      <c r="H262" s="22">
        <v>7.0396968684513839</v>
      </c>
      <c r="I262" s="22">
        <v>7.685158493467263</v>
      </c>
      <c r="J262" s="22">
        <v>8.3991817287055657</v>
      </c>
      <c r="K262" s="22">
        <v>9.2082109262145</v>
      </c>
      <c r="L262" s="22">
        <v>10.135168025135751</v>
      </c>
      <c r="M262" s="22">
        <v>11.177585053832434</v>
      </c>
      <c r="N262" s="22">
        <v>12.319281435665539</v>
      </c>
      <c r="O262" s="22">
        <v>13.565219144451598</v>
      </c>
      <c r="P262" s="22">
        <v>14.935898115182537</v>
      </c>
      <c r="Q262" s="22">
        <v>16.455869493577662</v>
      </c>
      <c r="R262" s="22">
        <v>18.124715667669985</v>
      </c>
      <c r="S262" s="22"/>
      <c r="T262" s="22"/>
    </row>
    <row r="263" spans="1:20" x14ac:dyDescent="0.35">
      <c r="A263" t="s">
        <v>19</v>
      </c>
      <c r="B263" s="17" t="s">
        <v>59</v>
      </c>
      <c r="C263" s="18" t="s">
        <v>70</v>
      </c>
      <c r="D263" s="19" t="s">
        <v>74</v>
      </c>
      <c r="E263" s="19" t="s">
        <v>74</v>
      </c>
      <c r="F263" s="22">
        <v>6.4504020231133667</v>
      </c>
      <c r="G263" s="22">
        <v>7.1451637995794997</v>
      </c>
      <c r="H263" s="22">
        <v>7.9273880449331662</v>
      </c>
      <c r="I263" s="22">
        <v>8.7985539461082887</v>
      </c>
      <c r="J263" s="22">
        <v>9.7507741907961165</v>
      </c>
      <c r="K263" s="22">
        <v>10.800855442663861</v>
      </c>
      <c r="L263" s="22">
        <v>11.965080087332176</v>
      </c>
      <c r="M263" s="22">
        <v>13.272032692275376</v>
      </c>
      <c r="N263" s="22">
        <v>14.741931845451928</v>
      </c>
      <c r="O263" s="22">
        <v>16.392101923300491</v>
      </c>
      <c r="P263" s="22">
        <v>18.220526552242887</v>
      </c>
      <c r="Q263" s="22">
        <v>20.224082182421096</v>
      </c>
      <c r="R263" s="22">
        <v>22.43178230540687</v>
      </c>
      <c r="S263" s="22"/>
      <c r="T263" s="22"/>
    </row>
    <row r="264" spans="1:20" x14ac:dyDescent="0.35">
      <c r="A264" t="s">
        <v>19</v>
      </c>
      <c r="B264" s="17" t="s">
        <v>59</v>
      </c>
      <c r="C264" s="18" t="s">
        <v>70</v>
      </c>
      <c r="D264" s="19" t="s">
        <v>75</v>
      </c>
      <c r="E264" s="19" t="s">
        <v>75</v>
      </c>
      <c r="F264" s="22">
        <v>4.822666249624187</v>
      </c>
      <c r="G264" s="22">
        <v>5.3856031333076215</v>
      </c>
      <c r="H264" s="22">
        <v>6.0237705296547404</v>
      </c>
      <c r="I264" s="22">
        <v>6.7400703779113691</v>
      </c>
      <c r="J264" s="22">
        <v>7.5303008602187829</v>
      </c>
      <c r="K264" s="22">
        <v>8.4091706663831243</v>
      </c>
      <c r="L264" s="22">
        <v>9.3914380287774986</v>
      </c>
      <c r="M264" s="22">
        <v>10.501971835838525</v>
      </c>
      <c r="N264" s="22">
        <v>11.759799796503664</v>
      </c>
      <c r="O264" s="22">
        <v>13.182220385696032</v>
      </c>
      <c r="P264" s="22">
        <v>14.771495888020581</v>
      </c>
      <c r="Q264" s="22">
        <v>16.529015567891513</v>
      </c>
      <c r="R264" s="22">
        <v>18.482430633364682</v>
      </c>
      <c r="S264" s="22"/>
      <c r="T264" s="22"/>
    </row>
    <row r="265" spans="1:20" x14ac:dyDescent="0.35">
      <c r="A265" t="s">
        <v>19</v>
      </c>
      <c r="B265" s="17" t="s">
        <v>59</v>
      </c>
      <c r="C265" s="18" t="s">
        <v>76</v>
      </c>
      <c r="D265" s="19" t="s">
        <v>77</v>
      </c>
      <c r="E265" s="19" t="s">
        <v>77</v>
      </c>
      <c r="F265" s="22">
        <v>6.4492691809352394</v>
      </c>
      <c r="G265" s="22">
        <v>7.0906002037068632</v>
      </c>
      <c r="H265" s="22">
        <v>7.7689243278014679</v>
      </c>
      <c r="I265" s="22">
        <v>8.4985326024030829</v>
      </c>
      <c r="J265" s="22">
        <v>9.3070338084190709</v>
      </c>
      <c r="K265" s="22">
        <v>10.224216163728812</v>
      </c>
      <c r="L265" s="22">
        <v>11.276198082523829</v>
      </c>
      <c r="M265" s="22">
        <v>12.461059503233795</v>
      </c>
      <c r="N265" s="22">
        <v>13.761575906302463</v>
      </c>
      <c r="O265" s="22">
        <v>15.18400058444572</v>
      </c>
      <c r="P265" s="22">
        <v>16.752029112857798</v>
      </c>
      <c r="Q265" s="22">
        <v>18.494092081029883</v>
      </c>
      <c r="R265" s="22">
        <v>20.410787837351414</v>
      </c>
      <c r="S265" s="22"/>
      <c r="T265" s="22"/>
    </row>
    <row r="266" spans="1:20" x14ac:dyDescent="0.35">
      <c r="A266" t="s">
        <v>19</v>
      </c>
      <c r="B266" s="17" t="s">
        <v>59</v>
      </c>
      <c r="C266" s="18" t="s">
        <v>76</v>
      </c>
      <c r="D266" s="19" t="s">
        <v>78</v>
      </c>
      <c r="E266" s="19" t="s">
        <v>78</v>
      </c>
      <c r="F266" s="22">
        <v>6.0689184228757771</v>
      </c>
      <c r="G266" s="22">
        <v>6.5696145703743358</v>
      </c>
      <c r="H266" s="22">
        <v>7.1128234029691431</v>
      </c>
      <c r="I266" s="22">
        <v>7.7203998741469348</v>
      </c>
      <c r="J266" s="22">
        <v>8.3951960366482865</v>
      </c>
      <c r="K266" s="22">
        <v>9.1394795486840401</v>
      </c>
      <c r="L266" s="22">
        <v>9.9515892988802701</v>
      </c>
      <c r="M266" s="22">
        <v>10.82756751808772</v>
      </c>
      <c r="N266" s="22">
        <v>11.770099876048249</v>
      </c>
      <c r="O266" s="22">
        <v>12.810180665289623</v>
      </c>
      <c r="P266" s="22">
        <v>13.96024508488067</v>
      </c>
      <c r="Q266" s="22">
        <v>15.215145561331827</v>
      </c>
      <c r="R266" s="22">
        <v>16.570370616190651</v>
      </c>
      <c r="S266" s="22"/>
      <c r="T266" s="22"/>
    </row>
    <row r="267" spans="1:20" x14ac:dyDescent="0.35">
      <c r="A267" t="s">
        <v>19</v>
      </c>
      <c r="B267" s="17" t="s">
        <v>59</v>
      </c>
      <c r="C267" s="18" t="s">
        <v>76</v>
      </c>
      <c r="D267" s="19" t="s">
        <v>79</v>
      </c>
      <c r="E267" s="19" t="s">
        <v>79</v>
      </c>
      <c r="F267" s="22">
        <v>3.6456501890074202</v>
      </c>
      <c r="G267" s="22">
        <v>4.0789521125662214</v>
      </c>
      <c r="H267" s="22">
        <v>4.564501706445184</v>
      </c>
      <c r="I267" s="22">
        <v>5.1203332257656351</v>
      </c>
      <c r="J267" s="22">
        <v>5.7540107666915219</v>
      </c>
      <c r="K267" s="22">
        <v>6.4733120027043762</v>
      </c>
      <c r="L267" s="22">
        <v>7.2838361634236595</v>
      </c>
      <c r="M267" s="22">
        <v>8.1897759616533659</v>
      </c>
      <c r="N267" s="22">
        <v>9.2004115567169862</v>
      </c>
      <c r="O267" s="22">
        <v>10.347878975648067</v>
      </c>
      <c r="P267" s="22">
        <v>11.653058660418731</v>
      </c>
      <c r="Q267" s="22">
        <v>13.124185000819523</v>
      </c>
      <c r="R267" s="22">
        <v>14.770267261164463</v>
      </c>
      <c r="S267" s="22"/>
      <c r="T267" s="22"/>
    </row>
    <row r="268" spans="1:20" x14ac:dyDescent="0.35">
      <c r="A268" t="s">
        <v>19</v>
      </c>
      <c r="B268" s="17" t="s">
        <v>59</v>
      </c>
      <c r="C268" s="18" t="s">
        <v>76</v>
      </c>
      <c r="D268" s="19" t="s">
        <v>80</v>
      </c>
      <c r="E268" s="19" t="s">
        <v>80</v>
      </c>
      <c r="F268" s="22">
        <v>2.6588107740006079</v>
      </c>
      <c r="G268" s="22">
        <v>2.8537023533741492</v>
      </c>
      <c r="H268" s="22">
        <v>3.0658691334061725</v>
      </c>
      <c r="I268" s="22">
        <v>3.2981533827996694</v>
      </c>
      <c r="J268" s="22">
        <v>3.5530230417275517</v>
      </c>
      <c r="K268" s="22">
        <v>3.833256046534081</v>
      </c>
      <c r="L268" s="22">
        <v>4.1414326598438631</v>
      </c>
      <c r="M268" s="22">
        <v>4.4772744345529665</v>
      </c>
      <c r="N268" s="22">
        <v>4.8402760517696048</v>
      </c>
      <c r="O268" s="22">
        <v>5.2304843375030217</v>
      </c>
      <c r="P268" s="22">
        <v>5.6478161946757419</v>
      </c>
      <c r="Q268" s="22">
        <v>6.0954206676606439</v>
      </c>
      <c r="R268" s="22">
        <v>6.5725865035319693</v>
      </c>
      <c r="S268" s="14"/>
      <c r="T268" s="14"/>
    </row>
    <row r="269" spans="1:20" x14ac:dyDescent="0.35">
      <c r="A269" t="s">
        <v>19</v>
      </c>
      <c r="B269" s="17" t="s">
        <v>59</v>
      </c>
      <c r="C269" s="18" t="s">
        <v>76</v>
      </c>
      <c r="D269" s="19" t="s">
        <v>81</v>
      </c>
      <c r="E269" s="19" t="s">
        <v>81</v>
      </c>
      <c r="F269" s="22">
        <v>3.1581060089094657</v>
      </c>
      <c r="G269" s="22">
        <v>3.4294421693378325</v>
      </c>
      <c r="H269" s="22">
        <v>3.729806555829871</v>
      </c>
      <c r="I269" s="22">
        <v>4.0626944118276418</v>
      </c>
      <c r="J269" s="22">
        <v>4.4334181317131396</v>
      </c>
      <c r="K269" s="22">
        <v>4.849793099892497</v>
      </c>
      <c r="L269" s="22">
        <v>5.3165890936481039</v>
      </c>
      <c r="M269" s="22">
        <v>5.838947708001883</v>
      </c>
      <c r="N269" s="22">
        <v>6.414574739173668</v>
      </c>
      <c r="O269" s="22">
        <v>7.0426730231618411</v>
      </c>
      <c r="P269" s="22">
        <v>7.7181876927679332</v>
      </c>
      <c r="Q269" s="22">
        <v>8.4404868478266053</v>
      </c>
      <c r="R269" s="22">
        <v>9.2171464203609226</v>
      </c>
      <c r="S269" s="14"/>
      <c r="T269" s="14"/>
    </row>
    <row r="270" spans="1:20" x14ac:dyDescent="0.35">
      <c r="A270" t="s">
        <v>19</v>
      </c>
      <c r="B270" s="17" t="s">
        <v>47</v>
      </c>
      <c r="C270" s="13" t="s">
        <v>82</v>
      </c>
      <c r="D270" s="13" t="s">
        <v>82</v>
      </c>
      <c r="E270" s="13" t="s">
        <v>82</v>
      </c>
      <c r="F270" s="14">
        <v>108.79987944543882</v>
      </c>
      <c r="G270" s="14">
        <v>119.50352774030777</v>
      </c>
      <c r="H270" s="14">
        <v>131.43851834203582</v>
      </c>
      <c r="I270" s="14">
        <v>144.70569562162029</v>
      </c>
      <c r="J270" s="14">
        <v>159.42768229115282</v>
      </c>
      <c r="K270" s="14">
        <v>175.71106115148243</v>
      </c>
      <c r="L270" s="14">
        <v>193.87541149431718</v>
      </c>
      <c r="M270" s="14">
        <v>214.14932752398369</v>
      </c>
      <c r="N270" s="14">
        <v>236.79192782097667</v>
      </c>
      <c r="O270" s="14">
        <v>261.99265043669391</v>
      </c>
      <c r="P270" s="14">
        <v>289.80177424860864</v>
      </c>
      <c r="Q270" s="14">
        <v>320.3792918237217</v>
      </c>
      <c r="R270" s="14">
        <v>353.88847477877198</v>
      </c>
      <c r="S270" s="14"/>
      <c r="T270" s="14"/>
    </row>
    <row r="271" spans="1:20" x14ac:dyDescent="0.35">
      <c r="A271" t="s">
        <v>19</v>
      </c>
      <c r="B271" s="17" t="s">
        <v>47</v>
      </c>
      <c r="C271" s="13" t="s">
        <v>83</v>
      </c>
      <c r="D271" s="13" t="s">
        <v>83</v>
      </c>
      <c r="E271" s="13" t="s">
        <v>83</v>
      </c>
      <c r="F271" s="14">
        <v>204.9651171765409</v>
      </c>
      <c r="G271" s="14">
        <v>222.05968753881268</v>
      </c>
      <c r="H271" s="14">
        <v>241.02410444328274</v>
      </c>
      <c r="I271" s="14">
        <v>261.52778555733374</v>
      </c>
      <c r="J271" s="14">
        <v>283.42699073982709</v>
      </c>
      <c r="K271" s="14">
        <v>306.4041353020433</v>
      </c>
      <c r="L271" s="14">
        <v>331.34614885851312</v>
      </c>
      <c r="M271" s="14">
        <v>358.98119297702488</v>
      </c>
      <c r="N271" s="14">
        <v>390.11766841375425</v>
      </c>
      <c r="O271" s="14">
        <v>424.99510079080318</v>
      </c>
      <c r="P271" s="14">
        <v>463.132322264278</v>
      </c>
      <c r="Q271" s="14">
        <v>504.07430321739218</v>
      </c>
      <c r="R271" s="14">
        <v>547.97765538645331</v>
      </c>
      <c r="S271" s="14"/>
      <c r="T271" s="14"/>
    </row>
    <row r="272" spans="1:20" x14ac:dyDescent="0.35">
      <c r="A272" t="s">
        <v>19</v>
      </c>
      <c r="B272" s="17" t="s">
        <v>84</v>
      </c>
      <c r="C272" s="13" t="s">
        <v>85</v>
      </c>
      <c r="D272" s="13" t="s">
        <v>85</v>
      </c>
      <c r="E272" s="13" t="s">
        <v>85</v>
      </c>
      <c r="F272" s="14">
        <v>22.183041024056379</v>
      </c>
      <c r="G272" s="14">
        <v>23.744426990392803</v>
      </c>
      <c r="H272" s="14">
        <v>25.46320225822884</v>
      </c>
      <c r="I272" s="14">
        <v>27.297905867486545</v>
      </c>
      <c r="J272" s="14">
        <v>29.228408420044676</v>
      </c>
      <c r="K272" s="14">
        <v>31.217493312287701</v>
      </c>
      <c r="L272" s="14">
        <v>33.352347502974219</v>
      </c>
      <c r="M272" s="14">
        <v>35.699901532155607</v>
      </c>
      <c r="N272" s="14">
        <v>38.331691275924157</v>
      </c>
      <c r="O272" s="14">
        <v>41.259713887174904</v>
      </c>
      <c r="P272" s="14">
        <v>44.425151049693582</v>
      </c>
      <c r="Q272" s="14">
        <v>47.774206396161979</v>
      </c>
      <c r="R272" s="14">
        <v>51.313372926288629</v>
      </c>
      <c r="S272" s="14"/>
      <c r="T272" s="14"/>
    </row>
    <row r="273" spans="1:20" x14ac:dyDescent="0.35">
      <c r="A273" t="s">
        <v>19</v>
      </c>
      <c r="B273" s="17" t="s">
        <v>84</v>
      </c>
      <c r="C273" s="13" t="s">
        <v>86</v>
      </c>
      <c r="D273" s="13" t="s">
        <v>86</v>
      </c>
      <c r="E273" s="13" t="s">
        <v>86</v>
      </c>
      <c r="F273" s="14">
        <v>56.502898428052539</v>
      </c>
      <c r="G273" s="14">
        <v>60.738448525461159</v>
      </c>
      <c r="H273" s="14">
        <v>65.412979314004858</v>
      </c>
      <c r="I273" s="14">
        <v>70.425465345601083</v>
      </c>
      <c r="J273" s="14">
        <v>75.72814908829757</v>
      </c>
      <c r="K273" s="14">
        <v>81.228156546717969</v>
      </c>
      <c r="L273" s="14">
        <v>87.154696301885735</v>
      </c>
      <c r="M273" s="14">
        <v>93.687955527182339</v>
      </c>
      <c r="N273" s="14">
        <v>101.02325178289347</v>
      </c>
      <c r="O273" s="14">
        <v>109.20226022303909</v>
      </c>
      <c r="P273" s="14">
        <v>118.07985537758027</v>
      </c>
      <c r="Q273" s="14">
        <v>127.52171461246213</v>
      </c>
      <c r="R273" s="14">
        <v>137.55209937040576</v>
      </c>
      <c r="S273" s="14"/>
      <c r="T273" s="14"/>
    </row>
    <row r="274" spans="1:20" x14ac:dyDescent="0.35">
      <c r="A274" t="s">
        <v>19</v>
      </c>
      <c r="B274" s="17" t="s">
        <v>84</v>
      </c>
      <c r="C274" s="40" t="s">
        <v>87</v>
      </c>
      <c r="D274" s="40" t="s">
        <v>87</v>
      </c>
      <c r="E274" s="40" t="s">
        <v>87</v>
      </c>
      <c r="F274" s="42">
        <v>95.82804811316214</v>
      </c>
      <c r="G274" s="42">
        <v>105.50560347148681</v>
      </c>
      <c r="H274" s="42">
        <v>117.16487530507979</v>
      </c>
      <c r="I274" s="42">
        <v>130.43546364312073</v>
      </c>
      <c r="J274" s="42">
        <v>144.81347808113043</v>
      </c>
      <c r="K274" s="42">
        <v>159.64439134937908</v>
      </c>
      <c r="L274" s="42">
        <v>175.34335372744778</v>
      </c>
      <c r="M274" s="42">
        <v>192.73484137709187</v>
      </c>
      <c r="N274" s="42">
        <v>213.03926286283865</v>
      </c>
      <c r="O274" s="42">
        <v>236.56814339439734</v>
      </c>
      <c r="P274" s="42">
        <v>262.6896248329499</v>
      </c>
      <c r="Q274" s="42">
        <v>290.81586499490402</v>
      </c>
      <c r="R274" s="42">
        <v>321.31402004488325</v>
      </c>
      <c r="S274" s="14"/>
      <c r="T274" s="14"/>
    </row>
    <row r="275" spans="1:20" x14ac:dyDescent="0.35">
      <c r="A275" t="s">
        <v>19</v>
      </c>
      <c r="B275" s="17" t="s">
        <v>84</v>
      </c>
      <c r="C275" s="13" t="s">
        <v>88</v>
      </c>
      <c r="D275" s="13" t="s">
        <v>88</v>
      </c>
      <c r="E275" s="13" t="s">
        <v>88</v>
      </c>
      <c r="F275" s="14">
        <v>71.055602591232386</v>
      </c>
      <c r="G275" s="14">
        <v>77.736414333372409</v>
      </c>
      <c r="H275" s="14">
        <v>84.751747608277284</v>
      </c>
      <c r="I275" s="14">
        <v>92.251730992330963</v>
      </c>
      <c r="J275" s="14">
        <v>100.52801077803245</v>
      </c>
      <c r="K275" s="14">
        <v>109.88989281439802</v>
      </c>
      <c r="L275" s="14">
        <v>120.60097923227552</v>
      </c>
      <c r="M275" s="14">
        <v>132.61961407966467</v>
      </c>
      <c r="N275" s="14">
        <v>145.74183591249715</v>
      </c>
      <c r="O275" s="14">
        <v>160.01607155770995</v>
      </c>
      <c r="P275" s="14">
        <v>175.67337940936864</v>
      </c>
      <c r="Q275" s="14">
        <v>192.98968639453136</v>
      </c>
      <c r="R275" s="14">
        <v>211.94477573861266</v>
      </c>
      <c r="S275" s="14"/>
      <c r="T275" s="14"/>
    </row>
    <row r="276" spans="1:20" x14ac:dyDescent="0.35">
      <c r="A276" t="s">
        <v>19</v>
      </c>
      <c r="B276" s="17" t="s">
        <v>84</v>
      </c>
      <c r="C276" s="13" t="s">
        <v>89</v>
      </c>
      <c r="D276" s="13" t="s">
        <v>89</v>
      </c>
      <c r="E276" s="13" t="s">
        <v>89</v>
      </c>
      <c r="F276" s="14">
        <v>22.501927642194815</v>
      </c>
      <c r="G276" s="14">
        <v>24.454997380019883</v>
      </c>
      <c r="H276" s="14">
        <v>26.485214370694273</v>
      </c>
      <c r="I276" s="14">
        <v>28.637585900986334</v>
      </c>
      <c r="J276" s="14">
        <v>30.9998271121686</v>
      </c>
      <c r="K276" s="14">
        <v>33.662726359693934</v>
      </c>
      <c r="L276" s="14">
        <v>36.700600063731116</v>
      </c>
      <c r="M276" s="14">
        <v>40.092820076429483</v>
      </c>
      <c r="N276" s="14">
        <v>43.770120241632419</v>
      </c>
      <c r="O276" s="14">
        <v>47.740738883976256</v>
      </c>
      <c r="P276" s="14">
        <v>52.067085850091487</v>
      </c>
      <c r="Q276" s="14">
        <v>56.823122120848907</v>
      </c>
      <c r="R276" s="14">
        <v>61.993543369531906</v>
      </c>
      <c r="S276" s="14"/>
      <c r="T276" s="14"/>
    </row>
    <row r="277" spans="1:20" x14ac:dyDescent="0.35">
      <c r="A277" t="s">
        <v>19</v>
      </c>
      <c r="B277" s="17" t="s">
        <v>84</v>
      </c>
      <c r="C277" s="13" t="s">
        <v>90</v>
      </c>
      <c r="D277" s="13" t="s">
        <v>90</v>
      </c>
      <c r="E277" s="13" t="s">
        <v>90</v>
      </c>
      <c r="F277" s="14">
        <v>45.693478823281453</v>
      </c>
      <c r="G277" s="14">
        <v>49.38332457838743</v>
      </c>
      <c r="H277" s="14">
        <v>53.184603929033493</v>
      </c>
      <c r="I277" s="14">
        <v>57.185329429428428</v>
      </c>
      <c r="J277" s="14">
        <v>61.55679955130622</v>
      </c>
      <c r="K277" s="14">
        <v>66.472536071049049</v>
      </c>
      <c r="L277" s="14">
        <v>72.069583524515863</v>
      </c>
      <c r="M277" s="14">
        <v>78.295387908484557</v>
      </c>
      <c r="N277" s="14">
        <v>85.003434158945012</v>
      </c>
      <c r="O277" s="14">
        <v>92.200823281199504</v>
      </c>
      <c r="P277" s="14">
        <v>99.998999993202744</v>
      </c>
      <c r="Q277" s="14">
        <v>108.52900052220546</v>
      </c>
      <c r="R277" s="14">
        <v>117.74831871550312</v>
      </c>
      <c r="S277" s="14"/>
      <c r="T277" s="14"/>
    </row>
    <row r="278" spans="1:20" x14ac:dyDescent="0.35">
      <c r="A278" t="s">
        <v>19</v>
      </c>
      <c r="B278" s="17" t="s">
        <v>91</v>
      </c>
      <c r="C278" s="13" t="s">
        <v>92</v>
      </c>
      <c r="D278" s="13" t="s">
        <v>92</v>
      </c>
      <c r="E278" s="13" t="s">
        <v>92</v>
      </c>
      <c r="F278" s="14">
        <v>120.05901124867459</v>
      </c>
      <c r="G278" s="14">
        <v>131.93737630040971</v>
      </c>
      <c r="H278" s="14">
        <v>145.22419206581046</v>
      </c>
      <c r="I278" s="14">
        <v>159.90964191704421</v>
      </c>
      <c r="J278" s="14">
        <v>175.81330519329904</v>
      </c>
      <c r="K278" s="14">
        <v>193.20502476492365</v>
      </c>
      <c r="L278" s="14">
        <v>212.33608419964762</v>
      </c>
      <c r="M278" s="14">
        <v>233.66736898178667</v>
      </c>
      <c r="N278" s="14">
        <v>257.49701342476254</v>
      </c>
      <c r="O278" s="14">
        <v>284.06210414775967</v>
      </c>
      <c r="P278" s="14">
        <v>313.25586416071405</v>
      </c>
      <c r="Q278" s="14">
        <v>344.95450295026654</v>
      </c>
      <c r="R278" s="14">
        <v>379.5849597657101</v>
      </c>
      <c r="S278" s="14"/>
      <c r="T278" s="14"/>
    </row>
    <row r="279" spans="1:20" x14ac:dyDescent="0.35">
      <c r="A279" t="s">
        <v>19</v>
      </c>
      <c r="B279" s="17" t="s">
        <v>91</v>
      </c>
      <c r="C279" s="13" t="s">
        <v>93</v>
      </c>
      <c r="D279" s="13" t="s">
        <v>93</v>
      </c>
      <c r="E279" s="13" t="s">
        <v>93</v>
      </c>
      <c r="F279" s="14">
        <v>193.70598537330511</v>
      </c>
      <c r="G279" s="14">
        <v>209.62583897871076</v>
      </c>
      <c r="H279" s="14">
        <v>227.2384307195081</v>
      </c>
      <c r="I279" s="14">
        <v>246.32383926190982</v>
      </c>
      <c r="J279" s="14">
        <v>267.04136783768092</v>
      </c>
      <c r="K279" s="14">
        <v>288.91017168860208</v>
      </c>
      <c r="L279" s="14">
        <v>312.88547615318259</v>
      </c>
      <c r="M279" s="14">
        <v>339.46315151922181</v>
      </c>
      <c r="N279" s="14">
        <v>369.41258280996834</v>
      </c>
      <c r="O279" s="14">
        <v>402.92564707973736</v>
      </c>
      <c r="P279" s="14">
        <v>439.67823235217259</v>
      </c>
      <c r="Q279" s="14">
        <v>479.49909209084734</v>
      </c>
      <c r="R279" s="14">
        <v>522.28117039951519</v>
      </c>
      <c r="S279" s="14"/>
      <c r="T279" s="14"/>
    </row>
    <row r="280" spans="1:20" x14ac:dyDescent="0.35">
      <c r="A280" t="s">
        <v>19</v>
      </c>
      <c r="B280" s="17" t="s">
        <v>94</v>
      </c>
      <c r="C280" s="13" t="s">
        <v>95</v>
      </c>
      <c r="D280" s="13" t="s">
        <v>95</v>
      </c>
      <c r="E280" s="13" t="s">
        <v>95</v>
      </c>
      <c r="F280" s="14">
        <v>11.136607586816266</v>
      </c>
      <c r="G280" s="14">
        <v>12.326573982866263</v>
      </c>
      <c r="H280" s="14">
        <v>13.65660396575236</v>
      </c>
      <c r="I280" s="14">
        <v>15.149490246363946</v>
      </c>
      <c r="J280" s="14">
        <v>16.828477575177239</v>
      </c>
      <c r="K280" s="14">
        <v>18.720389098486358</v>
      </c>
      <c r="L280" s="14">
        <v>20.853521701651012</v>
      </c>
      <c r="M280" s="14">
        <v>23.244266228102649</v>
      </c>
      <c r="N280" s="14">
        <v>25.908709400067458</v>
      </c>
      <c r="O280" s="14">
        <v>28.866666628938166</v>
      </c>
      <c r="P280" s="14">
        <v>32.138411158603184</v>
      </c>
      <c r="Q280" s="14">
        <v>35.76375781443992</v>
      </c>
      <c r="R280" s="14">
        <v>39.76336826713694</v>
      </c>
      <c r="S280" s="14"/>
      <c r="T280" s="14"/>
    </row>
    <row r="281" spans="1:20" x14ac:dyDescent="0.35">
      <c r="A281" t="s">
        <v>19</v>
      </c>
      <c r="B281" s="17" t="s">
        <v>94</v>
      </c>
      <c r="C281" s="40" t="s">
        <v>96</v>
      </c>
      <c r="D281" s="40" t="s">
        <v>96</v>
      </c>
      <c r="E281" s="40" t="s">
        <v>96</v>
      </c>
      <c r="F281" s="42">
        <v>57.499471661129064</v>
      </c>
      <c r="G281" s="42">
        <v>63.615645671409027</v>
      </c>
      <c r="H281" s="42">
        <v>70.730166733138731</v>
      </c>
      <c r="I281" s="42">
        <v>78.502743503249405</v>
      </c>
      <c r="J281" s="42">
        <v>86.799515914072003</v>
      </c>
      <c r="K281" s="42">
        <v>95.070574232476417</v>
      </c>
      <c r="L281" s="42">
        <v>103.95790415805055</v>
      </c>
      <c r="M281" s="42">
        <v>114.0444392815466</v>
      </c>
      <c r="N281" s="42">
        <v>126.17216901923837</v>
      </c>
      <c r="O281" s="42">
        <v>140.58212537958684</v>
      </c>
      <c r="P281" s="42">
        <v>156.90353220645682</v>
      </c>
      <c r="Q281" s="42">
        <v>174.7054391626499</v>
      </c>
      <c r="R281" s="42">
        <v>194.10086296645886</v>
      </c>
      <c r="S281" s="14"/>
      <c r="T281" s="14"/>
    </row>
    <row r="282" spans="1:20" x14ac:dyDescent="0.35">
      <c r="A282" t="s">
        <v>19</v>
      </c>
      <c r="B282" s="17" t="s">
        <v>94</v>
      </c>
      <c r="C282" s="13" t="s">
        <v>97</v>
      </c>
      <c r="D282" s="13" t="s">
        <v>97</v>
      </c>
      <c r="E282" s="13" t="s">
        <v>97</v>
      </c>
      <c r="F282" s="14">
        <v>28.322112679569951</v>
      </c>
      <c r="G282" s="14">
        <v>30.72983469154088</v>
      </c>
      <c r="H282" s="14">
        <v>33.39656486018302</v>
      </c>
      <c r="I282" s="14">
        <v>36.308644540739806</v>
      </c>
      <c r="J282" s="14">
        <v>39.414065899757212</v>
      </c>
      <c r="K282" s="14">
        <v>42.76409950866055</v>
      </c>
      <c r="L282" s="14">
        <v>46.403060966233518</v>
      </c>
      <c r="M282" s="14">
        <v>50.418520948485686</v>
      </c>
      <c r="N282" s="14">
        <v>54.858145105523043</v>
      </c>
      <c r="O282" s="14">
        <v>59.753738987063542</v>
      </c>
      <c r="P282" s="14">
        <v>65.06266895516265</v>
      </c>
      <c r="Q282" s="14">
        <v>70.740379420385764</v>
      </c>
      <c r="R282" s="14">
        <v>76.856998942589215</v>
      </c>
      <c r="S282" s="14"/>
      <c r="T282" s="14"/>
    </row>
    <row r="283" spans="1:20" x14ac:dyDescent="0.35">
      <c r="A283" t="s">
        <v>19</v>
      </c>
      <c r="B283" s="17" t="s">
        <v>94</v>
      </c>
      <c r="C283" s="13" t="s">
        <v>98</v>
      </c>
      <c r="D283" s="13" t="s">
        <v>98</v>
      </c>
      <c r="E283" s="13" t="s">
        <v>98</v>
      </c>
      <c r="F283" s="14">
        <v>109.25042304126025</v>
      </c>
      <c r="G283" s="14">
        <v>118.77314311019502</v>
      </c>
      <c r="H283" s="14">
        <v>129.25033196990668</v>
      </c>
      <c r="I283" s="14">
        <v>140.8348368120667</v>
      </c>
      <c r="J283" s="14">
        <v>153.67057154175004</v>
      </c>
      <c r="K283" s="14">
        <v>167.92130063217115</v>
      </c>
      <c r="L283" s="14">
        <v>183.74945938188839</v>
      </c>
      <c r="M283" s="14">
        <v>201.19775778497936</v>
      </c>
      <c r="N283" s="14">
        <v>220.29954105744073</v>
      </c>
      <c r="O283" s="14">
        <v>241.11362121947451</v>
      </c>
      <c r="P283" s="14">
        <v>263.69445277910779</v>
      </c>
      <c r="Q283" s="14">
        <v>288.24876498841894</v>
      </c>
      <c r="R283" s="14">
        <v>314.80989174950304</v>
      </c>
      <c r="S283" s="22"/>
      <c r="T283" s="22"/>
    </row>
    <row r="284" spans="1:20" x14ac:dyDescent="0.35">
      <c r="A284" t="s">
        <v>19</v>
      </c>
      <c r="B284" s="17" t="s">
        <v>94</v>
      </c>
      <c r="C284" s="13" t="s">
        <v>48</v>
      </c>
      <c r="D284" s="13" t="s">
        <v>48</v>
      </c>
      <c r="E284" s="13" t="s">
        <v>48</v>
      </c>
      <c r="F284" s="14">
        <v>26.109293206563663</v>
      </c>
      <c r="G284" s="14">
        <v>28.614296643262382</v>
      </c>
      <c r="H284" s="14">
        <v>31.251556459147338</v>
      </c>
      <c r="I284" s="14">
        <v>34.077141812052744</v>
      </c>
      <c r="J284" s="14">
        <v>37.199792534602317</v>
      </c>
      <c r="K284" s="14">
        <v>40.735549968919734</v>
      </c>
      <c r="L284" s="14">
        <v>44.784327675311751</v>
      </c>
      <c r="M284" s="14">
        <v>49.333379500795139</v>
      </c>
      <c r="N284" s="14">
        <v>54.309488830345664</v>
      </c>
      <c r="O284" s="14">
        <v>59.732975400828721</v>
      </c>
      <c r="P284" s="14">
        <v>65.692475769071407</v>
      </c>
      <c r="Q284" s="14">
        <v>72.294024965711102</v>
      </c>
      <c r="R284" s="14">
        <v>79.533463353033596</v>
      </c>
      <c r="S284" s="22"/>
      <c r="T284" s="22"/>
    </row>
    <row r="285" spans="1:20" x14ac:dyDescent="0.35">
      <c r="A285" t="s">
        <v>19</v>
      </c>
      <c r="B285" s="17" t="s">
        <v>94</v>
      </c>
      <c r="C285" s="13" t="s">
        <v>99</v>
      </c>
      <c r="D285" s="13" t="s">
        <v>99</v>
      </c>
      <c r="E285" s="13" t="s">
        <v>99</v>
      </c>
      <c r="F285" s="14">
        <v>36.172915535559127</v>
      </c>
      <c r="G285" s="14">
        <v>38.748626071772456</v>
      </c>
      <c r="H285" s="14">
        <v>41.576239260006943</v>
      </c>
      <c r="I285" s="14">
        <v>44.627535746324462</v>
      </c>
      <c r="J285" s="14">
        <v>47.828304687345835</v>
      </c>
      <c r="K285" s="14">
        <v>51.233168182488015</v>
      </c>
      <c r="L285" s="14">
        <v>54.885439833173862</v>
      </c>
      <c r="M285" s="14">
        <v>58.87713638341031</v>
      </c>
      <c r="N285" s="14">
        <v>63.248694969907227</v>
      </c>
      <c r="O285" s="14">
        <v>68.01982078406165</v>
      </c>
      <c r="P285" s="14">
        <v>73.124044044920993</v>
      </c>
      <c r="Q285" s="14">
        <v>78.495638722923843</v>
      </c>
      <c r="R285" s="14">
        <v>84.199065351202734</v>
      </c>
      <c r="S285" s="22"/>
      <c r="T285" s="22"/>
    </row>
    <row r="286" spans="1:20" x14ac:dyDescent="0.35">
      <c r="A286" t="s">
        <v>19</v>
      </c>
      <c r="B286" s="17" t="s">
        <v>94</v>
      </c>
      <c r="C286" s="13" t="s">
        <v>100</v>
      </c>
      <c r="D286" s="13" t="s">
        <v>100</v>
      </c>
      <c r="E286" s="13" t="s">
        <v>100</v>
      </c>
      <c r="F286" s="14">
        <v>45.274172911081415</v>
      </c>
      <c r="G286" s="14">
        <v>48.75509510807445</v>
      </c>
      <c r="H286" s="14">
        <v>52.601159537183463</v>
      </c>
      <c r="I286" s="14">
        <v>56.733088518156983</v>
      </c>
      <c r="J286" s="14">
        <v>61.113944878275284</v>
      </c>
      <c r="K286" s="14">
        <v>65.670114830323485</v>
      </c>
      <c r="L286" s="14">
        <v>70.587846636521135</v>
      </c>
      <c r="M286" s="14">
        <v>76.015020373688756</v>
      </c>
      <c r="N286" s="14">
        <v>82.112847852208432</v>
      </c>
      <c r="O286" s="14">
        <v>88.918802827543558</v>
      </c>
      <c r="P286" s="14">
        <v>96.318511599563863</v>
      </c>
      <c r="Q286" s="14">
        <v>104.20558996658438</v>
      </c>
      <c r="R286" s="14">
        <v>112.60247953530082</v>
      </c>
      <c r="S286" s="22"/>
      <c r="T286" s="22"/>
    </row>
    <row r="287" spans="1:20" x14ac:dyDescent="0.35">
      <c r="A287" t="s">
        <v>20</v>
      </c>
      <c r="B287" s="17" t="s">
        <v>54</v>
      </c>
      <c r="C287" s="13" t="s">
        <v>55</v>
      </c>
      <c r="D287" s="13" t="s">
        <v>55</v>
      </c>
      <c r="E287" s="13" t="s">
        <v>55</v>
      </c>
      <c r="F287" s="14">
        <v>12.830985837157451</v>
      </c>
      <c r="G287" s="14">
        <v>13.94076505047539</v>
      </c>
      <c r="H287" s="14">
        <v>15.149087162502166</v>
      </c>
      <c r="I287" s="14">
        <v>16.503571387251178</v>
      </c>
      <c r="J287" s="14">
        <v>18.011910602441578</v>
      </c>
      <c r="K287" s="14">
        <v>19.680647403781808</v>
      </c>
      <c r="L287" s="14">
        <v>21.507951108977114</v>
      </c>
      <c r="M287" s="14">
        <v>23.48699158806026</v>
      </c>
      <c r="N287" s="14">
        <v>25.625240978068586</v>
      </c>
      <c r="O287" s="14">
        <v>27.991905355424475</v>
      </c>
      <c r="P287" s="14">
        <v>30.616644478455747</v>
      </c>
      <c r="Q287" s="14">
        <v>33.490978531466872</v>
      </c>
      <c r="R287" s="14">
        <v>36.607689349124662</v>
      </c>
      <c r="S287" s="22"/>
      <c r="T287" s="22"/>
    </row>
    <row r="288" spans="1:20" x14ac:dyDescent="0.35">
      <c r="A288" t="s">
        <v>20</v>
      </c>
      <c r="B288" s="17" t="s">
        <v>54</v>
      </c>
      <c r="C288" s="13" t="s">
        <v>56</v>
      </c>
      <c r="D288" s="13" t="s">
        <v>56</v>
      </c>
      <c r="E288" s="13" t="s">
        <v>56</v>
      </c>
      <c r="F288" s="14">
        <v>34.432134554240633</v>
      </c>
      <c r="G288" s="14">
        <v>36.495924648411425</v>
      </c>
      <c r="H288" s="14">
        <v>38.721647828062174</v>
      </c>
      <c r="I288" s="14">
        <v>41.137963575415249</v>
      </c>
      <c r="J288" s="14">
        <v>43.767259407801973</v>
      </c>
      <c r="K288" s="14">
        <v>46.634423511024671</v>
      </c>
      <c r="L288" s="14">
        <v>49.760475609593492</v>
      </c>
      <c r="M288" s="14">
        <v>53.130790669067224</v>
      </c>
      <c r="N288" s="14">
        <v>56.728494231255503</v>
      </c>
      <c r="O288" s="14">
        <v>60.54374495098056</v>
      </c>
      <c r="P288" s="14">
        <v>64.5654239157587</v>
      </c>
      <c r="Q288" s="14">
        <v>68.819658318301464</v>
      </c>
      <c r="R288" s="14">
        <v>73.287451225401412</v>
      </c>
      <c r="S288" s="22"/>
      <c r="T288" s="22"/>
    </row>
    <row r="289" spans="1:20" x14ac:dyDescent="0.35">
      <c r="A289" t="s">
        <v>20</v>
      </c>
      <c r="B289" s="17" t="s">
        <v>54</v>
      </c>
      <c r="C289" s="13" t="s">
        <v>57</v>
      </c>
      <c r="D289" s="13" t="s">
        <v>57</v>
      </c>
      <c r="E289" s="13" t="s">
        <v>57</v>
      </c>
      <c r="F289" s="14">
        <v>87.062754931609945</v>
      </c>
      <c r="G289" s="14">
        <v>91.4104867296073</v>
      </c>
      <c r="H289" s="14">
        <v>96.071098522794571</v>
      </c>
      <c r="I289" s="14">
        <v>101.10543478495941</v>
      </c>
      <c r="J289" s="14">
        <v>106.5564430966871</v>
      </c>
      <c r="K289" s="14">
        <v>112.47132050164318</v>
      </c>
      <c r="L289" s="14">
        <v>118.88591369332427</v>
      </c>
      <c r="M289" s="14">
        <v>125.74928838999723</v>
      </c>
      <c r="N289" s="14">
        <v>133.00679513411384</v>
      </c>
      <c r="O289" s="14">
        <v>140.62204254395786</v>
      </c>
      <c r="P289" s="14">
        <v>148.55678229435583</v>
      </c>
      <c r="Q289" s="14">
        <v>156.85966370071336</v>
      </c>
      <c r="R289" s="14">
        <v>165.4744435874714</v>
      </c>
      <c r="S289" s="22"/>
      <c r="T289" s="22"/>
    </row>
    <row r="290" spans="1:20" x14ac:dyDescent="0.35">
      <c r="A290" t="s">
        <v>20</v>
      </c>
      <c r="B290" s="17" t="s">
        <v>59</v>
      </c>
      <c r="C290" s="18" t="s">
        <v>60</v>
      </c>
      <c r="D290" s="38" t="s">
        <v>61</v>
      </c>
      <c r="E290" s="39" t="s">
        <v>62</v>
      </c>
      <c r="F290" s="22">
        <v>5.045323167046087</v>
      </c>
      <c r="G290" s="22">
        <v>5.4823862967321153</v>
      </c>
      <c r="H290" s="22">
        <v>5.9630545127624082</v>
      </c>
      <c r="I290" s="22">
        <v>6.4943129749705877</v>
      </c>
      <c r="J290" s="22">
        <v>7.082720921474106</v>
      </c>
      <c r="K290" s="22">
        <v>7.7357393553475209</v>
      </c>
      <c r="L290" s="22">
        <v>8.4607531044225226</v>
      </c>
      <c r="M290" s="22">
        <v>9.2596194230938824</v>
      </c>
      <c r="N290" s="22">
        <v>10.133760562420584</v>
      </c>
      <c r="O290" s="22">
        <v>11.085767042569616</v>
      </c>
      <c r="P290" s="22">
        <v>12.11802351454782</v>
      </c>
      <c r="Q290" s="22">
        <v>13.239907240676176</v>
      </c>
      <c r="R290" s="22">
        <v>14.452812146388421</v>
      </c>
      <c r="S290" s="22"/>
      <c r="T290" s="22"/>
    </row>
    <row r="291" spans="1:20" x14ac:dyDescent="0.35">
      <c r="A291" t="s">
        <v>20</v>
      </c>
      <c r="B291" s="17" t="s">
        <v>59</v>
      </c>
      <c r="C291" s="18" t="s">
        <v>60</v>
      </c>
      <c r="D291" s="38" t="s">
        <v>61</v>
      </c>
      <c r="E291" s="39" t="s">
        <v>63</v>
      </c>
      <c r="F291" s="22">
        <v>9.2181190972763574</v>
      </c>
      <c r="G291" s="22">
        <v>9.8084699569281906</v>
      </c>
      <c r="H291" s="22">
        <v>10.399580049563539</v>
      </c>
      <c r="I291" s="22">
        <v>11.008097839366318</v>
      </c>
      <c r="J291" s="22">
        <v>11.665657988310297</v>
      </c>
      <c r="K291" s="22">
        <v>12.402312018386537</v>
      </c>
      <c r="L291" s="22">
        <v>13.239359104267299</v>
      </c>
      <c r="M291" s="22">
        <v>14.161829065478411</v>
      </c>
      <c r="N291" s="22">
        <v>15.138520102935344</v>
      </c>
      <c r="O291" s="22">
        <v>16.167365071808433</v>
      </c>
      <c r="P291" s="22">
        <v>17.264619562151172</v>
      </c>
      <c r="Q291" s="22">
        <v>18.448820021636234</v>
      </c>
      <c r="R291" s="22">
        <v>19.707735788796349</v>
      </c>
      <c r="S291" s="22"/>
      <c r="T291" s="22"/>
    </row>
    <row r="292" spans="1:20" x14ac:dyDescent="0.35">
      <c r="A292" t="s">
        <v>20</v>
      </c>
      <c r="B292" s="17" t="s">
        <v>59</v>
      </c>
      <c r="C292" s="18" t="s">
        <v>60</v>
      </c>
      <c r="D292" s="38" t="s">
        <v>61</v>
      </c>
      <c r="E292" s="39" t="s">
        <v>64</v>
      </c>
      <c r="F292" s="22">
        <v>13.524460963889814</v>
      </c>
      <c r="G292" s="22">
        <v>14.004257888779055</v>
      </c>
      <c r="H292" s="22">
        <v>14.449718223662192</v>
      </c>
      <c r="I292" s="22">
        <v>15.060998478350974</v>
      </c>
      <c r="J292" s="22">
        <v>15.970841293520042</v>
      </c>
      <c r="K292" s="22">
        <v>17.21947591329527</v>
      </c>
      <c r="L292" s="22">
        <v>18.631578281873267</v>
      </c>
      <c r="M292" s="22">
        <v>19.954605653528219</v>
      </c>
      <c r="N292" s="22">
        <v>21.030970651801717</v>
      </c>
      <c r="O292" s="22">
        <v>21.847593338497461</v>
      </c>
      <c r="P292" s="22">
        <v>22.568825925783621</v>
      </c>
      <c r="Q292" s="22">
        <v>23.414619138753622</v>
      </c>
      <c r="R292" s="22">
        <v>24.244352202523899</v>
      </c>
      <c r="S292" s="22"/>
      <c r="T292" s="22"/>
    </row>
    <row r="293" spans="1:20" x14ac:dyDescent="0.35">
      <c r="A293" t="s">
        <v>20</v>
      </c>
      <c r="B293" s="17" t="s">
        <v>59</v>
      </c>
      <c r="C293" s="18" t="s">
        <v>60</v>
      </c>
      <c r="D293" s="38" t="s">
        <v>65</v>
      </c>
      <c r="E293" s="38" t="s">
        <v>65</v>
      </c>
      <c r="F293" s="41">
        <v>24.586608967318764</v>
      </c>
      <c r="G293" s="41">
        <v>25.993170062523106</v>
      </c>
      <c r="H293" s="41">
        <v>27.532184638204065</v>
      </c>
      <c r="I293" s="41">
        <v>29.153144443081917</v>
      </c>
      <c r="J293" s="41">
        <v>30.830667540534346</v>
      </c>
      <c r="K293" s="41">
        <v>32.522503147765569</v>
      </c>
      <c r="L293" s="41">
        <v>34.318019217912635</v>
      </c>
      <c r="M293" s="41">
        <v>36.281298934955082</v>
      </c>
      <c r="N293" s="41">
        <v>38.477832449179807</v>
      </c>
      <c r="O293" s="41">
        <v>40.909955510652836</v>
      </c>
      <c r="P293" s="41">
        <v>43.509445884180195</v>
      </c>
      <c r="Q293" s="41">
        <v>46.216099843851445</v>
      </c>
      <c r="R293" s="41">
        <v>49.030802077117407</v>
      </c>
      <c r="S293" s="22"/>
      <c r="T293" s="22"/>
    </row>
    <row r="294" spans="1:20" x14ac:dyDescent="0.35">
      <c r="A294" t="s">
        <v>20</v>
      </c>
      <c r="B294" s="17" t="s">
        <v>59</v>
      </c>
      <c r="C294" s="18" t="s">
        <v>60</v>
      </c>
      <c r="D294" s="38" t="s">
        <v>66</v>
      </c>
      <c r="E294" s="38" t="s">
        <v>66</v>
      </c>
      <c r="F294" s="41">
        <v>15.305555435330849</v>
      </c>
      <c r="G294" s="41">
        <v>15.972202067500598</v>
      </c>
      <c r="H294" s="41">
        <v>16.694505403934574</v>
      </c>
      <c r="I294" s="41">
        <v>17.47729729804864</v>
      </c>
      <c r="J294" s="41">
        <v>18.331748267344746</v>
      </c>
      <c r="K294" s="41">
        <v>19.276857317453214</v>
      </c>
      <c r="L294" s="41">
        <v>20.315671611323111</v>
      </c>
      <c r="M294" s="41">
        <v>21.451098112898755</v>
      </c>
      <c r="N294" s="41">
        <v>22.65713305195289</v>
      </c>
      <c r="O294" s="41">
        <v>23.915869567350565</v>
      </c>
      <c r="P294" s="41">
        <v>25.19670453343775</v>
      </c>
      <c r="Q294" s="41">
        <v>26.487343407275148</v>
      </c>
      <c r="R294" s="41">
        <v>27.802558124472551</v>
      </c>
      <c r="S294" s="22"/>
      <c r="T294" s="22"/>
    </row>
    <row r="295" spans="1:20" x14ac:dyDescent="0.35">
      <c r="A295" t="s">
        <v>20</v>
      </c>
      <c r="B295" s="17" t="s">
        <v>59</v>
      </c>
      <c r="C295" s="18" t="s">
        <v>60</v>
      </c>
      <c r="D295" s="38" t="s">
        <v>67</v>
      </c>
      <c r="E295" s="38" t="s">
        <v>67</v>
      </c>
      <c r="F295" s="41">
        <v>10.059418083436039</v>
      </c>
      <c r="G295" s="41">
        <v>10.490486755080417</v>
      </c>
      <c r="H295" s="41">
        <v>10.96100866156578</v>
      </c>
      <c r="I295" s="41">
        <v>11.448980863418209</v>
      </c>
      <c r="J295" s="41">
        <v>11.943411749936729</v>
      </c>
      <c r="K295" s="41">
        <v>12.427345823384517</v>
      </c>
      <c r="L295" s="41">
        <v>12.93503082853916</v>
      </c>
      <c r="M295" s="41">
        <v>13.489325968744017</v>
      </c>
      <c r="N295" s="41">
        <v>14.112338321283096</v>
      </c>
      <c r="O295" s="41">
        <v>14.801757763270816</v>
      </c>
      <c r="P295" s="41">
        <v>15.529790813602743</v>
      </c>
      <c r="Q295" s="41">
        <v>16.272926204501321</v>
      </c>
      <c r="R295" s="41">
        <v>17.030380355218853</v>
      </c>
      <c r="S295" s="22"/>
      <c r="T295" s="22"/>
    </row>
    <row r="296" spans="1:20" x14ac:dyDescent="0.35">
      <c r="A296" t="s">
        <v>20</v>
      </c>
      <c r="B296" s="17" t="s">
        <v>59</v>
      </c>
      <c r="C296" s="18" t="s">
        <v>60</v>
      </c>
      <c r="D296" s="38" t="s">
        <v>68</v>
      </c>
      <c r="E296" s="38" t="s">
        <v>68</v>
      </c>
      <c r="F296" s="41">
        <v>16.239106622213015</v>
      </c>
      <c r="G296" s="41">
        <v>17.406430667162354</v>
      </c>
      <c r="H296" s="41">
        <v>18.688436289300451</v>
      </c>
      <c r="I296" s="41">
        <v>20.072658967722582</v>
      </c>
      <c r="J296" s="41">
        <v>21.525916526048757</v>
      </c>
      <c r="K296" s="41">
        <v>23.072926308305327</v>
      </c>
      <c r="L296" s="41">
        <v>24.733375529258581</v>
      </c>
      <c r="M296" s="41">
        <v>26.54894875475448</v>
      </c>
      <c r="N296" s="41">
        <v>28.538177735224142</v>
      </c>
      <c r="O296" s="41">
        <v>30.710286633191981</v>
      </c>
      <c r="P296" s="41">
        <v>33.035615723901941</v>
      </c>
      <c r="Q296" s="41">
        <v>35.484766567017672</v>
      </c>
      <c r="R296" s="41">
        <v>38.087118814500293</v>
      </c>
      <c r="S296" s="22"/>
      <c r="T296" s="22"/>
    </row>
    <row r="297" spans="1:20" x14ac:dyDescent="0.35">
      <c r="A297" t="s">
        <v>20</v>
      </c>
      <c r="B297" s="17" t="s">
        <v>59</v>
      </c>
      <c r="C297" s="18" t="s">
        <v>60</v>
      </c>
      <c r="D297" s="38" t="s">
        <v>69</v>
      </c>
      <c r="E297" s="38" t="s">
        <v>69</v>
      </c>
      <c r="F297" s="41">
        <v>18.51173762324262</v>
      </c>
      <c r="G297" s="41">
        <v>19.202530147644275</v>
      </c>
      <c r="H297" s="41">
        <v>19.953045882442652</v>
      </c>
      <c r="I297" s="41">
        <v>20.741218175096286</v>
      </c>
      <c r="J297" s="41">
        <v>21.525916526048757</v>
      </c>
      <c r="K297" s="41">
        <v>22.328838802824617</v>
      </c>
      <c r="L297" s="41">
        <v>23.163897407719094</v>
      </c>
      <c r="M297" s="41">
        <v>24.06355415756574</v>
      </c>
      <c r="N297" s="41">
        <v>25.034754200211733</v>
      </c>
      <c r="O297" s="41">
        <v>26.074831477031214</v>
      </c>
      <c r="P297" s="41">
        <v>27.14784193456709</v>
      </c>
      <c r="Q297" s="41">
        <v>28.222071880272175</v>
      </c>
      <c r="R297" s="41">
        <v>29.316244810491387</v>
      </c>
      <c r="S297" s="22"/>
      <c r="T297" s="22"/>
    </row>
    <row r="298" spans="1:20" x14ac:dyDescent="0.35">
      <c r="A298" t="s">
        <v>20</v>
      </c>
      <c r="B298" s="17" t="s">
        <v>59</v>
      </c>
      <c r="C298" s="18" t="s">
        <v>70</v>
      </c>
      <c r="D298" s="19" t="s">
        <v>71</v>
      </c>
      <c r="E298" s="19" t="s">
        <v>71</v>
      </c>
      <c r="F298" s="22">
        <v>3.0572414239055816</v>
      </c>
      <c r="G298" s="22">
        <v>3.3383511446127376</v>
      </c>
      <c r="H298" s="22">
        <v>3.6459205850154608</v>
      </c>
      <c r="I298" s="22">
        <v>3.9917980463649894</v>
      </c>
      <c r="J298" s="22">
        <v>4.3784092969112667</v>
      </c>
      <c r="K298" s="22">
        <v>4.80794432118347</v>
      </c>
      <c r="L298" s="22">
        <v>5.2805865628549755</v>
      </c>
      <c r="M298" s="22">
        <v>5.795290907847968</v>
      </c>
      <c r="N298" s="22">
        <v>6.3545157353116846</v>
      </c>
      <c r="O298" s="22">
        <v>6.9760728762713278</v>
      </c>
      <c r="P298" s="22">
        <v>7.6682700820976377</v>
      </c>
      <c r="Q298" s="22">
        <v>8.430021534443533</v>
      </c>
      <c r="R298" s="22">
        <v>9.2605295072321869</v>
      </c>
      <c r="S298" s="22"/>
      <c r="T298" s="22"/>
    </row>
    <row r="299" spans="1:20" x14ac:dyDescent="0.35">
      <c r="A299" t="s">
        <v>20</v>
      </c>
      <c r="B299" s="17" t="s">
        <v>59</v>
      </c>
      <c r="C299" s="18" t="s">
        <v>70</v>
      </c>
      <c r="D299" s="19" t="s">
        <v>72</v>
      </c>
      <c r="E299" s="19" t="s">
        <v>72</v>
      </c>
      <c r="F299" s="22">
        <v>2.3474956195217418</v>
      </c>
      <c r="G299" s="22">
        <v>2.5984980986163571</v>
      </c>
      <c r="H299" s="22">
        <v>2.8815356408199033</v>
      </c>
      <c r="I299" s="22">
        <v>3.1944421146356619</v>
      </c>
      <c r="J299" s="22">
        <v>3.5370679026028267</v>
      </c>
      <c r="K299" s="22">
        <v>3.907010471088856</v>
      </c>
      <c r="L299" s="22">
        <v>4.3169477362137068</v>
      </c>
      <c r="M299" s="22">
        <v>4.7785309549003019</v>
      </c>
      <c r="N299" s="22">
        <v>5.3053967095253265</v>
      </c>
      <c r="O299" s="22">
        <v>5.9045007454129053</v>
      </c>
      <c r="P299" s="22">
        <v>6.5732258807799981</v>
      </c>
      <c r="Q299" s="22">
        <v>7.3089244150685575</v>
      </c>
      <c r="R299" s="22">
        <v>8.1174241761062724</v>
      </c>
      <c r="S299" s="14"/>
      <c r="T299" s="14"/>
    </row>
    <row r="300" spans="1:20" x14ac:dyDescent="0.35">
      <c r="A300" t="s">
        <v>20</v>
      </c>
      <c r="B300" s="17" t="s">
        <v>59</v>
      </c>
      <c r="C300" s="18" t="s">
        <v>70</v>
      </c>
      <c r="D300" s="19" t="s">
        <v>73</v>
      </c>
      <c r="E300" s="19" t="s">
        <v>73</v>
      </c>
      <c r="F300" s="22">
        <v>2.1933860327511652</v>
      </c>
      <c r="G300" s="22">
        <v>2.3374560596266729</v>
      </c>
      <c r="H300" s="22">
        <v>2.4914176817482825</v>
      </c>
      <c r="I300" s="22">
        <v>2.6623339358747109</v>
      </c>
      <c r="J300" s="22">
        <v>2.8502586011265501</v>
      </c>
      <c r="K300" s="22">
        <v>3.0550155263248531</v>
      </c>
      <c r="L300" s="22">
        <v>3.2750972086531607</v>
      </c>
      <c r="M300" s="22">
        <v>3.5083040637212886</v>
      </c>
      <c r="N300" s="22">
        <v>3.7546973504327115</v>
      </c>
      <c r="O300" s="22">
        <v>4.023340263044763</v>
      </c>
      <c r="P300" s="22">
        <v>4.3168812031523141</v>
      </c>
      <c r="Q300" s="22">
        <v>4.6323292700987881</v>
      </c>
      <c r="R300" s="22">
        <v>4.9670286128227943</v>
      </c>
      <c r="S300" s="14"/>
      <c r="T300" s="14"/>
    </row>
    <row r="301" spans="1:20" x14ac:dyDescent="0.35">
      <c r="A301" t="s">
        <v>20</v>
      </c>
      <c r="B301" s="17" t="s">
        <v>59</v>
      </c>
      <c r="C301" s="18" t="s">
        <v>70</v>
      </c>
      <c r="D301" s="19" t="s">
        <v>74</v>
      </c>
      <c r="E301" s="19" t="s">
        <v>74</v>
      </c>
      <c r="F301" s="22">
        <v>2.6173615005777835</v>
      </c>
      <c r="G301" s="22">
        <v>2.8193940571448808</v>
      </c>
      <c r="H301" s="22">
        <v>3.0426601730888647</v>
      </c>
      <c r="I301" s="22">
        <v>3.2825923781190229</v>
      </c>
      <c r="J301" s="22">
        <v>3.5370679026028267</v>
      </c>
      <c r="K301" s="22">
        <v>3.8018388835329806</v>
      </c>
      <c r="L301" s="22">
        <v>4.0876968575579236</v>
      </c>
      <c r="M301" s="22">
        <v>4.4032237140587975</v>
      </c>
      <c r="N301" s="22">
        <v>4.7577833108035881</v>
      </c>
      <c r="O301" s="22">
        <v>5.1535804365884541</v>
      </c>
      <c r="P301" s="22">
        <v>5.5840215468389376</v>
      </c>
      <c r="Q301" s="22">
        <v>6.042968911902542</v>
      </c>
      <c r="R301" s="22">
        <v>6.5317486671343117</v>
      </c>
      <c r="S301" s="14"/>
      <c r="T301" s="14"/>
    </row>
    <row r="302" spans="1:20" x14ac:dyDescent="0.35">
      <c r="A302" t="s">
        <v>20</v>
      </c>
      <c r="B302" s="17" t="s">
        <v>59</v>
      </c>
      <c r="C302" s="18" t="s">
        <v>70</v>
      </c>
      <c r="D302" s="19" t="s">
        <v>75</v>
      </c>
      <c r="E302" s="19" t="s">
        <v>75</v>
      </c>
      <c r="F302" s="22">
        <v>2.0676850488427085</v>
      </c>
      <c r="G302" s="22">
        <v>2.2396783926180004</v>
      </c>
      <c r="H302" s="22">
        <v>2.4263890139432718</v>
      </c>
      <c r="I302" s="22">
        <v>2.6353005248113024</v>
      </c>
      <c r="J302" s="22">
        <v>2.8674288336634568</v>
      </c>
      <c r="K302" s="22">
        <v>3.1235927937122243</v>
      </c>
      <c r="L302" s="22">
        <v>3.4032705985670524</v>
      </c>
      <c r="M302" s="22">
        <v>3.7051537649800719</v>
      </c>
      <c r="N302" s="22">
        <v>4.0302039546591475</v>
      </c>
      <c r="O302" s="22">
        <v>4.3890784582348159</v>
      </c>
      <c r="P302" s="22">
        <v>4.7861024859702948</v>
      </c>
      <c r="Q302" s="22">
        <v>5.2195840613326903</v>
      </c>
      <c r="R302" s="22">
        <v>5.6880452697575867</v>
      </c>
      <c r="S302" s="14"/>
      <c r="T302" s="14"/>
    </row>
    <row r="303" spans="1:20" x14ac:dyDescent="0.35">
      <c r="A303" t="s">
        <v>20</v>
      </c>
      <c r="B303" s="17" t="s">
        <v>59</v>
      </c>
      <c r="C303" s="18" t="s">
        <v>76</v>
      </c>
      <c r="D303" s="19" t="s">
        <v>77</v>
      </c>
      <c r="E303" s="19" t="s">
        <v>77</v>
      </c>
      <c r="F303" s="22">
        <v>2.6805089643682041</v>
      </c>
      <c r="G303" s="22">
        <v>2.8706522395060858</v>
      </c>
      <c r="H303" s="22">
        <v>3.0800247296507033</v>
      </c>
      <c r="I303" s="22">
        <v>3.3036412346005037</v>
      </c>
      <c r="J303" s="22">
        <v>3.5390879299601101</v>
      </c>
      <c r="K303" s="22">
        <v>3.7818770715634531</v>
      </c>
      <c r="L303" s="22">
        <v>4.0425827028672154</v>
      </c>
      <c r="M303" s="22">
        <v>4.3293453756867395</v>
      </c>
      <c r="N303" s="22">
        <v>4.6508808567057995</v>
      </c>
      <c r="O303" s="22">
        <v>5.0086987555046703</v>
      </c>
      <c r="P303" s="22">
        <v>5.3957151237127707</v>
      </c>
      <c r="Q303" s="22">
        <v>5.8054415128890353</v>
      </c>
      <c r="R303" s="22">
        <v>6.2387025254548307</v>
      </c>
      <c r="S303" s="14"/>
      <c r="T303" s="14"/>
    </row>
    <row r="304" spans="1:20" x14ac:dyDescent="0.35">
      <c r="A304" t="s">
        <v>20</v>
      </c>
      <c r="B304" s="17" t="s">
        <v>59</v>
      </c>
      <c r="C304" s="18" t="s">
        <v>76</v>
      </c>
      <c r="D304" s="19" t="s">
        <v>78</v>
      </c>
      <c r="E304" s="19" t="s">
        <v>78</v>
      </c>
      <c r="F304" s="22">
        <v>2.6138427554315187</v>
      </c>
      <c r="G304" s="22">
        <v>2.7416379183033137</v>
      </c>
      <c r="H304" s="22">
        <v>2.8802505978802087</v>
      </c>
      <c r="I304" s="22">
        <v>3.0306717229897147</v>
      </c>
      <c r="J304" s="22">
        <v>3.1950099367695435</v>
      </c>
      <c r="K304" s="22">
        <v>3.3767794188369855</v>
      </c>
      <c r="L304" s="22">
        <v>3.5767692240407847</v>
      </c>
      <c r="M304" s="22">
        <v>3.7957569665190563</v>
      </c>
      <c r="N304" s="22">
        <v>4.0294174887141683</v>
      </c>
      <c r="O304" s="22">
        <v>4.2747754879487569</v>
      </c>
      <c r="P304" s="22">
        <v>4.5265241969168475</v>
      </c>
      <c r="Q304" s="22">
        <v>4.7825369204339552</v>
      </c>
      <c r="R304" s="22">
        <v>5.0455299597878156</v>
      </c>
      <c r="S304" s="14"/>
      <c r="T304" s="14"/>
    </row>
    <row r="305" spans="1:20" x14ac:dyDescent="0.35">
      <c r="A305" t="s">
        <v>20</v>
      </c>
      <c r="B305" s="17" t="s">
        <v>59</v>
      </c>
      <c r="C305" s="18" t="s">
        <v>76</v>
      </c>
      <c r="D305" s="19" t="s">
        <v>79</v>
      </c>
      <c r="E305" s="19" t="s">
        <v>79</v>
      </c>
      <c r="F305" s="22">
        <v>1.5314665575179858</v>
      </c>
      <c r="G305" s="22">
        <v>1.6726806717496026</v>
      </c>
      <c r="H305" s="22">
        <v>1.8302612779268381</v>
      </c>
      <c r="I305" s="22">
        <v>2.0020772172177947</v>
      </c>
      <c r="J305" s="22">
        <v>2.1873529567114565</v>
      </c>
      <c r="K305" s="22">
        <v>2.383941497094324</v>
      </c>
      <c r="L305" s="22">
        <v>2.5989930970915003</v>
      </c>
      <c r="M305" s="22">
        <v>2.8386421487134141</v>
      </c>
      <c r="N305" s="22">
        <v>3.109851001654977</v>
      </c>
      <c r="O305" s="22">
        <v>3.4152645604051237</v>
      </c>
      <c r="P305" s="22">
        <v>3.7518107242613037</v>
      </c>
      <c r="Q305" s="22">
        <v>4.1165183234714151</v>
      </c>
      <c r="R305" s="22">
        <v>4.511305056766342</v>
      </c>
      <c r="S305" s="14"/>
      <c r="T305" s="14"/>
    </row>
    <row r="306" spans="1:20" x14ac:dyDescent="0.35">
      <c r="A306" t="s">
        <v>20</v>
      </c>
      <c r="B306" s="17" t="s">
        <v>59</v>
      </c>
      <c r="C306" s="18" t="s">
        <v>76</v>
      </c>
      <c r="D306" s="19" t="s">
        <v>80</v>
      </c>
      <c r="E306" s="19" t="s">
        <v>80</v>
      </c>
      <c r="F306" s="22">
        <v>1.2650584679040291</v>
      </c>
      <c r="G306" s="22">
        <v>1.3202496550252028</v>
      </c>
      <c r="H306" s="22">
        <v>1.3792318077528163</v>
      </c>
      <c r="I306" s="22">
        <v>1.4428028998539053</v>
      </c>
      <c r="J306" s="22">
        <v>1.5114854700871303</v>
      </c>
      <c r="K306" s="22">
        <v>1.5858487551288654</v>
      </c>
      <c r="L306" s="22">
        <v>1.6662871566689259</v>
      </c>
      <c r="M306" s="22">
        <v>1.7519680382291936</v>
      </c>
      <c r="N306" s="22">
        <v>1.8420254516125676</v>
      </c>
      <c r="O306" s="22">
        <v>1.9358656830830481</v>
      </c>
      <c r="P306" s="22">
        <v>2.0328825127361863</v>
      </c>
      <c r="Q306" s="22">
        <v>2.133672342757758</v>
      </c>
      <c r="R306" s="22">
        <v>2.2373896724222675</v>
      </c>
      <c r="S306" s="22"/>
      <c r="T306" s="22"/>
    </row>
    <row r="307" spans="1:20" x14ac:dyDescent="0.35">
      <c r="A307" t="s">
        <v>20</v>
      </c>
      <c r="B307" s="17" t="s">
        <v>59</v>
      </c>
      <c r="C307" s="18" t="s">
        <v>76</v>
      </c>
      <c r="D307" s="19" t="s">
        <v>81</v>
      </c>
      <c r="E307" s="19" t="s">
        <v>81</v>
      </c>
      <c r="F307" s="22">
        <v>1.461498992433772</v>
      </c>
      <c r="G307" s="22">
        <v>1.5486443489411739</v>
      </c>
      <c r="H307" s="22">
        <v>1.6426083440969061</v>
      </c>
      <c r="I307" s="22">
        <v>1.7446006331027231</v>
      </c>
      <c r="J307" s="22">
        <v>1.8555634632776965</v>
      </c>
      <c r="K307" s="22">
        <v>1.9765439912210505</v>
      </c>
      <c r="L307" s="22">
        <v>2.1084241820639686</v>
      </c>
      <c r="M307" s="22">
        <v>2.250574641449298</v>
      </c>
      <c r="N307" s="22">
        <v>2.4022714090086295</v>
      </c>
      <c r="O307" s="22">
        <v>2.5630891794960893</v>
      </c>
      <c r="P307" s="22">
        <v>2.732549039931659</v>
      </c>
      <c r="Q307" s="22">
        <v>2.9117489540996138</v>
      </c>
      <c r="R307" s="22">
        <v>3.0998763950039141</v>
      </c>
      <c r="S307" s="22"/>
      <c r="T307" s="22"/>
    </row>
    <row r="308" spans="1:20" x14ac:dyDescent="0.35">
      <c r="A308" t="s">
        <v>20</v>
      </c>
      <c r="B308" s="17" t="s">
        <v>47</v>
      </c>
      <c r="C308" s="13" t="s">
        <v>82</v>
      </c>
      <c r="D308" s="13" t="s">
        <v>82</v>
      </c>
      <c r="E308" s="13" t="s">
        <v>82</v>
      </c>
      <c r="F308" s="14">
        <v>47.263120391398083</v>
      </c>
      <c r="G308" s="14">
        <v>50.436689698886816</v>
      </c>
      <c r="H308" s="14">
        <v>53.870734990564344</v>
      </c>
      <c r="I308" s="14">
        <v>57.641534962666427</v>
      </c>
      <c r="J308" s="14">
        <v>61.779170010243547</v>
      </c>
      <c r="K308" s="14">
        <v>66.315070914806483</v>
      </c>
      <c r="L308" s="14">
        <v>71.268426718570609</v>
      </c>
      <c r="M308" s="14">
        <v>76.617782257127487</v>
      </c>
      <c r="N308" s="14">
        <v>82.353735209324086</v>
      </c>
      <c r="O308" s="14">
        <v>88.535650306405032</v>
      </c>
      <c r="P308" s="14">
        <v>95.18206839421444</v>
      </c>
      <c r="Q308" s="14">
        <v>102.31063684976834</v>
      </c>
      <c r="R308" s="14">
        <v>109.89514057452607</v>
      </c>
      <c r="S308" s="22"/>
      <c r="T308" s="22"/>
    </row>
    <row r="309" spans="1:20" x14ac:dyDescent="0.35">
      <c r="A309" t="s">
        <v>20</v>
      </c>
      <c r="B309" s="17" t="s">
        <v>47</v>
      </c>
      <c r="C309" s="13" t="s">
        <v>83</v>
      </c>
      <c r="D309" s="13" t="s">
        <v>83</v>
      </c>
      <c r="E309" s="13" t="s">
        <v>83</v>
      </c>
      <c r="F309" s="14">
        <v>87.062754931609945</v>
      </c>
      <c r="G309" s="14">
        <v>91.4104867296073</v>
      </c>
      <c r="H309" s="14">
        <v>96.071098522794571</v>
      </c>
      <c r="I309" s="14">
        <v>101.10543478495941</v>
      </c>
      <c r="J309" s="14">
        <v>106.5564430966871</v>
      </c>
      <c r="K309" s="14">
        <v>112.47132050164318</v>
      </c>
      <c r="L309" s="14">
        <v>118.88591369332427</v>
      </c>
      <c r="M309" s="14">
        <v>125.74928838999723</v>
      </c>
      <c r="N309" s="14">
        <v>133.00679513411384</v>
      </c>
      <c r="O309" s="14">
        <v>140.62204254395786</v>
      </c>
      <c r="P309" s="14">
        <v>148.55678229435583</v>
      </c>
      <c r="Q309" s="14">
        <v>156.85966370071336</v>
      </c>
      <c r="R309" s="14">
        <v>165.4744435874714</v>
      </c>
      <c r="S309" s="22"/>
      <c r="T309" s="22"/>
    </row>
    <row r="310" spans="1:20" x14ac:dyDescent="0.35">
      <c r="A310" t="s">
        <v>20</v>
      </c>
      <c r="B310" s="17" t="s">
        <v>84</v>
      </c>
      <c r="C310" s="13" t="s">
        <v>85</v>
      </c>
      <c r="D310" s="13" t="s">
        <v>85</v>
      </c>
      <c r="E310" s="13" t="s">
        <v>85</v>
      </c>
      <c r="F310" s="14">
        <v>8.923427492628246</v>
      </c>
      <c r="G310" s="14">
        <v>9.2191619288897861</v>
      </c>
      <c r="H310" s="14">
        <v>9.5400626735758109</v>
      </c>
      <c r="I310" s="14">
        <v>9.8880334412781092</v>
      </c>
      <c r="J310" s="14">
        <v>10.26847239952277</v>
      </c>
      <c r="K310" s="14">
        <v>10.69093121938676</v>
      </c>
      <c r="L310" s="14">
        <v>11.155716071717647</v>
      </c>
      <c r="M310" s="14">
        <v>11.663018730596894</v>
      </c>
      <c r="N310" s="14">
        <v>12.197278490296792</v>
      </c>
      <c r="O310" s="14">
        <v>12.747880111131222</v>
      </c>
      <c r="P310" s="14">
        <v>13.297840872376073</v>
      </c>
      <c r="Q310" s="14">
        <v>13.840499388095024</v>
      </c>
      <c r="R310" s="14">
        <v>14.383599885170058</v>
      </c>
      <c r="S310" s="22"/>
      <c r="T310" s="22"/>
    </row>
    <row r="311" spans="1:20" x14ac:dyDescent="0.35">
      <c r="A311" t="s">
        <v>20</v>
      </c>
      <c r="B311" s="17" t="s">
        <v>84</v>
      </c>
      <c r="C311" s="13" t="s">
        <v>86</v>
      </c>
      <c r="D311" s="13" t="s">
        <v>86</v>
      </c>
      <c r="E311" s="13" t="s">
        <v>86</v>
      </c>
      <c r="F311" s="14">
        <v>24.969000539123375</v>
      </c>
      <c r="G311" s="14">
        <v>26.105750954706902</v>
      </c>
      <c r="H311" s="14">
        <v>27.34040205141126</v>
      </c>
      <c r="I311" s="14">
        <v>28.644849822454084</v>
      </c>
      <c r="J311" s="14">
        <v>29.963739133033656</v>
      </c>
      <c r="K311" s="14">
        <v>31.327396923518776</v>
      </c>
      <c r="L311" s="14">
        <v>32.756183676189735</v>
      </c>
      <c r="M311" s="14">
        <v>34.297321336394099</v>
      </c>
      <c r="N311" s="14">
        <v>35.963135378493789</v>
      </c>
      <c r="O311" s="14">
        <v>37.752493554664959</v>
      </c>
      <c r="P311" s="14">
        <v>39.61600202935972</v>
      </c>
      <c r="Q311" s="14">
        <v>41.508840099109342</v>
      </c>
      <c r="R311" s="14">
        <v>43.458930452193535</v>
      </c>
      <c r="S311" s="22"/>
      <c r="T311" s="22"/>
    </row>
    <row r="312" spans="1:20" x14ac:dyDescent="0.35">
      <c r="A312" t="s">
        <v>20</v>
      </c>
      <c r="B312" s="17" t="s">
        <v>84</v>
      </c>
      <c r="C312" s="40" t="s">
        <v>87</v>
      </c>
      <c r="D312" s="40" t="s">
        <v>87</v>
      </c>
      <c r="E312" s="40" t="s">
        <v>87</v>
      </c>
      <c r="F312" s="42">
        <v>44.910056579559139</v>
      </c>
      <c r="G312" s="42">
        <v>47.709262496714317</v>
      </c>
      <c r="H312" s="42">
        <v>50.721483091571017</v>
      </c>
      <c r="I312" s="42">
        <v>54.182171486352814</v>
      </c>
      <c r="J312" s="42">
        <v>58.244122134997994</v>
      </c>
      <c r="K312" s="42">
        <v>62.895989581352765</v>
      </c>
      <c r="L312" s="42">
        <v>68.047714237186241</v>
      </c>
      <c r="M312" s="42">
        <v>73.432262026178876</v>
      </c>
      <c r="N312" s="42">
        <v>78.929639716324886</v>
      </c>
      <c r="O312" s="42">
        <v>84.657854428823896</v>
      </c>
      <c r="P312" s="42">
        <v>90.674837012268</v>
      </c>
      <c r="Q312" s="42">
        <v>97.197691638549884</v>
      </c>
      <c r="R312" s="42">
        <v>104.14424288575759</v>
      </c>
      <c r="S312" s="22"/>
      <c r="T312" s="22"/>
    </row>
    <row r="313" spans="1:20" x14ac:dyDescent="0.35">
      <c r="A313" t="s">
        <v>20</v>
      </c>
      <c r="B313" s="17" t="s">
        <v>84</v>
      </c>
      <c r="C313" s="13" t="s">
        <v>88</v>
      </c>
      <c r="D313" s="13" t="s">
        <v>88</v>
      </c>
      <c r="E313" s="13" t="s">
        <v>88</v>
      </c>
      <c r="F313" s="14">
        <v>29.625750049100308</v>
      </c>
      <c r="G313" s="14">
        <v>31.535362079125751</v>
      </c>
      <c r="H313" s="14">
        <v>33.607482789625735</v>
      </c>
      <c r="I313" s="14">
        <v>35.790552476273511</v>
      </c>
      <c r="J313" s="14">
        <v>38.043848562166332</v>
      </c>
      <c r="K313" s="14">
        <v>40.419985391421044</v>
      </c>
      <c r="L313" s="14">
        <v>42.964740601185184</v>
      </c>
      <c r="M313" s="14">
        <v>45.798602338989788</v>
      </c>
      <c r="N313" s="14">
        <v>48.968224950074692</v>
      </c>
      <c r="O313" s="14">
        <v>52.393936482960967</v>
      </c>
      <c r="P313" s="14">
        <v>56.098598867573337</v>
      </c>
      <c r="Q313" s="14">
        <v>60.00911135015685</v>
      </c>
      <c r="R313" s="14">
        <v>64.102203567067974</v>
      </c>
      <c r="S313" s="22"/>
      <c r="T313" s="22"/>
    </row>
    <row r="314" spans="1:20" x14ac:dyDescent="0.35">
      <c r="A314" t="s">
        <v>20</v>
      </c>
      <c r="B314" s="17" t="s">
        <v>84</v>
      </c>
      <c r="C314" s="13" t="s">
        <v>89</v>
      </c>
      <c r="D314" s="13" t="s">
        <v>89</v>
      </c>
      <c r="E314" s="13" t="s">
        <v>89</v>
      </c>
      <c r="F314" s="14">
        <v>8.7591665603520656</v>
      </c>
      <c r="G314" s="14">
        <v>9.254186451623287</v>
      </c>
      <c r="H314" s="14">
        <v>9.7422274892844225</v>
      </c>
      <c r="I314" s="14">
        <v>10.238942200009706</v>
      </c>
      <c r="J314" s="14">
        <v>10.773479238843562</v>
      </c>
      <c r="K314" s="14">
        <v>11.372692486228537</v>
      </c>
      <c r="L314" s="14">
        <v>12.05463629328645</v>
      </c>
      <c r="M314" s="14">
        <v>12.803812473251373</v>
      </c>
      <c r="N314" s="14">
        <v>13.590459530623434</v>
      </c>
      <c r="O314" s="14">
        <v>14.411786881926233</v>
      </c>
      <c r="P314" s="14">
        <v>15.281401805453767</v>
      </c>
      <c r="Q314" s="14">
        <v>16.214533480723873</v>
      </c>
      <c r="R314" s="14">
        <v>17.198923253090925</v>
      </c>
      <c r="S314" s="22"/>
      <c r="T314" s="22"/>
    </row>
    <row r="315" spans="1:20" x14ac:dyDescent="0.35">
      <c r="A315" t="s">
        <v>20</v>
      </c>
      <c r="B315" s="17" t="s">
        <v>84</v>
      </c>
      <c r="C315" s="13" t="s">
        <v>90</v>
      </c>
      <c r="D315" s="13" t="s">
        <v>90</v>
      </c>
      <c r="E315" s="13" t="s">
        <v>90</v>
      </c>
      <c r="F315" s="14">
        <v>17.138474102244899</v>
      </c>
      <c r="G315" s="14">
        <v>18.023452517434077</v>
      </c>
      <c r="H315" s="14">
        <v>18.990175417890665</v>
      </c>
      <c r="I315" s="14">
        <v>20.002420321257606</v>
      </c>
      <c r="J315" s="14">
        <v>21.041951638366331</v>
      </c>
      <c r="K315" s="14">
        <v>22.079395814541765</v>
      </c>
      <c r="L315" s="14">
        <v>23.175349532329623</v>
      </c>
      <c r="M315" s="14">
        <v>24.372053741713689</v>
      </c>
      <c r="N315" s="14">
        <v>25.711792277624301</v>
      </c>
      <c r="O315" s="14">
        <v>27.193741390855603</v>
      </c>
      <c r="P315" s="14">
        <v>28.770170101539374</v>
      </c>
      <c r="Q315" s="14">
        <v>30.399624593846685</v>
      </c>
      <c r="R315" s="14">
        <v>32.081684118717384</v>
      </c>
      <c r="S315" s="14"/>
      <c r="T315" s="14"/>
    </row>
    <row r="316" spans="1:20" x14ac:dyDescent="0.35">
      <c r="A316" t="s">
        <v>20</v>
      </c>
      <c r="B316" s="17" t="s">
        <v>91</v>
      </c>
      <c r="C316" s="13" t="s">
        <v>92</v>
      </c>
      <c r="D316" s="13" t="s">
        <v>92</v>
      </c>
      <c r="E316" s="13" t="s">
        <v>92</v>
      </c>
      <c r="F316" s="14">
        <v>53.262798296428691</v>
      </c>
      <c r="G316" s="14">
        <v>56.51587138901165</v>
      </c>
      <c r="H316" s="14">
        <v>60.061821952209336</v>
      </c>
      <c r="I316" s="14">
        <v>63.930357574965832</v>
      </c>
      <c r="J316" s="14">
        <v>68.17592330830692</v>
      </c>
      <c r="K316" s="14">
        <v>72.885236249302281</v>
      </c>
      <c r="L316" s="14">
        <v>78.08991474923252</v>
      </c>
      <c r="M316" s="14">
        <v>83.82243515566924</v>
      </c>
      <c r="N316" s="14">
        <v>90.003716275033796</v>
      </c>
      <c r="O316" s="14">
        <v>96.580818422911477</v>
      </c>
      <c r="P316" s="14">
        <v>103.44538656193403</v>
      </c>
      <c r="Q316" s="14">
        <v>110.55648745869834</v>
      </c>
      <c r="R316" s="14">
        <v>117.98306362044445</v>
      </c>
      <c r="S316" s="14"/>
      <c r="T316" s="14"/>
    </row>
    <row r="317" spans="1:20" x14ac:dyDescent="0.35">
      <c r="A317" t="s">
        <v>20</v>
      </c>
      <c r="B317" s="17" t="s">
        <v>91</v>
      </c>
      <c r="C317" s="13" t="s">
        <v>93</v>
      </c>
      <c r="D317" s="13" t="s">
        <v>93</v>
      </c>
      <c r="E317" s="13" t="s">
        <v>93</v>
      </c>
      <c r="F317" s="14">
        <v>81.06307702657935</v>
      </c>
      <c r="G317" s="14">
        <v>85.331305039482473</v>
      </c>
      <c r="H317" s="14">
        <v>89.880011561149587</v>
      </c>
      <c r="I317" s="14">
        <v>94.816612172660001</v>
      </c>
      <c r="J317" s="14">
        <v>100.15968979862373</v>
      </c>
      <c r="K317" s="14">
        <v>105.90115516714737</v>
      </c>
      <c r="L317" s="14">
        <v>112.06442566266236</v>
      </c>
      <c r="M317" s="14">
        <v>118.54463549145547</v>
      </c>
      <c r="N317" s="14">
        <v>125.35681406840412</v>
      </c>
      <c r="O317" s="14">
        <v>132.5768744274514</v>
      </c>
      <c r="P317" s="14">
        <v>140.29346412663625</v>
      </c>
      <c r="Q317" s="14">
        <v>148.61381309178333</v>
      </c>
      <c r="R317" s="14">
        <v>157.38652054155301</v>
      </c>
      <c r="S317" s="14"/>
      <c r="T317" s="14"/>
    </row>
    <row r="318" spans="1:20" x14ac:dyDescent="0.35">
      <c r="A318" t="s">
        <v>20</v>
      </c>
      <c r="B318" s="17" t="s">
        <v>94</v>
      </c>
      <c r="C318" s="13" t="s">
        <v>95</v>
      </c>
      <c r="D318" s="13" t="s">
        <v>95</v>
      </c>
      <c r="E318" s="13" t="s">
        <v>95</v>
      </c>
      <c r="F318" s="14">
        <v>7.843420017001149</v>
      </c>
      <c r="G318" s="14">
        <v>8.482420857058564</v>
      </c>
      <c r="H318" s="14">
        <v>9.1884756866980588</v>
      </c>
      <c r="I318" s="14">
        <v>9.9571335930911165</v>
      </c>
      <c r="J318" s="14">
        <v>10.773479238843562</v>
      </c>
      <c r="K318" s="14">
        <v>11.651016498506495</v>
      </c>
      <c r="L318" s="14">
        <v>12.601173434062563</v>
      </c>
      <c r="M318" s="14">
        <v>13.64696947126326</v>
      </c>
      <c r="N318" s="14">
        <v>14.800315824169756</v>
      </c>
      <c r="O318" s="14">
        <v>16.068681364729855</v>
      </c>
      <c r="P318" s="14">
        <v>17.439410649468623</v>
      </c>
      <c r="Q318" s="14">
        <v>18.899487554843951</v>
      </c>
      <c r="R318" s="14">
        <v>20.466695866503571</v>
      </c>
      <c r="S318" s="14"/>
      <c r="T318" s="14"/>
    </row>
    <row r="319" spans="1:20" x14ac:dyDescent="0.35">
      <c r="A319" t="s">
        <v>20</v>
      </c>
      <c r="B319" s="17" t="s">
        <v>94</v>
      </c>
      <c r="C319" s="40" t="s">
        <v>96</v>
      </c>
      <c r="D319" s="40" t="s">
        <v>96</v>
      </c>
      <c r="E319" s="40" t="s">
        <v>96</v>
      </c>
      <c r="F319" s="42">
        <v>21.680233063536321</v>
      </c>
      <c r="G319" s="42">
        <v>23.162584982284059</v>
      </c>
      <c r="H319" s="42">
        <v>24.789126700867058</v>
      </c>
      <c r="I319" s="42">
        <v>26.529441767359799</v>
      </c>
      <c r="J319" s="42">
        <v>28.448718615071272</v>
      </c>
      <c r="K319" s="42">
        <v>30.589088317835376</v>
      </c>
      <c r="L319" s="42">
        <v>33.001406529569266</v>
      </c>
      <c r="M319" s="42">
        <v>35.670558331350833</v>
      </c>
      <c r="N319" s="42">
        <v>38.562608027337205</v>
      </c>
      <c r="O319" s="42">
        <v>41.571183762471151</v>
      </c>
      <c r="P319" s="42">
        <v>44.684751908827195</v>
      </c>
      <c r="Q319" s="42">
        <v>48.00665281322793</v>
      </c>
      <c r="R319" s="42">
        <v>51.529841425939821</v>
      </c>
      <c r="S319" s="14"/>
      <c r="T319" s="14"/>
    </row>
    <row r="320" spans="1:20" x14ac:dyDescent="0.35">
      <c r="A320" t="s">
        <v>20</v>
      </c>
      <c r="B320" s="17" t="s">
        <v>94</v>
      </c>
      <c r="C320" s="13" t="s">
        <v>97</v>
      </c>
      <c r="D320" s="13" t="s">
        <v>97</v>
      </c>
      <c r="E320" s="13" t="s">
        <v>97</v>
      </c>
      <c r="F320" s="14">
        <v>23.033210392640857</v>
      </c>
      <c r="G320" s="14">
        <v>24.202742595419071</v>
      </c>
      <c r="H320" s="14">
        <v>25.457014113447016</v>
      </c>
      <c r="I320" s="14">
        <v>26.812350510426587</v>
      </c>
      <c r="J320" s="14">
        <v>28.280383001964353</v>
      </c>
      <c r="K320" s="14">
        <v>29.873907299329474</v>
      </c>
      <c r="L320" s="14">
        <v>31.602744593209426</v>
      </c>
      <c r="M320" s="14">
        <v>33.453678361605739</v>
      </c>
      <c r="N320" s="14">
        <v>35.412461476358274</v>
      </c>
      <c r="O320" s="14">
        <v>37.469662586367988</v>
      </c>
      <c r="P320" s="14">
        <v>39.615325516371122</v>
      </c>
      <c r="Q320" s="14">
        <v>41.862635202415404</v>
      </c>
      <c r="R320" s="14">
        <v>44.196824680396659</v>
      </c>
      <c r="S320" s="14"/>
      <c r="T320" s="14"/>
    </row>
    <row r="321" spans="1:20" x14ac:dyDescent="0.35">
      <c r="A321" t="s">
        <v>20</v>
      </c>
      <c r="B321" s="17" t="s">
        <v>94</v>
      </c>
      <c r="C321" s="13" t="s">
        <v>98</v>
      </c>
      <c r="D321" s="13" t="s">
        <v>98</v>
      </c>
      <c r="E321" s="13" t="s">
        <v>98</v>
      </c>
      <c r="F321" s="14">
        <v>39.449685558430602</v>
      </c>
      <c r="G321" s="14">
        <v>41.712322281021066</v>
      </c>
      <c r="H321" s="14">
        <v>44.148431156601397</v>
      </c>
      <c r="I321" s="14">
        <v>46.789358782062095</v>
      </c>
      <c r="J321" s="14">
        <v>49.65900586654454</v>
      </c>
      <c r="K321" s="14">
        <v>52.783869761432108</v>
      </c>
      <c r="L321" s="14">
        <v>56.185802745027864</v>
      </c>
      <c r="M321" s="14">
        <v>59.846187406238087</v>
      </c>
      <c r="N321" s="14">
        <v>63.744040848673357</v>
      </c>
      <c r="O321" s="14">
        <v>67.866474222360765</v>
      </c>
      <c r="P321" s="14">
        <v>72.199280012320202</v>
      </c>
      <c r="Q321" s="14">
        <v>76.770027350066584</v>
      </c>
      <c r="R321" s="14">
        <v>81.555670743708347</v>
      </c>
      <c r="S321" s="14"/>
      <c r="T321" s="14"/>
    </row>
    <row r="322" spans="1:20" x14ac:dyDescent="0.35">
      <c r="A322" t="s">
        <v>20</v>
      </c>
      <c r="B322" s="17" t="s">
        <v>94</v>
      </c>
      <c r="C322" s="13" t="s">
        <v>48</v>
      </c>
      <c r="D322" s="13" t="s">
        <v>48</v>
      </c>
      <c r="E322" s="13" t="s">
        <v>48</v>
      </c>
      <c r="F322" s="14">
        <v>9.6368610149419016</v>
      </c>
      <c r="G322" s="14">
        <v>10.2562508669642</v>
      </c>
      <c r="H322" s="14">
        <v>10.917331017285127</v>
      </c>
      <c r="I322" s="14">
        <v>11.65087905333678</v>
      </c>
      <c r="J322" s="14">
        <v>12.456835369912868</v>
      </c>
      <c r="K322" s="14">
        <v>13.334134911863208</v>
      </c>
      <c r="L322" s="14">
        <v>14.27590629948484</v>
      </c>
      <c r="M322" s="14">
        <v>15.272296463791792</v>
      </c>
      <c r="N322" s="14">
        <v>16.323344994538825</v>
      </c>
      <c r="O322" s="14">
        <v>17.468225726901043</v>
      </c>
      <c r="P322" s="14">
        <v>18.718053783724326</v>
      </c>
      <c r="Q322" s="14">
        <v>20.059432272327339</v>
      </c>
      <c r="R322" s="14">
        <v>21.480483963502515</v>
      </c>
      <c r="S322" s="14"/>
      <c r="T322" s="14"/>
    </row>
    <row r="323" spans="1:20" x14ac:dyDescent="0.35">
      <c r="A323" t="s">
        <v>20</v>
      </c>
      <c r="B323" s="17" t="s">
        <v>94</v>
      </c>
      <c r="C323" s="13" t="s">
        <v>99</v>
      </c>
      <c r="D323" s="13" t="s">
        <v>99</v>
      </c>
      <c r="E323" s="13" t="s">
        <v>99</v>
      </c>
      <c r="F323" s="14">
        <v>13.983376674949765</v>
      </c>
      <c r="G323" s="14">
        <v>14.508082396183498</v>
      </c>
      <c r="H323" s="14">
        <v>15.05513667396125</v>
      </c>
      <c r="I323" s="14">
        <v>15.66399196098895</v>
      </c>
      <c r="J323" s="14">
        <v>16.328554471372275</v>
      </c>
      <c r="K323" s="14">
        <v>17.041748292156733</v>
      </c>
      <c r="L323" s="14">
        <v>17.78952580397457</v>
      </c>
      <c r="M323" s="14">
        <v>18.55528976253245</v>
      </c>
      <c r="N323" s="14">
        <v>19.335931991204156</v>
      </c>
      <c r="O323" s="14">
        <v>20.174882828577072</v>
      </c>
      <c r="P323" s="14">
        <v>21.078701477318692</v>
      </c>
      <c r="Q323" s="14">
        <v>22.025405633672754</v>
      </c>
      <c r="R323" s="14">
        <v>22.996563389465244</v>
      </c>
      <c r="S323" s="14"/>
      <c r="T323" s="14"/>
    </row>
    <row r="324" spans="1:20" x14ac:dyDescent="0.35">
      <c r="A324" t="s">
        <v>20</v>
      </c>
      <c r="B324" s="17" t="s">
        <v>94</v>
      </c>
      <c r="C324" s="13" t="s">
        <v>100</v>
      </c>
      <c r="D324" s="13" t="s">
        <v>100</v>
      </c>
      <c r="E324" s="13" t="s">
        <v>100</v>
      </c>
      <c r="F324" s="14">
        <v>18.699088601507441</v>
      </c>
      <c r="G324" s="14">
        <v>19.522772449563661</v>
      </c>
      <c r="H324" s="14">
        <v>20.386318164499016</v>
      </c>
      <c r="I324" s="14">
        <v>21.343814080360513</v>
      </c>
      <c r="J324" s="14">
        <v>22.388636543221796</v>
      </c>
      <c r="K324" s="14">
        <v>23.512626335326239</v>
      </c>
      <c r="L324" s="14">
        <v>24.697781006566355</v>
      </c>
      <c r="M324" s="14">
        <v>25.922090850342542</v>
      </c>
      <c r="N324" s="14">
        <v>27.181827181156372</v>
      </c>
      <c r="O324" s="14">
        <v>28.538582358955004</v>
      </c>
      <c r="P324" s="14">
        <v>30.003327340540118</v>
      </c>
      <c r="Q324" s="14">
        <v>31.546659723927686</v>
      </c>
      <c r="R324" s="14">
        <v>33.143504092481287</v>
      </c>
      <c r="S324" s="14"/>
      <c r="T324" s="14"/>
    </row>
    <row r="325" spans="1:20" x14ac:dyDescent="0.35">
      <c r="A325" t="s">
        <v>27</v>
      </c>
      <c r="B325" s="17" t="s">
        <v>54</v>
      </c>
      <c r="C325" s="13" t="s">
        <v>55</v>
      </c>
      <c r="D325" s="13" t="s">
        <v>55</v>
      </c>
      <c r="E325" s="13" t="s">
        <v>55</v>
      </c>
      <c r="F325" s="14">
        <v>20.902373989809881</v>
      </c>
      <c r="G325" s="14">
        <v>23.121107813549735</v>
      </c>
      <c r="H325" s="14">
        <v>25.488022187805299</v>
      </c>
      <c r="I325" s="14">
        <v>28.052593910019894</v>
      </c>
      <c r="J325" s="14">
        <v>30.909448607468395</v>
      </c>
      <c r="K325" s="14">
        <v>34.162737539232339</v>
      </c>
      <c r="L325" s="14">
        <v>37.906844680988556</v>
      </c>
      <c r="M325" s="14">
        <v>42.144122739421434</v>
      </c>
      <c r="N325" s="14">
        <v>46.825132027443154</v>
      </c>
      <c r="O325" s="14">
        <v>51.97903715794358</v>
      </c>
      <c r="P325" s="14">
        <v>57.695353469855945</v>
      </c>
      <c r="Q325" s="14">
        <v>64.082008935624515</v>
      </c>
      <c r="R325" s="14">
        <v>71.153028947251457</v>
      </c>
      <c r="S325" s="14"/>
      <c r="T325" s="14"/>
    </row>
    <row r="326" spans="1:20" x14ac:dyDescent="0.35">
      <c r="A326" t="s">
        <v>27</v>
      </c>
      <c r="B326" s="17" t="s">
        <v>54</v>
      </c>
      <c r="C326" s="13" t="s">
        <v>56</v>
      </c>
      <c r="D326" s="13" t="s">
        <v>56</v>
      </c>
      <c r="E326" s="13" t="s">
        <v>56</v>
      </c>
      <c r="F326" s="14">
        <v>52.40928565115221</v>
      </c>
      <c r="G326" s="14">
        <v>56.305888875463793</v>
      </c>
      <c r="H326" s="14">
        <v>60.586045678010414</v>
      </c>
      <c r="I326" s="14">
        <v>65.292540257878997</v>
      </c>
      <c r="J326" s="14">
        <v>70.495233666155983</v>
      </c>
      <c r="K326" s="14">
        <v>76.300479620724474</v>
      </c>
      <c r="L326" s="14">
        <v>82.761819023227901</v>
      </c>
      <c r="M326" s="14">
        <v>89.935846473252909</v>
      </c>
      <c r="N326" s="14">
        <v>97.761717433247313</v>
      </c>
      <c r="O326" s="14">
        <v>106.20339106348841</v>
      </c>
      <c r="P326" s="14">
        <v>115.16159205423527</v>
      </c>
      <c r="Q326" s="14">
        <v>124.60670227403584</v>
      </c>
      <c r="R326" s="14">
        <v>134.63107234133079</v>
      </c>
      <c r="S326" s="14"/>
      <c r="T326" s="14"/>
    </row>
    <row r="327" spans="1:20" x14ac:dyDescent="0.35">
      <c r="A327" t="s">
        <v>27</v>
      </c>
      <c r="B327" s="17" t="s">
        <v>54</v>
      </c>
      <c r="C327" s="13" t="s">
        <v>57</v>
      </c>
      <c r="D327" s="13" t="s">
        <v>57</v>
      </c>
      <c r="E327" s="13" t="s">
        <v>57</v>
      </c>
      <c r="F327" s="14">
        <v>131.076032542001</v>
      </c>
      <c r="G327" s="14">
        <v>140.27068276965915</v>
      </c>
      <c r="H327" s="14">
        <v>149.58048782794847</v>
      </c>
      <c r="I327" s="14">
        <v>159.24618487297528</v>
      </c>
      <c r="J327" s="14">
        <v>169.73083182697556</v>
      </c>
      <c r="K327" s="14">
        <v>181.48507338369768</v>
      </c>
      <c r="L327" s="14">
        <v>194.84169005996375</v>
      </c>
      <c r="M327" s="14">
        <v>209.60705526775007</v>
      </c>
      <c r="N327" s="14">
        <v>225.34256315648835</v>
      </c>
      <c r="O327" s="14">
        <v>242.03302677655725</v>
      </c>
      <c r="P327" s="14">
        <v>259.93705534166656</v>
      </c>
      <c r="Q327" s="14">
        <v>279.35336146545683</v>
      </c>
      <c r="R327" s="14">
        <v>300.12141080629306</v>
      </c>
      <c r="S327" s="14"/>
      <c r="T327" s="14"/>
    </row>
    <row r="328" spans="1:20" x14ac:dyDescent="0.35">
      <c r="A328" t="s">
        <v>27</v>
      </c>
      <c r="B328" s="17" t="s">
        <v>59</v>
      </c>
      <c r="C328" s="18" t="s">
        <v>60</v>
      </c>
      <c r="D328" s="38" t="s">
        <v>61</v>
      </c>
      <c r="E328" s="39" t="s">
        <v>62</v>
      </c>
      <c r="F328" s="22">
        <v>8.0585562751870228</v>
      </c>
      <c r="G328" s="22">
        <v>8.918917580099162</v>
      </c>
      <c r="H328" s="22">
        <v>9.8374459579026343</v>
      </c>
      <c r="I328" s="22">
        <v>10.833339297926194</v>
      </c>
      <c r="J328" s="22">
        <v>11.943274289626677</v>
      </c>
      <c r="K328" s="22">
        <v>13.207690750921767</v>
      </c>
      <c r="L328" s="22">
        <v>14.663343019191753</v>
      </c>
      <c r="M328" s="22">
        <v>16.311467448380686</v>
      </c>
      <c r="N328" s="22">
        <v>18.133257854790884</v>
      </c>
      <c r="O328" s="22">
        <v>20.140306990940903</v>
      </c>
      <c r="P328" s="22">
        <v>22.36761830733122</v>
      </c>
      <c r="Q328" s="22">
        <v>24.857412266521742</v>
      </c>
      <c r="R328" s="22">
        <v>27.615579332817475</v>
      </c>
      <c r="S328" s="14"/>
      <c r="T328" s="14"/>
    </row>
    <row r="329" spans="1:20" x14ac:dyDescent="0.35">
      <c r="A329" t="s">
        <v>27</v>
      </c>
      <c r="B329" s="17" t="s">
        <v>59</v>
      </c>
      <c r="C329" s="18" t="s">
        <v>60</v>
      </c>
      <c r="D329" s="38" t="s">
        <v>61</v>
      </c>
      <c r="E329" s="39" t="s">
        <v>63</v>
      </c>
      <c r="F329" s="22">
        <v>13.378647767246044</v>
      </c>
      <c r="G329" s="22">
        <v>14.488134772873014</v>
      </c>
      <c r="H329" s="22">
        <v>15.718607452663496</v>
      </c>
      <c r="I329" s="22">
        <v>17.048344250105028</v>
      </c>
      <c r="J329" s="22">
        <v>18.467840799700515</v>
      </c>
      <c r="K329" s="22">
        <v>19.956281336878906</v>
      </c>
      <c r="L329" s="22">
        <v>21.571336840418081</v>
      </c>
      <c r="M329" s="22">
        <v>23.360240946036281</v>
      </c>
      <c r="N329" s="22">
        <v>25.375365770175513</v>
      </c>
      <c r="O329" s="22">
        <v>27.631988980077171</v>
      </c>
      <c r="P329" s="22">
        <v>30.098503637540503</v>
      </c>
      <c r="Q329" s="22">
        <v>32.7450554926384</v>
      </c>
      <c r="R329" s="22">
        <v>35.581573902830222</v>
      </c>
      <c r="S329" s="14"/>
      <c r="T329" s="14"/>
    </row>
    <row r="330" spans="1:20" x14ac:dyDescent="0.35">
      <c r="A330" t="s">
        <v>27</v>
      </c>
      <c r="B330" s="17" t="s">
        <v>59</v>
      </c>
      <c r="C330" s="18" t="s">
        <v>60</v>
      </c>
      <c r="D330" s="38" t="s">
        <v>61</v>
      </c>
      <c r="E330" s="39" t="s">
        <v>64</v>
      </c>
      <c r="F330" s="22">
        <v>21.27958635213669</v>
      </c>
      <c r="G330" s="22">
        <v>22.863174911163906</v>
      </c>
      <c r="H330" s="22">
        <v>23.756615486805693</v>
      </c>
      <c r="I330" s="22">
        <v>24.220092217937744</v>
      </c>
      <c r="J330" s="22">
        <v>24.881821436722241</v>
      </c>
      <c r="K330" s="22">
        <v>26.163585280013805</v>
      </c>
      <c r="L330" s="22">
        <v>28.262662895354417</v>
      </c>
      <c r="M330" s="22">
        <v>30.733515191189085</v>
      </c>
      <c r="N330" s="22">
        <v>32.93204244455648</v>
      </c>
      <c r="O330" s="22">
        <v>34.684301380833894</v>
      </c>
      <c r="P330" s="22">
        <v>36.430279697381856</v>
      </c>
      <c r="Q330" s="22">
        <v>38.708165261119085</v>
      </c>
      <c r="R330" s="22">
        <v>41.217100527772182</v>
      </c>
      <c r="S330" s="22"/>
      <c r="T330" s="22"/>
    </row>
    <row r="331" spans="1:20" x14ac:dyDescent="0.35">
      <c r="A331" t="s">
        <v>27</v>
      </c>
      <c r="B331" s="17" t="s">
        <v>59</v>
      </c>
      <c r="C331" s="18" t="s">
        <v>60</v>
      </c>
      <c r="D331" s="38" t="s">
        <v>65</v>
      </c>
      <c r="E331" s="38" t="s">
        <v>65</v>
      </c>
      <c r="F331" s="41">
        <v>37.362785291483135</v>
      </c>
      <c r="G331" s="41">
        <v>39.902174201450627</v>
      </c>
      <c r="H331" s="41">
        <v>42.680658151539653</v>
      </c>
      <c r="I331" s="41">
        <v>45.723749023428383</v>
      </c>
      <c r="J331" s="41">
        <v>49.075256916694492</v>
      </c>
      <c r="K331" s="41">
        <v>52.803294545041041</v>
      </c>
      <c r="L331" s="41">
        <v>56.937742953858844</v>
      </c>
      <c r="M331" s="41">
        <v>61.509790278958491</v>
      </c>
      <c r="N331" s="41">
        <v>66.469471976982263</v>
      </c>
      <c r="O331" s="41">
        <v>71.784751706782927</v>
      </c>
      <c r="P331" s="41">
        <v>77.381502147357565</v>
      </c>
      <c r="Q331" s="41">
        <v>83.234050473249184</v>
      </c>
      <c r="R331" s="41">
        <v>89.39872444001513</v>
      </c>
      <c r="S331" s="22"/>
      <c r="T331" s="22"/>
    </row>
    <row r="332" spans="1:20" x14ac:dyDescent="0.35">
      <c r="A332" t="s">
        <v>27</v>
      </c>
      <c r="B332" s="17" t="s">
        <v>59</v>
      </c>
      <c r="C332" s="18" t="s">
        <v>60</v>
      </c>
      <c r="D332" s="38" t="s">
        <v>66</v>
      </c>
      <c r="E332" s="38" t="s">
        <v>66</v>
      </c>
      <c r="F332" s="41">
        <v>22.683440292964114</v>
      </c>
      <c r="G332" s="41">
        <v>24.25057263772678</v>
      </c>
      <c r="H332" s="41">
        <v>25.968842515927854</v>
      </c>
      <c r="I332" s="41">
        <v>27.819692772247087</v>
      </c>
      <c r="J332" s="41">
        <v>29.756038130484441</v>
      </c>
      <c r="K332" s="41">
        <v>31.811313442109636</v>
      </c>
      <c r="L332" s="41">
        <v>34.011664329481896</v>
      </c>
      <c r="M332" s="41">
        <v>36.413205938385694</v>
      </c>
      <c r="N332" s="41">
        <v>39.039704975915491</v>
      </c>
      <c r="O332" s="41">
        <v>41.901937722020456</v>
      </c>
      <c r="P332" s="41">
        <v>44.957502455763901</v>
      </c>
      <c r="Q332" s="41">
        <v>48.164781097629749</v>
      </c>
      <c r="R332" s="41">
        <v>51.562359408026232</v>
      </c>
      <c r="S332" s="22"/>
      <c r="T332" s="22"/>
    </row>
    <row r="333" spans="1:20" x14ac:dyDescent="0.35">
      <c r="A333" t="s">
        <v>27</v>
      </c>
      <c r="B333" s="17" t="s">
        <v>59</v>
      </c>
      <c r="C333" s="18" t="s">
        <v>60</v>
      </c>
      <c r="D333" s="38" t="s">
        <v>67</v>
      </c>
      <c r="E333" s="38" t="s">
        <v>67</v>
      </c>
      <c r="F333" s="41">
        <v>15.152695811879314</v>
      </c>
      <c r="G333" s="41">
        <v>16.024683187495967</v>
      </c>
      <c r="H333" s="41">
        <v>16.949788322914674</v>
      </c>
      <c r="I333" s="41">
        <v>17.974654655210344</v>
      </c>
      <c r="J333" s="41">
        <v>19.097158800161655</v>
      </c>
      <c r="K333" s="41">
        <v>20.313664142372346</v>
      </c>
      <c r="L333" s="41">
        <v>21.611754054837107</v>
      </c>
      <c r="M333" s="41">
        <v>22.974784142454155</v>
      </c>
      <c r="N333" s="41">
        <v>24.401387043749153</v>
      </c>
      <c r="O333" s="41">
        <v>25.948711319014382</v>
      </c>
      <c r="P333" s="41">
        <v>27.63076775659599</v>
      </c>
      <c r="Q333" s="41">
        <v>29.424998703455703</v>
      </c>
      <c r="R333" s="41">
        <v>31.311604972617747</v>
      </c>
      <c r="S333" s="22"/>
      <c r="T333" s="22"/>
    </row>
    <row r="334" spans="1:20" x14ac:dyDescent="0.35">
      <c r="A334" t="s">
        <v>27</v>
      </c>
      <c r="B334" s="17" t="s">
        <v>59</v>
      </c>
      <c r="C334" s="18" t="s">
        <v>60</v>
      </c>
      <c r="D334" s="38" t="s">
        <v>68</v>
      </c>
      <c r="E334" s="38" t="s">
        <v>68</v>
      </c>
      <c r="F334" s="41">
        <v>24.893263907355443</v>
      </c>
      <c r="G334" s="41">
        <v>26.929404152029207</v>
      </c>
      <c r="H334" s="41">
        <v>29.176972478463362</v>
      </c>
      <c r="I334" s="41">
        <v>31.660754504703895</v>
      </c>
      <c r="J334" s="41">
        <v>34.419297837500658</v>
      </c>
      <c r="K334" s="41">
        <v>37.509972773631176</v>
      </c>
      <c r="L334" s="41">
        <v>40.965697604482997</v>
      </c>
      <c r="M334" s="41">
        <v>44.821723405980023</v>
      </c>
      <c r="N334" s="41">
        <v>49.055650401471041</v>
      </c>
      <c r="O334" s="41">
        <v>53.656816703183999</v>
      </c>
      <c r="P334" s="41">
        <v>58.58223497428574</v>
      </c>
      <c r="Q334" s="41">
        <v>63.823089287796542</v>
      </c>
      <c r="R334" s="41">
        <v>69.432719353850842</v>
      </c>
      <c r="S334" s="22"/>
      <c r="T334" s="22"/>
    </row>
    <row r="335" spans="1:20" x14ac:dyDescent="0.35">
      <c r="A335" t="s">
        <v>27</v>
      </c>
      <c r="B335" s="17" t="s">
        <v>59</v>
      </c>
      <c r="C335" s="18" t="s">
        <v>60</v>
      </c>
      <c r="D335" s="38" t="s">
        <v>69</v>
      </c>
      <c r="E335" s="38" t="s">
        <v>69</v>
      </c>
      <c r="F335" s="41">
        <v>27.662539190336339</v>
      </c>
      <c r="G335" s="41">
        <v>29.185022296880511</v>
      </c>
      <c r="H335" s="41">
        <v>30.842891235479602</v>
      </c>
      <c r="I335" s="41">
        <v>32.607802048770516</v>
      </c>
      <c r="J335" s="41">
        <v>34.419297837500658</v>
      </c>
      <c r="K335" s="41">
        <v>36.313099922049027</v>
      </c>
      <c r="L335" s="41">
        <v>38.314658758510831</v>
      </c>
      <c r="M335" s="41">
        <v>40.481736135847669</v>
      </c>
      <c r="N335" s="41">
        <v>42.832957973116393</v>
      </c>
      <c r="O335" s="41">
        <v>45.371521604982611</v>
      </c>
      <c r="P335" s="41">
        <v>48.042654452795958</v>
      </c>
      <c r="Q335" s="41">
        <v>50.795060695468408</v>
      </c>
      <c r="R335" s="41">
        <v>53.664543456914231</v>
      </c>
      <c r="S335" s="22"/>
      <c r="T335" s="22"/>
    </row>
    <row r="336" spans="1:20" x14ac:dyDescent="0.35">
      <c r="A336" t="s">
        <v>27</v>
      </c>
      <c r="B336" s="17" t="s">
        <v>59</v>
      </c>
      <c r="C336" s="18" t="s">
        <v>70</v>
      </c>
      <c r="D336" s="19" t="s">
        <v>71</v>
      </c>
      <c r="E336" s="19" t="s">
        <v>71</v>
      </c>
      <c r="F336" s="22">
        <v>5.1499362145243648</v>
      </c>
      <c r="G336" s="22">
        <v>5.7147300978939253</v>
      </c>
      <c r="H336" s="22">
        <v>6.3425126401638172</v>
      </c>
      <c r="I336" s="22">
        <v>7.0566049532850625</v>
      </c>
      <c r="J336" s="22">
        <v>7.8650989930302035</v>
      </c>
      <c r="K336" s="22">
        <v>8.7760681529640081</v>
      </c>
      <c r="L336" s="22">
        <v>9.7943175472197783</v>
      </c>
      <c r="M336" s="22">
        <v>10.922547665429349</v>
      </c>
      <c r="N336" s="22">
        <v>12.17009572653116</v>
      </c>
      <c r="O336" s="22">
        <v>13.576164275398567</v>
      </c>
      <c r="P336" s="22">
        <v>15.163838861402267</v>
      </c>
      <c r="Q336" s="22">
        <v>16.938908280827942</v>
      </c>
      <c r="R336" s="22">
        <v>18.907872663921818</v>
      </c>
      <c r="S336" s="22"/>
      <c r="T336" s="22"/>
    </row>
    <row r="337" spans="1:20" x14ac:dyDescent="0.35">
      <c r="A337" t="s">
        <v>27</v>
      </c>
      <c r="B337" s="17" t="s">
        <v>59</v>
      </c>
      <c r="C337" s="18" t="s">
        <v>70</v>
      </c>
      <c r="D337" s="19" t="s">
        <v>72</v>
      </c>
      <c r="E337" s="19" t="s">
        <v>72</v>
      </c>
      <c r="F337" s="22">
        <v>3.8775137652761424</v>
      </c>
      <c r="G337" s="22">
        <v>4.3608255906870452</v>
      </c>
      <c r="H337" s="22">
        <v>4.9131013603367615</v>
      </c>
      <c r="I337" s="22">
        <v>5.5336822693461079</v>
      </c>
      <c r="J337" s="22">
        <v>6.2252714037497752</v>
      </c>
      <c r="K337" s="22">
        <v>6.986693315204823</v>
      </c>
      <c r="L337" s="22">
        <v>7.8435747350736795</v>
      </c>
      <c r="M337" s="22">
        <v>8.8212353321561316</v>
      </c>
      <c r="N337" s="22">
        <v>9.950160330795228</v>
      </c>
      <c r="O337" s="22">
        <v>11.250096774514082</v>
      </c>
      <c r="P337" s="22">
        <v>12.723613152877553</v>
      </c>
      <c r="Q337" s="22">
        <v>14.373163099479887</v>
      </c>
      <c r="R337" s="22">
        <v>16.217806501217325</v>
      </c>
      <c r="S337" s="22"/>
      <c r="T337" s="22"/>
    </row>
    <row r="338" spans="1:20" x14ac:dyDescent="0.35">
      <c r="A338" t="s">
        <v>27</v>
      </c>
      <c r="B338" s="17" t="s">
        <v>59</v>
      </c>
      <c r="C338" s="18" t="s">
        <v>70</v>
      </c>
      <c r="D338" s="19" t="s">
        <v>73</v>
      </c>
      <c r="E338" s="19" t="s">
        <v>73</v>
      </c>
      <c r="F338" s="22">
        <v>3.6918628385571659</v>
      </c>
      <c r="G338" s="22">
        <v>4.0109576681668582</v>
      </c>
      <c r="H338" s="22">
        <v>4.3656543950180167</v>
      </c>
      <c r="I338" s="22">
        <v>4.750262419778652</v>
      </c>
      <c r="J338" s="22">
        <v>5.1624201884754237</v>
      </c>
      <c r="K338" s="22">
        <v>5.5965724805803392</v>
      </c>
      <c r="L338" s="22">
        <v>6.0691018952544136</v>
      </c>
      <c r="M338" s="22">
        <v>6.5936660840764789</v>
      </c>
      <c r="N338" s="22">
        <v>7.1855482549774354</v>
      </c>
      <c r="O338" s="22">
        <v>7.8497223466930963</v>
      </c>
      <c r="P338" s="22">
        <v>8.5779039055297037</v>
      </c>
      <c r="Q338" s="22">
        <v>9.3621982130567449</v>
      </c>
      <c r="R338" s="22">
        <v>10.205981074346663</v>
      </c>
      <c r="S338" s="22"/>
      <c r="T338" s="22"/>
    </row>
    <row r="339" spans="1:20" x14ac:dyDescent="0.35">
      <c r="A339" t="s">
        <v>27</v>
      </c>
      <c r="B339" s="17" t="s">
        <v>59</v>
      </c>
      <c r="C339" s="18" t="s">
        <v>70</v>
      </c>
      <c r="D339" s="19" t="s">
        <v>74</v>
      </c>
      <c r="E339" s="19" t="s">
        <v>74</v>
      </c>
      <c r="F339" s="22">
        <v>4.3006298044197155</v>
      </c>
      <c r="G339" s="22">
        <v>4.7124437055846222</v>
      </c>
      <c r="H339" s="22">
        <v>5.1720219499677658</v>
      </c>
      <c r="I339" s="22">
        <v>5.6785777516303755</v>
      </c>
      <c r="J339" s="22">
        <v>6.2252714037497752</v>
      </c>
      <c r="K339" s="22">
        <v>6.8212816822291851</v>
      </c>
      <c r="L339" s="22">
        <v>7.4750223995597205</v>
      </c>
      <c r="M339" s="22">
        <v>8.2021846259895543</v>
      </c>
      <c r="N339" s="22">
        <v>9.012560313196218</v>
      </c>
      <c r="O339" s="22">
        <v>9.9136858898115428</v>
      </c>
      <c r="P339" s="22">
        <v>10.901003583158717</v>
      </c>
      <c r="Q339" s="22">
        <v>11.969408926830235</v>
      </c>
      <c r="R339" s="22">
        <v>13.132958791336749</v>
      </c>
      <c r="S339" s="22"/>
      <c r="T339" s="22"/>
    </row>
    <row r="340" spans="1:20" x14ac:dyDescent="0.35">
      <c r="A340" t="s">
        <v>27</v>
      </c>
      <c r="B340" s="17" t="s">
        <v>59</v>
      </c>
      <c r="C340" s="18" t="s">
        <v>70</v>
      </c>
      <c r="D340" s="19" t="s">
        <v>75</v>
      </c>
      <c r="E340" s="19" t="s">
        <v>75</v>
      </c>
      <c r="F340" s="22">
        <v>3.2801390742990066</v>
      </c>
      <c r="G340" s="22">
        <v>3.6210428853781154</v>
      </c>
      <c r="H340" s="22">
        <v>4.0046188069238378</v>
      </c>
      <c r="I340" s="22">
        <v>4.4274919309461627</v>
      </c>
      <c r="J340" s="22">
        <v>4.8891155902620183</v>
      </c>
      <c r="K340" s="22">
        <v>5.3858318826974472</v>
      </c>
      <c r="L340" s="22">
        <v>5.9348080140877535</v>
      </c>
      <c r="M340" s="22">
        <v>6.5516107240331323</v>
      </c>
      <c r="N340" s="22">
        <v>7.2543562459255542</v>
      </c>
      <c r="O340" s="22">
        <v>8.0518253215340181</v>
      </c>
      <c r="P340" s="22">
        <v>8.9396438608444804</v>
      </c>
      <c r="Q340" s="22">
        <v>9.9134364242667594</v>
      </c>
      <c r="R340" s="22">
        <v>10.980363352397807</v>
      </c>
      <c r="S340" s="22"/>
      <c r="T340" s="22"/>
    </row>
    <row r="341" spans="1:20" x14ac:dyDescent="0.35">
      <c r="A341" t="s">
        <v>27</v>
      </c>
      <c r="B341" s="17" t="s">
        <v>59</v>
      </c>
      <c r="C341" s="18" t="s">
        <v>76</v>
      </c>
      <c r="D341" s="19" t="s">
        <v>77</v>
      </c>
      <c r="E341" s="19" t="s">
        <v>77</v>
      </c>
      <c r="F341" s="22">
        <v>3.834778014661135</v>
      </c>
      <c r="G341" s="22">
        <v>4.178001246685306</v>
      </c>
      <c r="H341" s="22">
        <v>4.5593295696514629</v>
      </c>
      <c r="I341" s="22">
        <v>4.9773638102119984</v>
      </c>
      <c r="J341" s="22">
        <v>5.425421637153006</v>
      </c>
      <c r="K341" s="22">
        <v>5.9109239743478517</v>
      </c>
      <c r="L341" s="22">
        <v>6.4404512245737013</v>
      </c>
      <c r="M341" s="22">
        <v>7.0266936233613588</v>
      </c>
      <c r="N341" s="22">
        <v>7.6769866843202932</v>
      </c>
      <c r="O341" s="22">
        <v>8.3965632345956731</v>
      </c>
      <c r="P341" s="22">
        <v>9.180277438861987</v>
      </c>
      <c r="Q341" s="22">
        <v>10.022622327802898</v>
      </c>
      <c r="R341" s="22">
        <v>10.934244145527753</v>
      </c>
      <c r="S341" s="22"/>
      <c r="T341" s="22"/>
    </row>
    <row r="342" spans="1:20" x14ac:dyDescent="0.35">
      <c r="A342" t="s">
        <v>27</v>
      </c>
      <c r="B342" s="17" t="s">
        <v>59</v>
      </c>
      <c r="C342" s="18" t="s">
        <v>76</v>
      </c>
      <c r="D342" s="19" t="s">
        <v>78</v>
      </c>
      <c r="E342" s="19" t="s">
        <v>78</v>
      </c>
      <c r="F342" s="22">
        <v>3.6898369618237115</v>
      </c>
      <c r="G342" s="22">
        <v>3.9501552133684452</v>
      </c>
      <c r="H342" s="22">
        <v>4.2295631110037633</v>
      </c>
      <c r="I342" s="22">
        <v>4.5403016339116258</v>
      </c>
      <c r="J342" s="22">
        <v>4.882879473437705</v>
      </c>
      <c r="K342" s="22">
        <v>5.2574170382482404</v>
      </c>
      <c r="L342" s="22">
        <v>5.6617423170782217</v>
      </c>
      <c r="M342" s="22">
        <v>6.0924441388073429</v>
      </c>
      <c r="N342" s="22">
        <v>6.549972534274449</v>
      </c>
      <c r="O342" s="22">
        <v>7.0504867918245786</v>
      </c>
      <c r="P342" s="22">
        <v>7.5991961147876239</v>
      </c>
      <c r="Q342" s="22">
        <v>8.1914726342811033</v>
      </c>
      <c r="R342" s="22">
        <v>8.823192042269568</v>
      </c>
      <c r="S342" s="22"/>
      <c r="T342" s="22"/>
    </row>
    <row r="343" spans="1:20" x14ac:dyDescent="0.35">
      <c r="A343" t="s">
        <v>27</v>
      </c>
      <c r="B343" s="17" t="s">
        <v>59</v>
      </c>
      <c r="C343" s="18" t="s">
        <v>76</v>
      </c>
      <c r="D343" s="19" t="s">
        <v>79</v>
      </c>
      <c r="E343" s="19" t="s">
        <v>79</v>
      </c>
      <c r="F343" s="22">
        <v>2.1790913790772288</v>
      </c>
      <c r="G343" s="22">
        <v>2.4034631097412666</v>
      </c>
      <c r="H343" s="22">
        <v>2.6549432108905</v>
      </c>
      <c r="I343" s="22">
        <v>2.9371611826361206</v>
      </c>
      <c r="J343" s="22">
        <v>3.255252982291803</v>
      </c>
      <c r="K343" s="22">
        <v>3.6164744999515293</v>
      </c>
      <c r="L343" s="22">
        <v>4.0262176668602621</v>
      </c>
      <c r="M343" s="22">
        <v>4.4904367853837366</v>
      </c>
      <c r="N343" s="22">
        <v>5.0096767448812338</v>
      </c>
      <c r="O343" s="22">
        <v>5.5856178799100276</v>
      </c>
      <c r="P343" s="22">
        <v>6.2166012711687166</v>
      </c>
      <c r="Q343" s="22">
        <v>6.9043587577378593</v>
      </c>
      <c r="R343" s="22">
        <v>7.6573780019187838</v>
      </c>
      <c r="S343" s="22"/>
      <c r="T343" s="22"/>
    </row>
    <row r="344" spans="1:20" x14ac:dyDescent="0.35">
      <c r="A344" t="s">
        <v>27</v>
      </c>
      <c r="B344" s="17" t="s">
        <v>59</v>
      </c>
      <c r="C344" s="18" t="s">
        <v>76</v>
      </c>
      <c r="D344" s="19" t="s">
        <v>80</v>
      </c>
      <c r="E344" s="19" t="s">
        <v>80</v>
      </c>
      <c r="F344" s="22">
        <v>1.9224666399670733</v>
      </c>
      <c r="G344" s="22">
        <v>2.0339038186956264</v>
      </c>
      <c r="H344" s="22">
        <v>2.1551903743357137</v>
      </c>
      <c r="I344" s="22">
        <v>2.2873015217111425</v>
      </c>
      <c r="J344" s="22">
        <v>2.4320855614823818</v>
      </c>
      <c r="K344" s="22">
        <v>2.5925198565936314</v>
      </c>
      <c r="L344" s="22">
        <v>2.769586529809088</v>
      </c>
      <c r="M344" s="22">
        <v>2.9642858636938523</v>
      </c>
      <c r="N344" s="22">
        <v>3.1736604733200475</v>
      </c>
      <c r="O344" s="22">
        <v>3.3957079393998235</v>
      </c>
      <c r="P344" s="22">
        <v>3.6264997022603427</v>
      </c>
      <c r="Q344" s="22">
        <v>3.8645155627079504</v>
      </c>
      <c r="R344" s="22">
        <v>4.1120931530379989</v>
      </c>
      <c r="S344" s="22"/>
      <c r="T344" s="22"/>
    </row>
    <row r="345" spans="1:20" x14ac:dyDescent="0.35">
      <c r="A345" t="s">
        <v>27</v>
      </c>
      <c r="B345" s="17" t="s">
        <v>59</v>
      </c>
      <c r="C345" s="18" t="s">
        <v>76</v>
      </c>
      <c r="D345" s="19" t="s">
        <v>81</v>
      </c>
      <c r="E345" s="19" t="s">
        <v>81</v>
      </c>
      <c r="F345" s="22">
        <v>1.9899226017694513</v>
      </c>
      <c r="G345" s="22">
        <v>2.1500723827522754</v>
      </c>
      <c r="H345" s="22">
        <v>2.3257986737755569</v>
      </c>
      <c r="I345" s="22">
        <v>2.5141427970877337</v>
      </c>
      <c r="J345" s="22">
        <v>2.7127108185765025</v>
      </c>
      <c r="K345" s="22">
        <v>2.925605467819723</v>
      </c>
      <c r="L345" s="22">
        <v>3.1566709785276315</v>
      </c>
      <c r="M345" s="22">
        <v>3.4154561502614023</v>
      </c>
      <c r="N345" s="22">
        <v>3.7065568682000363</v>
      </c>
      <c r="O345" s="22">
        <v>4.0252481364714612</v>
      </c>
      <c r="P345" s="22">
        <v>4.3743595458136051</v>
      </c>
      <c r="Q345" s="22">
        <v>4.7493751702470002</v>
      </c>
      <c r="R345" s="22">
        <v>5.1494169740567584</v>
      </c>
      <c r="S345" s="22"/>
      <c r="T345" s="22"/>
    </row>
    <row r="346" spans="1:20" x14ac:dyDescent="0.35">
      <c r="A346" t="s">
        <v>27</v>
      </c>
      <c r="B346" s="17" t="s">
        <v>47</v>
      </c>
      <c r="C346" s="13" t="s">
        <v>82</v>
      </c>
      <c r="D346" s="13" t="s">
        <v>82</v>
      </c>
      <c r="E346" s="13" t="s">
        <v>82</v>
      </c>
      <c r="F346" s="14">
        <v>73.311659640962091</v>
      </c>
      <c r="G346" s="14">
        <v>79.426996689013521</v>
      </c>
      <c r="H346" s="14">
        <v>86.074067865815721</v>
      </c>
      <c r="I346" s="14">
        <v>93.345134167898891</v>
      </c>
      <c r="J346" s="14">
        <v>101.40468227362437</v>
      </c>
      <c r="K346" s="14">
        <v>110.46321715995681</v>
      </c>
      <c r="L346" s="14">
        <v>120.66866370421646</v>
      </c>
      <c r="M346" s="14">
        <v>132.07996921267434</v>
      </c>
      <c r="N346" s="14">
        <v>144.58684946069047</v>
      </c>
      <c r="O346" s="14">
        <v>158.18242822143199</v>
      </c>
      <c r="P346" s="14">
        <v>172.8569455240912</v>
      </c>
      <c r="Q346" s="14">
        <v>188.68871120966037</v>
      </c>
      <c r="R346" s="14">
        <v>205.78410128858224</v>
      </c>
      <c r="S346" s="14"/>
      <c r="T346" s="14"/>
    </row>
    <row r="347" spans="1:20" x14ac:dyDescent="0.35">
      <c r="A347" t="s">
        <v>27</v>
      </c>
      <c r="B347" s="17" t="s">
        <v>47</v>
      </c>
      <c r="C347" s="13" t="s">
        <v>83</v>
      </c>
      <c r="D347" s="13" t="s">
        <v>83</v>
      </c>
      <c r="E347" s="13" t="s">
        <v>83</v>
      </c>
      <c r="F347" s="14">
        <v>131.076032542001</v>
      </c>
      <c r="G347" s="14">
        <v>140.27068276965915</v>
      </c>
      <c r="H347" s="14">
        <v>149.58048782794847</v>
      </c>
      <c r="I347" s="14">
        <v>159.24618487297528</v>
      </c>
      <c r="J347" s="14">
        <v>169.73083182697556</v>
      </c>
      <c r="K347" s="14">
        <v>181.48507338369768</v>
      </c>
      <c r="L347" s="14">
        <v>194.84169005996375</v>
      </c>
      <c r="M347" s="14">
        <v>209.60705526775007</v>
      </c>
      <c r="N347" s="14">
        <v>225.34256315648835</v>
      </c>
      <c r="O347" s="14">
        <v>242.03302677655725</v>
      </c>
      <c r="P347" s="14">
        <v>259.93705534166656</v>
      </c>
      <c r="Q347" s="14">
        <v>279.35336146545683</v>
      </c>
      <c r="R347" s="14">
        <v>300.12141080629306</v>
      </c>
      <c r="S347" s="14"/>
      <c r="T347" s="14"/>
    </row>
    <row r="348" spans="1:20" x14ac:dyDescent="0.35">
      <c r="A348" t="s">
        <v>27</v>
      </c>
      <c r="B348" s="17" t="s">
        <v>84</v>
      </c>
      <c r="C348" s="13" t="s">
        <v>85</v>
      </c>
      <c r="D348" s="13" t="s">
        <v>85</v>
      </c>
      <c r="E348" s="13" t="s">
        <v>85</v>
      </c>
      <c r="F348" s="14">
        <v>13.771471979128791</v>
      </c>
      <c r="G348" s="14">
        <v>14.576958055957457</v>
      </c>
      <c r="H348" s="14">
        <v>15.45871050143384</v>
      </c>
      <c r="I348" s="14">
        <v>16.38864678020483</v>
      </c>
      <c r="J348" s="14">
        <v>17.352672902438396</v>
      </c>
      <c r="K348" s="14">
        <v>18.327131947837238</v>
      </c>
      <c r="L348" s="14">
        <v>19.362421891108198</v>
      </c>
      <c r="M348" s="14">
        <v>20.49491965682321</v>
      </c>
      <c r="N348" s="14">
        <v>21.761973013813634</v>
      </c>
      <c r="O348" s="14">
        <v>23.165391087470599</v>
      </c>
      <c r="P348" s="14">
        <v>24.667036643841417</v>
      </c>
      <c r="Q348" s="14">
        <v>26.233133690378427</v>
      </c>
      <c r="R348" s="14">
        <v>27.864417864924</v>
      </c>
      <c r="S348" s="14"/>
      <c r="T348" s="14"/>
    </row>
    <row r="349" spans="1:20" x14ac:dyDescent="0.35">
      <c r="A349" t="s">
        <v>27</v>
      </c>
      <c r="B349" s="17" t="s">
        <v>84</v>
      </c>
      <c r="C349" s="13" t="s">
        <v>86</v>
      </c>
      <c r="D349" s="13" t="s">
        <v>86</v>
      </c>
      <c r="E349" s="13" t="s">
        <v>86</v>
      </c>
      <c r="F349" s="14">
        <v>37.012887092003069</v>
      </c>
      <c r="G349" s="14">
        <v>39.347091521512304</v>
      </c>
      <c r="H349" s="14">
        <v>41.907195897970446</v>
      </c>
      <c r="I349" s="14">
        <v>44.619903480799636</v>
      </c>
      <c r="J349" s="14">
        <v>47.448714967604985</v>
      </c>
      <c r="K349" s="14">
        <v>50.330337465304808</v>
      </c>
      <c r="L349" s="14">
        <v>53.403741444076715</v>
      </c>
      <c r="M349" s="14">
        <v>56.771629215740511</v>
      </c>
      <c r="N349" s="14">
        <v>60.541150384038851</v>
      </c>
      <c r="O349" s="14">
        <v>64.72240318906394</v>
      </c>
      <c r="P349" s="14">
        <v>69.214006851567603</v>
      </c>
      <c r="Q349" s="14">
        <v>73.925033366399973</v>
      </c>
      <c r="R349" s="14">
        <v>78.860215828118271</v>
      </c>
      <c r="S349" s="14"/>
      <c r="T349" s="14"/>
    </row>
    <row r="350" spans="1:20" x14ac:dyDescent="0.35">
      <c r="A350" t="s">
        <v>27</v>
      </c>
      <c r="B350" s="17" t="s">
        <v>84</v>
      </c>
      <c r="C350" s="40" t="s">
        <v>87</v>
      </c>
      <c r="D350" s="40" t="s">
        <v>87</v>
      </c>
      <c r="E350" s="40" t="s">
        <v>87</v>
      </c>
      <c r="F350" s="42">
        <v>65.3411265197077</v>
      </c>
      <c r="G350" s="42">
        <v>71.14272277996298</v>
      </c>
      <c r="H350" s="42">
        <v>76.666716321942573</v>
      </c>
      <c r="I350" s="42">
        <v>82.301520672804003</v>
      </c>
      <c r="J350" s="42">
        <v>88.661313110896174</v>
      </c>
      <c r="K350" s="42">
        <v>96.327824495419634</v>
      </c>
      <c r="L350" s="42">
        <v>105.50482111530121</v>
      </c>
      <c r="M350" s="42">
        <v>115.80658820814699</v>
      </c>
      <c r="N350" s="42">
        <v>126.61098515987936</v>
      </c>
      <c r="O350" s="42">
        <v>137.92847944700202</v>
      </c>
      <c r="P350" s="42">
        <v>150.31419740275516</v>
      </c>
      <c r="Q350" s="42">
        <v>164.34010004562242</v>
      </c>
      <c r="R350" s="42">
        <v>179.79464431876551</v>
      </c>
      <c r="S350" s="14"/>
      <c r="T350" s="14"/>
    </row>
    <row r="351" spans="1:20" x14ac:dyDescent="0.35">
      <c r="A351" t="s">
        <v>27</v>
      </c>
      <c r="B351" s="17" t="s">
        <v>84</v>
      </c>
      <c r="C351" s="13" t="s">
        <v>88</v>
      </c>
      <c r="D351" s="13" t="s">
        <v>88</v>
      </c>
      <c r="E351" s="13" t="s">
        <v>88</v>
      </c>
      <c r="F351" s="14">
        <v>45.222630280200462</v>
      </c>
      <c r="G351" s="14">
        <v>48.674352968283351</v>
      </c>
      <c r="H351" s="14">
        <v>52.470660359487098</v>
      </c>
      <c r="I351" s="14">
        <v>56.650508042612145</v>
      </c>
      <c r="J351" s="14">
        <v>61.276626186735591</v>
      </c>
      <c r="K351" s="14">
        <v>66.443920550131466</v>
      </c>
      <c r="L351" s="14">
        <v>72.201994872357062</v>
      </c>
      <c r="M351" s="14">
        <v>78.603471732663436</v>
      </c>
      <c r="N351" s="14">
        <v>85.598708943910609</v>
      </c>
      <c r="O351" s="14">
        <v>93.159414476034286</v>
      </c>
      <c r="P351" s="14">
        <v>101.20161812234393</v>
      </c>
      <c r="Q351" s="14">
        <v>109.70194663904606</v>
      </c>
      <c r="R351" s="14">
        <v>118.74423168124592</v>
      </c>
      <c r="S351" s="14"/>
      <c r="T351" s="14"/>
    </row>
    <row r="352" spans="1:20" x14ac:dyDescent="0.35">
      <c r="A352" t="s">
        <v>27</v>
      </c>
      <c r="B352" s="17" t="s">
        <v>84</v>
      </c>
      <c r="C352" s="13" t="s">
        <v>89</v>
      </c>
      <c r="D352" s="13" t="s">
        <v>89</v>
      </c>
      <c r="E352" s="13" t="s">
        <v>89</v>
      </c>
      <c r="F352" s="14">
        <v>14.655137291575899</v>
      </c>
      <c r="G352" s="14">
        <v>15.782273175181528</v>
      </c>
      <c r="H352" s="14">
        <v>17.023996911100785</v>
      </c>
      <c r="I352" s="14">
        <v>18.370518877839178</v>
      </c>
      <c r="J352" s="14">
        <v>19.792892529343796</v>
      </c>
      <c r="K352" s="14">
        <v>21.314855760590969</v>
      </c>
      <c r="L352" s="14">
        <v>22.955937288856607</v>
      </c>
      <c r="M352" s="14">
        <v>24.756438467491297</v>
      </c>
      <c r="N352" s="14">
        <v>26.735813870166634</v>
      </c>
      <c r="O352" s="14">
        <v>28.905144666990118</v>
      </c>
      <c r="P352" s="14">
        <v>31.23910117460353</v>
      </c>
      <c r="Q352" s="14">
        <v>33.712107075696203</v>
      </c>
      <c r="R352" s="14">
        <v>36.353932274009637</v>
      </c>
      <c r="S352" s="14"/>
      <c r="T352" s="14"/>
    </row>
    <row r="353" spans="1:20" x14ac:dyDescent="0.35">
      <c r="A353" t="s">
        <v>27</v>
      </c>
      <c r="B353" s="17" t="s">
        <v>84</v>
      </c>
      <c r="C353" s="13" t="s">
        <v>90</v>
      </c>
      <c r="D353" s="13" t="s">
        <v>90</v>
      </c>
      <c r="E353" s="13" t="s">
        <v>90</v>
      </c>
      <c r="F353" s="14">
        <v>28.384439020347163</v>
      </c>
      <c r="G353" s="14">
        <v>30.174280957775025</v>
      </c>
      <c r="H353" s="14">
        <v>32.127275701829454</v>
      </c>
      <c r="I353" s="14">
        <v>34.260221186614395</v>
      </c>
      <c r="J353" s="14">
        <v>36.603294403580996</v>
      </c>
      <c r="K353" s="14">
        <v>39.204220324370361</v>
      </c>
      <c r="L353" s="14">
        <v>42.08143715248039</v>
      </c>
      <c r="M353" s="14">
        <v>45.253977199558918</v>
      </c>
      <c r="N353" s="14">
        <v>48.680781245369744</v>
      </c>
      <c r="O353" s="14">
        <v>52.334622131428262</v>
      </c>
      <c r="P353" s="14">
        <v>56.158040670646152</v>
      </c>
      <c r="Q353" s="14">
        <v>60.129751857974099</v>
      </c>
      <c r="R353" s="14">
        <v>64.288070127811892</v>
      </c>
      <c r="S353" s="22"/>
      <c r="T353" s="22"/>
    </row>
    <row r="354" spans="1:20" x14ac:dyDescent="0.35">
      <c r="A354" t="s">
        <v>27</v>
      </c>
      <c r="B354" s="17" t="s">
        <v>91</v>
      </c>
      <c r="C354" s="13" t="s">
        <v>92</v>
      </c>
      <c r="D354" s="13" t="s">
        <v>92</v>
      </c>
      <c r="E354" s="13" t="s">
        <v>92</v>
      </c>
      <c r="F354" s="14">
        <v>82.892633402414475</v>
      </c>
      <c r="G354" s="14">
        <v>89.917291797497469</v>
      </c>
      <c r="H354" s="14">
        <v>97.19761519866384</v>
      </c>
      <c r="I354" s="14">
        <v>104.89715419060906</v>
      </c>
      <c r="J354" s="14">
        <v>113.33464489405077</v>
      </c>
      <c r="K354" s="14">
        <v>122.83762482194061</v>
      </c>
      <c r="L354" s="14">
        <v>133.67102286160028</v>
      </c>
      <c r="M354" s="14">
        <v>145.75193581467286</v>
      </c>
      <c r="N354" s="14">
        <v>158.82123004594041</v>
      </c>
      <c r="O354" s="14">
        <v>172.90290414871077</v>
      </c>
      <c r="P354" s="14">
        <v>188.21693144834333</v>
      </c>
      <c r="Q354" s="14">
        <v>205.02334622889825</v>
      </c>
      <c r="R354" s="14">
        <v>223.25810215564985</v>
      </c>
      <c r="S354" s="22"/>
      <c r="T354" s="22"/>
    </row>
    <row r="355" spans="1:20" x14ac:dyDescent="0.35">
      <c r="A355" t="s">
        <v>27</v>
      </c>
      <c r="B355" s="17" t="s">
        <v>91</v>
      </c>
      <c r="C355" s="13" t="s">
        <v>93</v>
      </c>
      <c r="D355" s="13" t="s">
        <v>93</v>
      </c>
      <c r="E355" s="13" t="s">
        <v>93</v>
      </c>
      <c r="F355" s="14">
        <v>121.49505878054862</v>
      </c>
      <c r="G355" s="14">
        <v>129.78038766117521</v>
      </c>
      <c r="H355" s="14">
        <v>138.45694049510035</v>
      </c>
      <c r="I355" s="14">
        <v>147.69416485026511</v>
      </c>
      <c r="J355" s="14">
        <v>157.80086920654918</v>
      </c>
      <c r="K355" s="14">
        <v>169.11066572171387</v>
      </c>
      <c r="L355" s="14">
        <v>181.83933090257992</v>
      </c>
      <c r="M355" s="14">
        <v>195.93508866575152</v>
      </c>
      <c r="N355" s="14">
        <v>211.10818257123844</v>
      </c>
      <c r="O355" s="14">
        <v>227.31255084927847</v>
      </c>
      <c r="P355" s="14">
        <v>244.57706941741444</v>
      </c>
      <c r="Q355" s="14">
        <v>263.01872644621892</v>
      </c>
      <c r="R355" s="14">
        <v>282.64740993922544</v>
      </c>
      <c r="S355" s="22"/>
      <c r="T355" s="22"/>
    </row>
    <row r="356" spans="1:20" x14ac:dyDescent="0.35">
      <c r="A356" t="s">
        <v>27</v>
      </c>
      <c r="B356" s="17" t="s">
        <v>94</v>
      </c>
      <c r="C356" s="13" t="s">
        <v>95</v>
      </c>
      <c r="D356" s="13" t="s">
        <v>95</v>
      </c>
      <c r="E356" s="13" t="s">
        <v>95</v>
      </c>
      <c r="F356" s="14">
        <v>11.542170279818199</v>
      </c>
      <c r="G356" s="14">
        <v>12.6790176082737</v>
      </c>
      <c r="H356" s="14">
        <v>13.943687611123936</v>
      </c>
      <c r="I356" s="14">
        <v>15.324044496496739</v>
      </c>
      <c r="J356" s="14">
        <v>16.810401874237197</v>
      </c>
      <c r="K356" s="14">
        <v>18.432523448021115</v>
      </c>
      <c r="L356" s="14">
        <v>20.220388082817987</v>
      </c>
      <c r="M356" s="14">
        <v>22.242328008332283</v>
      </c>
      <c r="N356" s="14">
        <v>24.5387396046319</v>
      </c>
      <c r="O356" s="14">
        <v>27.09064852292445</v>
      </c>
      <c r="P356" s="14">
        <v>29.928261475637179</v>
      </c>
      <c r="Q356" s="14">
        <v>33.03317224703212</v>
      </c>
      <c r="R356" s="14">
        <v>36.410652568796586</v>
      </c>
      <c r="S356" s="22"/>
      <c r="T356" s="22"/>
    </row>
    <row r="357" spans="1:20" x14ac:dyDescent="0.35">
      <c r="A357" t="s">
        <v>27</v>
      </c>
      <c r="B357" s="17" t="s">
        <v>94</v>
      </c>
      <c r="C357" s="40" t="s">
        <v>96</v>
      </c>
      <c r="D357" s="40" t="s">
        <v>96</v>
      </c>
      <c r="E357" s="40" t="s">
        <v>96</v>
      </c>
      <c r="F357" s="42">
        <v>44.57428823381818</v>
      </c>
      <c r="G357" s="42">
        <v>48.319898674682577</v>
      </c>
      <c r="H357" s="42">
        <v>51.577566388954693</v>
      </c>
      <c r="I357" s="42">
        <v>54.734381050105895</v>
      </c>
      <c r="J357" s="42">
        <v>58.565271045729588</v>
      </c>
      <c r="K357" s="42">
        <v>63.594212831562487</v>
      </c>
      <c r="L357" s="42">
        <v>70.042271344166068</v>
      </c>
      <c r="M357" s="42">
        <v>77.41614119698346</v>
      </c>
      <c r="N357" s="42">
        <v>84.974070211726143</v>
      </c>
      <c r="O357" s="42">
        <v>92.598931711834041</v>
      </c>
      <c r="P357" s="42">
        <v>100.74694282390772</v>
      </c>
      <c r="Q357" s="42">
        <v>110.05348699115666</v>
      </c>
      <c r="R357" s="42">
        <v>120.28811271381693</v>
      </c>
      <c r="S357" s="22"/>
      <c r="T357" s="22"/>
    </row>
    <row r="358" spans="1:20" x14ac:dyDescent="0.35">
      <c r="A358" t="s">
        <v>27</v>
      </c>
      <c r="B358" s="17" t="s">
        <v>94</v>
      </c>
      <c r="C358" s="13" t="s">
        <v>97</v>
      </c>
      <c r="D358" s="13" t="s">
        <v>97</v>
      </c>
      <c r="E358" s="13" t="s">
        <v>97</v>
      </c>
      <c r="F358" s="14">
        <v>25.208977732646712</v>
      </c>
      <c r="G358" s="14">
        <v>27.062433775842202</v>
      </c>
      <c r="H358" s="14">
        <v>29.100002297054196</v>
      </c>
      <c r="I358" s="14">
        <v>31.303121021923662</v>
      </c>
      <c r="J358" s="14">
        <v>33.620803748474394</v>
      </c>
      <c r="K358" s="14">
        <v>36.092183258099844</v>
      </c>
      <c r="L358" s="14">
        <v>38.748762814211666</v>
      </c>
      <c r="M358" s="14">
        <v>41.656699989727443</v>
      </c>
      <c r="N358" s="14">
        <v>44.84622775330579</v>
      </c>
      <c r="O358" s="14">
        <v>48.33313520486729</v>
      </c>
      <c r="P358" s="14">
        <v>52.072108410052302</v>
      </c>
      <c r="Q358" s="14">
        <v>56.017966927722838</v>
      </c>
      <c r="R358" s="14">
        <v>60.218042984452509</v>
      </c>
      <c r="S358" s="22"/>
      <c r="T358" s="22"/>
    </row>
    <row r="359" spans="1:20" x14ac:dyDescent="0.35">
      <c r="A359" t="s">
        <v>27</v>
      </c>
      <c r="B359" s="17" t="s">
        <v>94</v>
      </c>
      <c r="C359" s="13" t="s">
        <v>98</v>
      </c>
      <c r="D359" s="13" t="s">
        <v>98</v>
      </c>
      <c r="E359" s="13" t="s">
        <v>98</v>
      </c>
      <c r="F359" s="14">
        <v>45.234061449402908</v>
      </c>
      <c r="G359" s="14">
        <v>48.857433728621622</v>
      </c>
      <c r="H359" s="14">
        <v>52.857415800018117</v>
      </c>
      <c r="I359" s="14">
        <v>57.206927385882771</v>
      </c>
      <c r="J359" s="14">
        <v>61.81889721493679</v>
      </c>
      <c r="K359" s="14">
        <v>66.769758776520334</v>
      </c>
      <c r="L359" s="14">
        <v>72.123657833273057</v>
      </c>
      <c r="M359" s="14">
        <v>78.010753342393684</v>
      </c>
      <c r="N359" s="14">
        <v>84.497041057413583</v>
      </c>
      <c r="O359" s="14">
        <v>91.622813077051632</v>
      </c>
      <c r="P359" s="14">
        <v>99.313400591931583</v>
      </c>
      <c r="Q359" s="14">
        <v>107.49244564492258</v>
      </c>
      <c r="R359" s="14">
        <v>116.25914183296717</v>
      </c>
      <c r="S359" s="22"/>
      <c r="T359" s="22"/>
    </row>
    <row r="360" spans="1:20" x14ac:dyDescent="0.35">
      <c r="A360" t="s">
        <v>27</v>
      </c>
      <c r="B360" s="17" t="s">
        <v>94</v>
      </c>
      <c r="C360" s="13" t="s">
        <v>48</v>
      </c>
      <c r="D360" s="13" t="s">
        <v>48</v>
      </c>
      <c r="E360" s="13" t="s">
        <v>48</v>
      </c>
      <c r="F360" s="14">
        <v>16.066947677449441</v>
      </c>
      <c r="G360" s="14">
        <v>17.393976250566432</v>
      </c>
      <c r="H360" s="14">
        <v>18.833797826048571</v>
      </c>
      <c r="I360" s="14">
        <v>20.444310867128742</v>
      </c>
      <c r="J360" s="14">
        <v>22.233112156249195</v>
      </c>
      <c r="K360" s="14">
        <v>24.206253441233919</v>
      </c>
      <c r="L360" s="14">
        <v>26.359383099843061</v>
      </c>
      <c r="M360" s="14">
        <v>28.682064837814153</v>
      </c>
      <c r="N360" s="14">
        <v>31.181457309679512</v>
      </c>
      <c r="O360" s="14">
        <v>33.939717165438601</v>
      </c>
      <c r="P360" s="14">
        <v>36.989857890191878</v>
      </c>
      <c r="Q360" s="14">
        <v>40.318315939192395</v>
      </c>
      <c r="R360" s="14">
        <v>43.913208918205505</v>
      </c>
      <c r="S360" s="22"/>
      <c r="T360" s="22"/>
    </row>
    <row r="361" spans="1:20" x14ac:dyDescent="0.35">
      <c r="A361" t="s">
        <v>27</v>
      </c>
      <c r="B361" s="17" t="s">
        <v>94</v>
      </c>
      <c r="C361" s="13" t="s">
        <v>99</v>
      </c>
      <c r="D361" s="13" t="s">
        <v>99</v>
      </c>
      <c r="E361" s="13" t="s">
        <v>99</v>
      </c>
      <c r="F361" s="14">
        <v>33.73451502304011</v>
      </c>
      <c r="G361" s="14">
        <v>35.720501908031551</v>
      </c>
      <c r="H361" s="14">
        <v>37.894846963268286</v>
      </c>
      <c r="I361" s="14">
        <v>40.188915105799758</v>
      </c>
      <c r="J361" s="14">
        <v>42.568275713794193</v>
      </c>
      <c r="K361" s="14">
        <v>44.974989537213411</v>
      </c>
      <c r="L361" s="14">
        <v>47.532765168319813</v>
      </c>
      <c r="M361" s="14">
        <v>50.331069758357287</v>
      </c>
      <c r="N361" s="14">
        <v>53.461883757170753</v>
      </c>
      <c r="O361" s="14">
        <v>56.930013185839577</v>
      </c>
      <c r="P361" s="14">
        <v>60.642100541162286</v>
      </c>
      <c r="Q361" s="14">
        <v>64.515376191412855</v>
      </c>
      <c r="R361" s="14">
        <v>68.551826647585486</v>
      </c>
      <c r="S361" s="22"/>
      <c r="T361" s="22"/>
    </row>
    <row r="362" spans="1:20" x14ac:dyDescent="0.35">
      <c r="A362" t="s">
        <v>27</v>
      </c>
      <c r="B362" s="17" t="s">
        <v>94</v>
      </c>
      <c r="C362" s="13" t="s">
        <v>100</v>
      </c>
      <c r="D362" s="13" t="s">
        <v>100</v>
      </c>
      <c r="E362" s="13" t="s">
        <v>100</v>
      </c>
      <c r="F362" s="14">
        <v>28.026731786787565</v>
      </c>
      <c r="G362" s="14">
        <v>29.664417512654616</v>
      </c>
      <c r="H362" s="14">
        <v>31.447238807296415</v>
      </c>
      <c r="I362" s="14">
        <v>33.389619113536611</v>
      </c>
      <c r="J362" s="14">
        <v>35.518752347178598</v>
      </c>
      <c r="K362" s="14">
        <v>37.878369251003363</v>
      </c>
      <c r="L362" s="14">
        <v>40.483125421548564</v>
      </c>
      <c r="M362" s="14">
        <v>43.34796734681607</v>
      </c>
      <c r="N362" s="14">
        <v>46.42999292325117</v>
      </c>
      <c r="O362" s="14">
        <v>49.70019613003366</v>
      </c>
      <c r="P362" s="14">
        <v>53.101329132874831</v>
      </c>
      <c r="Q362" s="14">
        <v>56.611308733677774</v>
      </c>
      <c r="R362" s="14">
        <v>60.264526429051095</v>
      </c>
      <c r="S362" s="14"/>
      <c r="T362" s="14"/>
    </row>
    <row r="363" spans="1:20" x14ac:dyDescent="0.35">
      <c r="A363" t="s">
        <v>21</v>
      </c>
      <c r="B363" s="17" t="s">
        <v>54</v>
      </c>
      <c r="C363" s="13" t="s">
        <v>55</v>
      </c>
      <c r="D363" s="13" t="s">
        <v>55</v>
      </c>
      <c r="E363" s="13" t="s">
        <v>55</v>
      </c>
      <c r="F363" s="14">
        <v>10.701691925628534</v>
      </c>
      <c r="G363" s="14">
        <v>11.64909335739025</v>
      </c>
      <c r="H363" s="14">
        <v>12.699781680090197</v>
      </c>
      <c r="I363" s="14">
        <v>13.866402989793892</v>
      </c>
      <c r="J363" s="14">
        <v>15.167924717845541</v>
      </c>
      <c r="K363" s="14">
        <v>16.632057059094244</v>
      </c>
      <c r="L363" s="14">
        <v>18.276327580442914</v>
      </c>
      <c r="M363" s="14">
        <v>20.11970584786938</v>
      </c>
      <c r="N363" s="14">
        <v>22.155716626739416</v>
      </c>
      <c r="O363" s="14">
        <v>24.382990749774923</v>
      </c>
      <c r="P363" s="14">
        <v>26.785402730790238</v>
      </c>
      <c r="Q363" s="14">
        <v>29.362020746403648</v>
      </c>
      <c r="R363" s="14">
        <v>32.140454537547896</v>
      </c>
      <c r="S363" s="14"/>
      <c r="T363" s="14"/>
    </row>
    <row r="364" spans="1:20" x14ac:dyDescent="0.35">
      <c r="A364" t="s">
        <v>21</v>
      </c>
      <c r="B364" s="17" t="s">
        <v>54</v>
      </c>
      <c r="C364" s="13" t="s">
        <v>56</v>
      </c>
      <c r="D364" s="13" t="s">
        <v>56</v>
      </c>
      <c r="E364" s="13" t="s">
        <v>56</v>
      </c>
      <c r="F364" s="14">
        <v>29.622639855426325</v>
      </c>
      <c r="G364" s="14">
        <v>31.667871937146153</v>
      </c>
      <c r="H364" s="14">
        <v>33.89389755215543</v>
      </c>
      <c r="I364" s="14">
        <v>36.250976473858799</v>
      </c>
      <c r="J364" s="14">
        <v>38.699471476372267</v>
      </c>
      <c r="K364" s="14">
        <v>41.293995123552193</v>
      </c>
      <c r="L364" s="14">
        <v>44.083110080682907</v>
      </c>
      <c r="M364" s="14">
        <v>47.192859197879358</v>
      </c>
      <c r="N364" s="14">
        <v>50.675355736133831</v>
      </c>
      <c r="O364" s="14">
        <v>54.452842206585998</v>
      </c>
      <c r="P364" s="14">
        <v>58.552752992750378</v>
      </c>
      <c r="Q364" s="14">
        <v>62.902805077019188</v>
      </c>
      <c r="R364" s="14">
        <v>67.481680809002242</v>
      </c>
      <c r="S364" s="14"/>
      <c r="T364" s="14"/>
    </row>
    <row r="365" spans="1:20" x14ac:dyDescent="0.35">
      <c r="A365" t="s">
        <v>21</v>
      </c>
      <c r="B365" s="17" t="s">
        <v>54</v>
      </c>
      <c r="C365" s="13" t="s">
        <v>57</v>
      </c>
      <c r="D365" s="13" t="s">
        <v>57</v>
      </c>
      <c r="E365" s="13" t="s">
        <v>57</v>
      </c>
      <c r="F365" s="14">
        <v>69.851892868025288</v>
      </c>
      <c r="G365" s="14">
        <v>73.976149119402862</v>
      </c>
      <c r="H365" s="14">
        <v>78.436383484146873</v>
      </c>
      <c r="I365" s="14">
        <v>83.106710893374739</v>
      </c>
      <c r="J365" s="14">
        <v>87.888909580039581</v>
      </c>
      <c r="K365" s="14">
        <v>92.902345250728388</v>
      </c>
      <c r="L365" s="14">
        <v>98.248212854803356</v>
      </c>
      <c r="M365" s="14">
        <v>104.19644166366794</v>
      </c>
      <c r="N365" s="14">
        <v>110.84343175327705</v>
      </c>
      <c r="O365" s="14">
        <v>117.99758499342634</v>
      </c>
      <c r="P365" s="14">
        <v>125.70198600706348</v>
      </c>
      <c r="Q365" s="14">
        <v>133.78372749087805</v>
      </c>
      <c r="R365" s="14">
        <v>142.18439174053827</v>
      </c>
      <c r="S365" s="14"/>
      <c r="T365" s="14"/>
    </row>
    <row r="366" spans="1:20" x14ac:dyDescent="0.35">
      <c r="A366" t="s">
        <v>21</v>
      </c>
      <c r="B366" s="17" t="s">
        <v>59</v>
      </c>
      <c r="C366" s="18" t="s">
        <v>60</v>
      </c>
      <c r="D366" s="38" t="s">
        <v>61</v>
      </c>
      <c r="E366" s="39" t="s">
        <v>62</v>
      </c>
      <c r="F366" s="22">
        <v>4.1956029760320792</v>
      </c>
      <c r="G366" s="22">
        <v>4.5704549933212473</v>
      </c>
      <c r="H366" s="22">
        <v>4.9864152200392002</v>
      </c>
      <c r="I366" s="22">
        <v>5.4485429627750541</v>
      </c>
      <c r="J366" s="22">
        <v>5.9643965654518825</v>
      </c>
      <c r="K366" s="22">
        <v>6.5449948771200557</v>
      </c>
      <c r="L366" s="22">
        <v>7.1973826145472026</v>
      </c>
      <c r="M366" s="22">
        <v>7.9291933972763831</v>
      </c>
      <c r="N366" s="22">
        <v>8.738055824701064</v>
      </c>
      <c r="O366" s="22">
        <v>9.6236054895701066</v>
      </c>
      <c r="P366" s="22">
        <v>10.57965310241549</v>
      </c>
      <c r="Q366" s="22">
        <v>11.605992466883569</v>
      </c>
      <c r="R366" s="22">
        <v>12.713698734238578</v>
      </c>
      <c r="S366" s="14"/>
      <c r="T366" s="14"/>
    </row>
    <row r="367" spans="1:20" x14ac:dyDescent="0.35">
      <c r="A367" t="s">
        <v>21</v>
      </c>
      <c r="B367" s="17" t="s">
        <v>59</v>
      </c>
      <c r="C367" s="18" t="s">
        <v>60</v>
      </c>
      <c r="D367" s="38" t="s">
        <v>61</v>
      </c>
      <c r="E367" s="39" t="s">
        <v>63</v>
      </c>
      <c r="F367" s="22">
        <v>7.8184779282453327</v>
      </c>
      <c r="G367" s="22">
        <v>8.3479994206087973</v>
      </c>
      <c r="H367" s="22">
        <v>8.9221293002064161</v>
      </c>
      <c r="I367" s="22">
        <v>9.5483843854427146</v>
      </c>
      <c r="J367" s="22">
        <v>10.233033323079214</v>
      </c>
      <c r="K367" s="22">
        <v>10.983097849249186</v>
      </c>
      <c r="L367" s="22">
        <v>11.804877021675688</v>
      </c>
      <c r="M367" s="22">
        <v>12.696378798968285</v>
      </c>
      <c r="N367" s="22">
        <v>13.654994992697022</v>
      </c>
      <c r="O367" s="22">
        <v>14.67971490323538</v>
      </c>
      <c r="P367" s="22">
        <v>15.769170287123526</v>
      </c>
      <c r="Q367" s="22">
        <v>16.931031857937363</v>
      </c>
      <c r="R367" s="22">
        <v>18.162075692586754</v>
      </c>
      <c r="S367" s="14"/>
      <c r="T367" s="14"/>
    </row>
    <row r="368" spans="1:20" x14ac:dyDescent="0.35">
      <c r="A368" t="s">
        <v>21</v>
      </c>
      <c r="B368" s="17" t="s">
        <v>59</v>
      </c>
      <c r="C368" s="18" t="s">
        <v>60</v>
      </c>
      <c r="D368" s="38" t="s">
        <v>61</v>
      </c>
      <c r="E368" s="39" t="s">
        <v>64</v>
      </c>
      <c r="F368" s="22">
        <v>9.9586060971996435</v>
      </c>
      <c r="G368" s="22">
        <v>10.693529760168493</v>
      </c>
      <c r="H368" s="22">
        <v>11.552802486267762</v>
      </c>
      <c r="I368" s="22">
        <v>12.382671559515272</v>
      </c>
      <c r="J368" s="22">
        <v>13.039808177409505</v>
      </c>
      <c r="K368" s="22">
        <v>13.580104815514797</v>
      </c>
      <c r="L368" s="22">
        <v>14.017430777846595</v>
      </c>
      <c r="M368" s="22">
        <v>14.618856466641127</v>
      </c>
      <c r="N368" s="22">
        <v>15.511368059589508</v>
      </c>
      <c r="O368" s="22">
        <v>16.509895578770596</v>
      </c>
      <c r="P368" s="22">
        <v>17.664786784032536</v>
      </c>
      <c r="Q368" s="22">
        <v>18.78091061352093</v>
      </c>
      <c r="R368" s="22">
        <v>19.8268979176203</v>
      </c>
      <c r="S368" s="14"/>
      <c r="T368" s="14"/>
    </row>
    <row r="369" spans="1:20" x14ac:dyDescent="0.35">
      <c r="A369" t="s">
        <v>21</v>
      </c>
      <c r="B369" s="17" t="s">
        <v>59</v>
      </c>
      <c r="C369" s="18" t="s">
        <v>60</v>
      </c>
      <c r="D369" s="38" t="s">
        <v>65</v>
      </c>
      <c r="E369" s="38" t="s">
        <v>65</v>
      </c>
      <c r="F369" s="41">
        <v>20.257172130488605</v>
      </c>
      <c r="G369" s="41">
        <v>21.467070793487803</v>
      </c>
      <c r="H369" s="41">
        <v>22.771722299179309</v>
      </c>
      <c r="I369" s="41">
        <v>24.18792334921611</v>
      </c>
      <c r="J369" s="41">
        <v>25.728769498027717</v>
      </c>
      <c r="K369" s="41">
        <v>27.408815864985137</v>
      </c>
      <c r="L369" s="41">
        <v>29.240332313459238</v>
      </c>
      <c r="M369" s="41">
        <v>31.214633271191722</v>
      </c>
      <c r="N369" s="41">
        <v>33.321718361673312</v>
      </c>
      <c r="O369" s="41">
        <v>35.555726143870196</v>
      </c>
      <c r="P369" s="41">
        <v>37.910049379678988</v>
      </c>
      <c r="Q369" s="41">
        <v>40.399955228427025</v>
      </c>
      <c r="R369" s="41">
        <v>43.014208910258134</v>
      </c>
      <c r="S369" s="14"/>
      <c r="T369" s="14"/>
    </row>
    <row r="370" spans="1:20" x14ac:dyDescent="0.35">
      <c r="A370" t="s">
        <v>21</v>
      </c>
      <c r="B370" s="17" t="s">
        <v>59</v>
      </c>
      <c r="C370" s="18" t="s">
        <v>60</v>
      </c>
      <c r="D370" s="38" t="s">
        <v>66</v>
      </c>
      <c r="E370" s="38" t="s">
        <v>66</v>
      </c>
      <c r="F370" s="41">
        <v>12.888078703570537</v>
      </c>
      <c r="G370" s="41">
        <v>13.602766256064196</v>
      </c>
      <c r="H370" s="41">
        <v>14.305705662988082</v>
      </c>
      <c r="I370" s="41">
        <v>15.019912704610274</v>
      </c>
      <c r="J370" s="41">
        <v>15.788108555607918</v>
      </c>
      <c r="K370" s="41">
        <v>16.649478920636653</v>
      </c>
      <c r="L370" s="41">
        <v>17.63016907795221</v>
      </c>
      <c r="M370" s="41">
        <v>18.707147983623198</v>
      </c>
      <c r="N370" s="41">
        <v>19.836636699316628</v>
      </c>
      <c r="O370" s="41">
        <v>21.014397271193776</v>
      </c>
      <c r="P370" s="41">
        <v>22.260118546458973</v>
      </c>
      <c r="Q370" s="41">
        <v>23.595772630083733</v>
      </c>
      <c r="R370" s="41">
        <v>25.003242085923745</v>
      </c>
      <c r="S370" s="14"/>
      <c r="T370" s="14"/>
    </row>
    <row r="371" spans="1:20" x14ac:dyDescent="0.35">
      <c r="A371" t="s">
        <v>21</v>
      </c>
      <c r="B371" s="17" t="s">
        <v>59</v>
      </c>
      <c r="C371" s="18" t="s">
        <v>60</v>
      </c>
      <c r="D371" s="38" t="s">
        <v>67</v>
      </c>
      <c r="E371" s="38" t="s">
        <v>67</v>
      </c>
      <c r="F371" s="41">
        <v>8.1797190812861373</v>
      </c>
      <c r="G371" s="41">
        <v>8.5801310122295771</v>
      </c>
      <c r="H371" s="41">
        <v>9.0173040879232254</v>
      </c>
      <c r="I371" s="41">
        <v>9.473746148483416</v>
      </c>
      <c r="J371" s="41">
        <v>9.9406609424198003</v>
      </c>
      <c r="K371" s="41">
        <v>10.404079262677397</v>
      </c>
      <c r="L371" s="41">
        <v>10.892569458515849</v>
      </c>
      <c r="M371" s="41">
        <v>11.425780284765164</v>
      </c>
      <c r="N371" s="41">
        <v>12.023178672310959</v>
      </c>
      <c r="O371" s="41">
        <v>12.683873920958783</v>
      </c>
      <c r="P371" s="41">
        <v>13.385103517386405</v>
      </c>
      <c r="Q371" s="41">
        <v>14.107253877295406</v>
      </c>
      <c r="R371" s="41">
        <v>14.84995057690438</v>
      </c>
      <c r="S371" s="14"/>
      <c r="T371" s="14"/>
    </row>
    <row r="372" spans="1:20" x14ac:dyDescent="0.35">
      <c r="A372" t="s">
        <v>21</v>
      </c>
      <c r="B372" s="17" t="s">
        <v>59</v>
      </c>
      <c r="C372" s="18" t="s">
        <v>60</v>
      </c>
      <c r="D372" s="38" t="s">
        <v>68</v>
      </c>
      <c r="E372" s="38" t="s">
        <v>68</v>
      </c>
      <c r="F372" s="41">
        <v>13.485554083962507</v>
      </c>
      <c r="G372" s="41">
        <v>14.519731482085822</v>
      </c>
      <c r="H372" s="41">
        <v>15.651367328177912</v>
      </c>
      <c r="I372" s="41">
        <v>16.859461850611968</v>
      </c>
      <c r="J372" s="41">
        <v>18.127087600883165</v>
      </c>
      <c r="K372" s="41">
        <v>19.480959791562714</v>
      </c>
      <c r="L372" s="41">
        <v>20.945690189875297</v>
      </c>
      <c r="M372" s="41">
        <v>22.583387506706277</v>
      </c>
      <c r="N372" s="41">
        <v>24.422528773930136</v>
      </c>
      <c r="O372" s="41">
        <v>26.429762546012931</v>
      </c>
      <c r="P372" s="41">
        <v>28.621788756453231</v>
      </c>
      <c r="Q372" s="41">
        <v>30.966994997161827</v>
      </c>
      <c r="R372" s="41">
        <v>33.457911772005779</v>
      </c>
      <c r="S372" s="14"/>
      <c r="T372" s="14"/>
    </row>
    <row r="373" spans="1:20" x14ac:dyDescent="0.35">
      <c r="A373" t="s">
        <v>21</v>
      </c>
      <c r="B373" s="17" t="s">
        <v>59</v>
      </c>
      <c r="C373" s="18" t="s">
        <v>60</v>
      </c>
      <c r="D373" s="38" t="s">
        <v>69</v>
      </c>
      <c r="E373" s="38" t="s">
        <v>69</v>
      </c>
      <c r="F373" s="41">
        <v>15.36570539838922</v>
      </c>
      <c r="G373" s="41">
        <v>16.012920295201742</v>
      </c>
      <c r="H373" s="41">
        <v>16.707412513399856</v>
      </c>
      <c r="I373" s="41">
        <v>17.419494814309804</v>
      </c>
      <c r="J373" s="41">
        <v>18.127087600883165</v>
      </c>
      <c r="K373" s="41">
        <v>18.854359786947377</v>
      </c>
      <c r="L373" s="41">
        <v>19.620237851892362</v>
      </c>
      <c r="M373" s="41">
        <v>20.476087164879058</v>
      </c>
      <c r="N373" s="41">
        <v>21.435816542337498</v>
      </c>
      <c r="O373" s="41">
        <v>22.456606009248954</v>
      </c>
      <c r="P373" s="41">
        <v>23.542848681449772</v>
      </c>
      <c r="Q373" s="41">
        <v>24.658090867890056</v>
      </c>
      <c r="R373" s="41">
        <v>25.78917576675434</v>
      </c>
      <c r="S373" s="14"/>
      <c r="T373" s="14"/>
    </row>
    <row r="374" spans="1:20" x14ac:dyDescent="0.35">
      <c r="A374" t="s">
        <v>21</v>
      </c>
      <c r="B374" s="17" t="s">
        <v>59</v>
      </c>
      <c r="C374" s="18" t="s">
        <v>70</v>
      </c>
      <c r="D374" s="19" t="s">
        <v>71</v>
      </c>
      <c r="E374" s="19" t="s">
        <v>71</v>
      </c>
      <c r="F374" s="22">
        <v>2.4856208680788492</v>
      </c>
      <c r="G374" s="22">
        <v>2.7389582749087911</v>
      </c>
      <c r="H374" s="22">
        <v>3.0229579229855363</v>
      </c>
      <c r="I374" s="22">
        <v>3.3376661912840526</v>
      </c>
      <c r="J374" s="22">
        <v>3.6795684289823996</v>
      </c>
      <c r="K374" s="22">
        <v>4.0545347659780839</v>
      </c>
      <c r="L374" s="22">
        <v>4.4681091823084573</v>
      </c>
      <c r="M374" s="22">
        <v>4.9303058758253169</v>
      </c>
      <c r="N374" s="22">
        <v>5.4478130143527563</v>
      </c>
      <c r="O374" s="22">
        <v>6.0260986578768296</v>
      </c>
      <c r="P374" s="22">
        <v>6.6633942164875188</v>
      </c>
      <c r="Q374" s="22">
        <v>7.357548933133061</v>
      </c>
      <c r="R374" s="22">
        <v>8.1181343109697384</v>
      </c>
      <c r="S374" s="14"/>
      <c r="T374" s="14"/>
    </row>
    <row r="375" spans="1:20" x14ac:dyDescent="0.35">
      <c r="A375" t="s">
        <v>21</v>
      </c>
      <c r="B375" s="17" t="s">
        <v>59</v>
      </c>
      <c r="C375" s="18" t="s">
        <v>70</v>
      </c>
      <c r="D375" s="19" t="s">
        <v>72</v>
      </c>
      <c r="E375" s="19" t="s">
        <v>72</v>
      </c>
      <c r="F375" s="22">
        <v>1.8860517278415492</v>
      </c>
      <c r="G375" s="22">
        <v>2.0860846899307863</v>
      </c>
      <c r="H375" s="22">
        <v>2.3108097771746556</v>
      </c>
      <c r="I375" s="22">
        <v>2.5635948979421643</v>
      </c>
      <c r="J375" s="22">
        <v>2.8491599897567998</v>
      </c>
      <c r="K375" s="22">
        <v>3.1741326340072593</v>
      </c>
      <c r="L375" s="22">
        <v>3.5435776773532406</v>
      </c>
      <c r="M375" s="22">
        <v>3.9631104862334086</v>
      </c>
      <c r="N375" s="22">
        <v>4.4336338450030155</v>
      </c>
      <c r="O375" s="22">
        <v>4.9570646976937125</v>
      </c>
      <c r="P375" s="22">
        <v>5.532377200055735</v>
      </c>
      <c r="Q375" s="22">
        <v>6.1615510775783271</v>
      </c>
      <c r="R375" s="22">
        <v>6.8526165134466659</v>
      </c>
      <c r="S375" s="14"/>
      <c r="T375" s="14"/>
    </row>
    <row r="376" spans="1:20" x14ac:dyDescent="0.35">
      <c r="A376" t="s">
        <v>21</v>
      </c>
      <c r="B376" s="17" t="s">
        <v>59</v>
      </c>
      <c r="C376" s="18" t="s">
        <v>70</v>
      </c>
      <c r="D376" s="19" t="s">
        <v>73</v>
      </c>
      <c r="E376" s="19" t="s">
        <v>73</v>
      </c>
      <c r="F376" s="22">
        <v>1.832076363558405</v>
      </c>
      <c r="G376" s="22">
        <v>1.9563758987542639</v>
      </c>
      <c r="H376" s="22">
        <v>2.0923693194307109</v>
      </c>
      <c r="I376" s="22">
        <v>2.2413033234223483</v>
      </c>
      <c r="J376" s="22">
        <v>2.4053209963775997</v>
      </c>
      <c r="K376" s="22">
        <v>2.5877556057905351</v>
      </c>
      <c r="L376" s="22">
        <v>2.7900652950224289</v>
      </c>
      <c r="M376" s="22">
        <v>3.0137716047267662</v>
      </c>
      <c r="N376" s="22">
        <v>3.2564191866238978</v>
      </c>
      <c r="O376" s="22">
        <v>3.5164320901443697</v>
      </c>
      <c r="P376" s="22">
        <v>3.7901731882188976</v>
      </c>
      <c r="Q376" s="22">
        <v>4.0763802704283032</v>
      </c>
      <c r="R376" s="22">
        <v>4.3778076487620083</v>
      </c>
      <c r="S376" s="14"/>
      <c r="T376" s="14"/>
    </row>
    <row r="377" spans="1:20" x14ac:dyDescent="0.35">
      <c r="A377" t="s">
        <v>21</v>
      </c>
      <c r="B377" s="17" t="s">
        <v>59</v>
      </c>
      <c r="C377" s="18" t="s">
        <v>70</v>
      </c>
      <c r="D377" s="19" t="s">
        <v>74</v>
      </c>
      <c r="E377" s="19" t="s">
        <v>74</v>
      </c>
      <c r="F377" s="22">
        <v>2.176177340338346</v>
      </c>
      <c r="G377" s="22">
        <v>2.3496358739214154</v>
      </c>
      <c r="H377" s="22">
        <v>2.539381946868263</v>
      </c>
      <c r="I377" s="22">
        <v>2.7480485208576062</v>
      </c>
      <c r="J377" s="22">
        <v>2.9780164717055992</v>
      </c>
      <c r="K377" s="22">
        <v>3.2319797275026261</v>
      </c>
      <c r="L377" s="22">
        <v>3.5125257216306323</v>
      </c>
      <c r="M377" s="22">
        <v>3.8198743942776821</v>
      </c>
      <c r="N377" s="22">
        <v>4.1540526450105251</v>
      </c>
      <c r="O377" s="22">
        <v>4.515557291160456</v>
      </c>
      <c r="P377" s="22">
        <v>4.9047802620226442</v>
      </c>
      <c r="Q377" s="22">
        <v>5.3249251347605799</v>
      </c>
      <c r="R377" s="22">
        <v>5.7758946245595464</v>
      </c>
      <c r="S377" s="22"/>
      <c r="T377" s="22"/>
    </row>
    <row r="378" spans="1:20" x14ac:dyDescent="0.35">
      <c r="A378" t="s">
        <v>21</v>
      </c>
      <c r="B378" s="17" t="s">
        <v>59</v>
      </c>
      <c r="C378" s="18" t="s">
        <v>70</v>
      </c>
      <c r="D378" s="19" t="s">
        <v>75</v>
      </c>
      <c r="E378" s="19" t="s">
        <v>75</v>
      </c>
      <c r="F378" s="22">
        <v>1.6920320942894524</v>
      </c>
      <c r="G378" s="22">
        <v>1.8474599532486748</v>
      </c>
      <c r="H378" s="22">
        <v>2.0194745373371847</v>
      </c>
      <c r="I378" s="22">
        <v>2.2059905688542467</v>
      </c>
      <c r="J378" s="22">
        <v>2.4053209963775997</v>
      </c>
      <c r="K378" s="22">
        <v>2.6214600005755861</v>
      </c>
      <c r="L378" s="22">
        <v>2.8583317034865812</v>
      </c>
      <c r="M378" s="22">
        <v>3.1251818193086649</v>
      </c>
      <c r="N378" s="22">
        <v>3.4271015544405641</v>
      </c>
      <c r="O378" s="22">
        <v>3.7607596871442261</v>
      </c>
      <c r="P378" s="22">
        <v>4.12972290976849</v>
      </c>
      <c r="Q378" s="22">
        <v>4.5307549095133499</v>
      </c>
      <c r="R378" s="22">
        <v>4.9639344707768727</v>
      </c>
      <c r="S378" s="22"/>
      <c r="T378" s="22"/>
    </row>
    <row r="379" spans="1:20" x14ac:dyDescent="0.35">
      <c r="A379" t="s">
        <v>21</v>
      </c>
      <c r="B379" s="17" t="s">
        <v>59</v>
      </c>
      <c r="C379" s="18" t="s">
        <v>76</v>
      </c>
      <c r="D379" s="19" t="s">
        <v>77</v>
      </c>
      <c r="E379" s="19" t="s">
        <v>77</v>
      </c>
      <c r="F379" s="22">
        <v>2.318653772495026</v>
      </c>
      <c r="G379" s="22">
        <v>2.4962296902695487</v>
      </c>
      <c r="H379" s="22">
        <v>2.6905256860991895</v>
      </c>
      <c r="I379" s="22">
        <v>2.897926968893366</v>
      </c>
      <c r="J379" s="22">
        <v>3.1155200883066279</v>
      </c>
      <c r="K379" s="22">
        <v>3.3478935977134081</v>
      </c>
      <c r="L379" s="22">
        <v>3.5992728143774961</v>
      </c>
      <c r="M379" s="22">
        <v>3.880324855134182</v>
      </c>
      <c r="N379" s="22">
        <v>4.1959341207123018</v>
      </c>
      <c r="O379" s="22">
        <v>4.5403606640410556</v>
      </c>
      <c r="P379" s="22">
        <v>4.9164650008237674</v>
      </c>
      <c r="Q379" s="22">
        <v>5.3188077703359307</v>
      </c>
      <c r="R379" s="22">
        <v>5.7460983643082937</v>
      </c>
      <c r="S379" s="22"/>
      <c r="T379" s="22"/>
    </row>
    <row r="380" spans="1:20" x14ac:dyDescent="0.35">
      <c r="A380" t="s">
        <v>21</v>
      </c>
      <c r="B380" s="17" t="s">
        <v>59</v>
      </c>
      <c r="C380" s="18" t="s">
        <v>76</v>
      </c>
      <c r="D380" s="19" t="s">
        <v>78</v>
      </c>
      <c r="E380" s="19" t="s">
        <v>78</v>
      </c>
      <c r="F380" s="22">
        <v>2.2105745689306047</v>
      </c>
      <c r="G380" s="22">
        <v>2.3494012453617716</v>
      </c>
      <c r="H380" s="22">
        <v>2.5010995547125883</v>
      </c>
      <c r="I380" s="22">
        <v>2.6636361729231055</v>
      </c>
      <c r="J380" s="22">
        <v>2.8322909893696622</v>
      </c>
      <c r="K380" s="22">
        <v>3.0101163012623355</v>
      </c>
      <c r="L380" s="22">
        <v>3.199401212566003</v>
      </c>
      <c r="M380" s="22">
        <v>3.4051977676976857</v>
      </c>
      <c r="N380" s="22">
        <v>3.6294113287542391</v>
      </c>
      <c r="O380" s="22">
        <v>3.8726909475148896</v>
      </c>
      <c r="P380" s="22">
        <v>4.130751221886273</v>
      </c>
      <c r="Q380" s="22">
        <v>4.3994745104117028</v>
      </c>
      <c r="R380" s="22">
        <v>4.6821619809284245</v>
      </c>
      <c r="S380" s="22"/>
      <c r="T380" s="22"/>
    </row>
    <row r="381" spans="1:20" x14ac:dyDescent="0.35">
      <c r="A381" t="s">
        <v>21</v>
      </c>
      <c r="B381" s="17" t="s">
        <v>59</v>
      </c>
      <c r="C381" s="18" t="s">
        <v>76</v>
      </c>
      <c r="D381" s="19" t="s">
        <v>79</v>
      </c>
      <c r="E381" s="19" t="s">
        <v>79</v>
      </c>
      <c r="F381" s="22">
        <v>1.2901373346640708</v>
      </c>
      <c r="G381" s="22">
        <v>1.4154638424835757</v>
      </c>
      <c r="H381" s="22">
        <v>1.5476183662919982</v>
      </c>
      <c r="I381" s="22">
        <v>1.6894006934000201</v>
      </c>
      <c r="J381" s="22">
        <v>1.8462341264039279</v>
      </c>
      <c r="K381" s="22">
        <v>2.0239282183974416</v>
      </c>
      <c r="L381" s="22">
        <v>2.2275166978844445</v>
      </c>
      <c r="M381" s="22">
        <v>2.4564516825862968</v>
      </c>
      <c r="N381" s="22">
        <v>2.7071718673963518</v>
      </c>
      <c r="O381" s="22">
        <v>2.9807630007146608</v>
      </c>
      <c r="P381" s="22">
        <v>3.2817247611236957</v>
      </c>
      <c r="Q381" s="22">
        <v>3.6154457078066358</v>
      </c>
      <c r="R381" s="22">
        <v>3.9818271257028841</v>
      </c>
      <c r="S381" s="22"/>
      <c r="T381" s="22"/>
    </row>
    <row r="382" spans="1:20" x14ac:dyDescent="0.35">
      <c r="A382" t="s">
        <v>21</v>
      </c>
      <c r="B382" s="17" t="s">
        <v>59</v>
      </c>
      <c r="C382" s="18" t="s">
        <v>76</v>
      </c>
      <c r="D382" s="19" t="s">
        <v>80</v>
      </c>
      <c r="E382" s="19" t="s">
        <v>80</v>
      </c>
      <c r="F382" s="22">
        <v>0.93587815935356056</v>
      </c>
      <c r="G382" s="22">
        <v>0.97925051126932794</v>
      </c>
      <c r="H382" s="22">
        <v>1.026264996319656</v>
      </c>
      <c r="I382" s="22">
        <v>1.0772471205291245</v>
      </c>
      <c r="J382" s="22">
        <v>1.132916395747865</v>
      </c>
      <c r="K382" s="22">
        <v>1.1944836219096022</v>
      </c>
      <c r="L382" s="22">
        <v>1.2621837868147991</v>
      </c>
      <c r="M382" s="22">
        <v>1.3362453851554943</v>
      </c>
      <c r="N382" s="22">
        <v>1.4150981368649784</v>
      </c>
      <c r="O382" s="22">
        <v>1.4976606444850222</v>
      </c>
      <c r="P382" s="22">
        <v>1.5820448590397436</v>
      </c>
      <c r="Q382" s="22">
        <v>1.6674921810821959</v>
      </c>
      <c r="R382" s="22">
        <v>1.7549398310682185</v>
      </c>
      <c r="S382" s="22"/>
      <c r="T382" s="22"/>
    </row>
    <row r="383" spans="1:20" x14ac:dyDescent="0.35">
      <c r="A383" t="s">
        <v>21</v>
      </c>
      <c r="B383" s="17" t="s">
        <v>59</v>
      </c>
      <c r="C383" s="18" t="s">
        <v>76</v>
      </c>
      <c r="D383" s="19" t="s">
        <v>81</v>
      </c>
      <c r="E383" s="19" t="s">
        <v>81</v>
      </c>
      <c r="F383" s="22">
        <v>1.2001060203562444</v>
      </c>
      <c r="G383" s="22">
        <v>1.2796504206234145</v>
      </c>
      <c r="H383" s="22">
        <v>1.3647017109909669</v>
      </c>
      <c r="I383" s="22">
        <v>1.459138123956774</v>
      </c>
      <c r="J383" s="22">
        <v>1.5630050274669616</v>
      </c>
      <c r="K383" s="22">
        <v>1.6762217915446052</v>
      </c>
      <c r="L383" s="22">
        <v>1.797977118720653</v>
      </c>
      <c r="M383" s="22">
        <v>1.9270779644199478</v>
      </c>
      <c r="N383" s="22">
        <v>2.0635704904355188</v>
      </c>
      <c r="O383" s="22">
        <v>2.2124484061512915</v>
      </c>
      <c r="P383" s="22">
        <v>2.3751890561784315</v>
      </c>
      <c r="Q383" s="22">
        <v>2.5501702800508763</v>
      </c>
      <c r="R383" s="22">
        <v>2.7359507602737234</v>
      </c>
      <c r="S383" s="22"/>
      <c r="T383" s="22"/>
    </row>
    <row r="384" spans="1:20" x14ac:dyDescent="0.35">
      <c r="A384" t="s">
        <v>21</v>
      </c>
      <c r="B384" s="17" t="s">
        <v>47</v>
      </c>
      <c r="C384" s="13" t="s">
        <v>82</v>
      </c>
      <c r="D384" s="13" t="s">
        <v>82</v>
      </c>
      <c r="E384" s="13" t="s">
        <v>82</v>
      </c>
      <c r="F384" s="14">
        <v>40.324331781054859</v>
      </c>
      <c r="G384" s="14">
        <v>43.316965294536402</v>
      </c>
      <c r="H384" s="14">
        <v>46.593679232245627</v>
      </c>
      <c r="I384" s="14">
        <v>50.117379463652689</v>
      </c>
      <c r="J384" s="14">
        <v>53.867396194217804</v>
      </c>
      <c r="K384" s="14">
        <v>57.926052182646437</v>
      </c>
      <c r="L384" s="14">
        <v>62.359437661125824</v>
      </c>
      <c r="M384" s="14">
        <v>67.312565045748741</v>
      </c>
      <c r="N384" s="14">
        <v>72.831072362873243</v>
      </c>
      <c r="O384" s="14">
        <v>78.835832956360917</v>
      </c>
      <c r="P384" s="14">
        <v>85.338155723540609</v>
      </c>
      <c r="Q384" s="14">
        <v>92.264825823422839</v>
      </c>
      <c r="R384" s="14">
        <v>99.622135346550138</v>
      </c>
      <c r="S384" s="22"/>
      <c r="T384" s="22"/>
    </row>
    <row r="385" spans="1:20" x14ac:dyDescent="0.35">
      <c r="A385" t="s">
        <v>21</v>
      </c>
      <c r="B385" s="17" t="s">
        <v>47</v>
      </c>
      <c r="C385" s="13" t="s">
        <v>83</v>
      </c>
      <c r="D385" s="13" t="s">
        <v>83</v>
      </c>
      <c r="E385" s="13" t="s">
        <v>83</v>
      </c>
      <c r="F385" s="14">
        <v>69.851892868025288</v>
      </c>
      <c r="G385" s="14">
        <v>73.976149119402862</v>
      </c>
      <c r="H385" s="14">
        <v>78.436383484146873</v>
      </c>
      <c r="I385" s="14">
        <v>83.106710893374739</v>
      </c>
      <c r="J385" s="14">
        <v>87.888909580039581</v>
      </c>
      <c r="K385" s="14">
        <v>92.902345250728388</v>
      </c>
      <c r="L385" s="14">
        <v>98.248212854803356</v>
      </c>
      <c r="M385" s="14">
        <v>104.19644166366794</v>
      </c>
      <c r="N385" s="14">
        <v>110.84343175327705</v>
      </c>
      <c r="O385" s="14">
        <v>117.99758499342634</v>
      </c>
      <c r="P385" s="14">
        <v>125.70198600706348</v>
      </c>
      <c r="Q385" s="14">
        <v>133.78372749087805</v>
      </c>
      <c r="R385" s="14">
        <v>142.18439174053827</v>
      </c>
      <c r="S385" s="22"/>
      <c r="T385" s="22"/>
    </row>
    <row r="386" spans="1:20" x14ac:dyDescent="0.35">
      <c r="A386" t="s">
        <v>21</v>
      </c>
      <c r="B386" s="17" t="s">
        <v>84</v>
      </c>
      <c r="C386" s="13" t="s">
        <v>85</v>
      </c>
      <c r="D386" s="13" t="s">
        <v>85</v>
      </c>
      <c r="E386" s="13" t="s">
        <v>85</v>
      </c>
      <c r="F386" s="14">
        <v>7.577585647504204</v>
      </c>
      <c r="G386" s="14">
        <v>7.8757431074670228</v>
      </c>
      <c r="H386" s="14">
        <v>8.1987584939847391</v>
      </c>
      <c r="I386" s="14">
        <v>8.548686617057335</v>
      </c>
      <c r="J386" s="14">
        <v>8.9306472637782157</v>
      </c>
      <c r="K386" s="14">
        <v>9.3534892096529898</v>
      </c>
      <c r="L386" s="14">
        <v>9.8181763839185976</v>
      </c>
      <c r="M386" s="14">
        <v>10.32558585942399</v>
      </c>
      <c r="N386" s="14">
        <v>10.862660434861255</v>
      </c>
      <c r="O386" s="14">
        <v>11.420428610368175</v>
      </c>
      <c r="P386" s="14">
        <v>11.983995812914193</v>
      </c>
      <c r="Q386" s="14">
        <v>12.547410872741242</v>
      </c>
      <c r="R386" s="14">
        <v>13.11763911723221</v>
      </c>
      <c r="S386" s="22"/>
      <c r="T386" s="22"/>
    </row>
    <row r="387" spans="1:20" x14ac:dyDescent="0.35">
      <c r="A387" t="s">
        <v>21</v>
      </c>
      <c r="B387" s="17" t="s">
        <v>84</v>
      </c>
      <c r="C387" s="13" t="s">
        <v>86</v>
      </c>
      <c r="D387" s="13" t="s">
        <v>86</v>
      </c>
      <c r="E387" s="13" t="s">
        <v>86</v>
      </c>
      <c r="F387" s="14">
        <v>20.952316942226311</v>
      </c>
      <c r="G387" s="14">
        <v>22.009091908726543</v>
      </c>
      <c r="H387" s="14">
        <v>23.146678948234886</v>
      </c>
      <c r="I387" s="14">
        <v>24.325704600384519</v>
      </c>
      <c r="J387" s="14">
        <v>25.516135039366329</v>
      </c>
      <c r="K387" s="14">
        <v>26.752063673219801</v>
      </c>
      <c r="L387" s="14">
        <v>28.061233188567652</v>
      </c>
      <c r="M387" s="14">
        <v>29.518653416809666</v>
      </c>
      <c r="N387" s="14">
        <v>31.147703508728213</v>
      </c>
      <c r="O387" s="14">
        <v>32.890016995599886</v>
      </c>
      <c r="P387" s="14">
        <v>34.754458030616512</v>
      </c>
      <c r="Q387" s="14">
        <v>36.689834439672815</v>
      </c>
      <c r="R387" s="14">
        <v>38.677951676289744</v>
      </c>
      <c r="S387" s="22"/>
      <c r="T387" s="22"/>
    </row>
    <row r="388" spans="1:20" x14ac:dyDescent="0.35">
      <c r="A388" t="s">
        <v>21</v>
      </c>
      <c r="B388" s="17" t="s">
        <v>84</v>
      </c>
      <c r="C388" s="40" t="s">
        <v>87</v>
      </c>
      <c r="D388" s="40" t="s">
        <v>87</v>
      </c>
      <c r="E388" s="40" t="s">
        <v>87</v>
      </c>
      <c r="F388" s="42">
        <v>36.085928773154691</v>
      </c>
      <c r="G388" s="42">
        <v>38.86915261002413</v>
      </c>
      <c r="H388" s="42">
        <v>42.026341716896283</v>
      </c>
      <c r="I388" s="42">
        <v>45.42224192345823</v>
      </c>
      <c r="J388" s="42">
        <v>48.905925492118797</v>
      </c>
      <c r="K388" s="42">
        <v>52.566972484559273</v>
      </c>
      <c r="L388" s="42">
        <v>56.422907658647361</v>
      </c>
      <c r="M388" s="42">
        <v>60.795526894469504</v>
      </c>
      <c r="N388" s="42">
        <v>65.85381424205579</v>
      </c>
      <c r="O388" s="42">
        <v>71.393318296735956</v>
      </c>
      <c r="P388" s="42">
        <v>77.479130972407006</v>
      </c>
      <c r="Q388" s="42">
        <v>83.914511217089199</v>
      </c>
      <c r="R388" s="42">
        <v>90.67720966280018</v>
      </c>
      <c r="S388" s="22"/>
      <c r="T388" s="22"/>
    </row>
    <row r="389" spans="1:20" x14ac:dyDescent="0.35">
      <c r="A389" t="s">
        <v>21</v>
      </c>
      <c r="B389" s="17" t="s">
        <v>84</v>
      </c>
      <c r="C389" s="13" t="s">
        <v>88</v>
      </c>
      <c r="D389" s="13" t="s">
        <v>88</v>
      </c>
      <c r="E389" s="13" t="s">
        <v>88</v>
      </c>
      <c r="F389" s="14">
        <v>24.430712755569921</v>
      </c>
      <c r="G389" s="14">
        <v>26.139569800666933</v>
      </c>
      <c r="H389" s="14">
        <v>27.869222757513683</v>
      </c>
      <c r="I389" s="14">
        <v>29.664511477468494</v>
      </c>
      <c r="J389" s="14">
        <v>31.611656187659396</v>
      </c>
      <c r="K389" s="14">
        <v>33.794500237885401</v>
      </c>
      <c r="L389" s="14">
        <v>36.27487638011862</v>
      </c>
      <c r="M389" s="14">
        <v>39.016566700908015</v>
      </c>
      <c r="N389" s="14">
        <v>41.937779425455837</v>
      </c>
      <c r="O389" s="14">
        <v>45.035584629497698</v>
      </c>
      <c r="P389" s="14">
        <v>48.35800015829502</v>
      </c>
      <c r="Q389" s="14">
        <v>51.960468504823083</v>
      </c>
      <c r="R389" s="14">
        <v>55.812969362082427</v>
      </c>
      <c r="S389" s="22"/>
      <c r="T389" s="22"/>
    </row>
    <row r="390" spans="1:20" x14ac:dyDescent="0.35">
      <c r="A390" t="s">
        <v>21</v>
      </c>
      <c r="B390" s="17" t="s">
        <v>84</v>
      </c>
      <c r="C390" s="13" t="s">
        <v>89</v>
      </c>
      <c r="D390" s="13" t="s">
        <v>89</v>
      </c>
      <c r="E390" s="13" t="s">
        <v>89</v>
      </c>
      <c r="F390" s="14">
        <v>6.9198988971911879</v>
      </c>
      <c r="G390" s="14">
        <v>7.3678406171535729</v>
      </c>
      <c r="H390" s="14">
        <v>7.8578031858603525</v>
      </c>
      <c r="I390" s="14">
        <v>8.3836261585416558</v>
      </c>
      <c r="J390" s="14">
        <v>8.9306472637782157</v>
      </c>
      <c r="K390" s="14">
        <v>9.5086048848264184</v>
      </c>
      <c r="L390" s="14">
        <v>10.124897102823541</v>
      </c>
      <c r="M390" s="14">
        <v>10.795719069299444</v>
      </c>
      <c r="N390" s="14">
        <v>11.527406916320125</v>
      </c>
      <c r="O390" s="14">
        <v>12.322351696491946</v>
      </c>
      <c r="P390" s="14">
        <v>13.167260136212416</v>
      </c>
      <c r="Q390" s="14">
        <v>14.049276608118278</v>
      </c>
      <c r="R390" s="14">
        <v>14.979142890379478</v>
      </c>
      <c r="S390" s="22"/>
      <c r="T390" s="22"/>
    </row>
    <row r="391" spans="1:20" x14ac:dyDescent="0.35">
      <c r="A391" t="s">
        <v>21</v>
      </c>
      <c r="B391" s="17" t="s">
        <v>84</v>
      </c>
      <c r="C391" s="13" t="s">
        <v>90</v>
      </c>
      <c r="D391" s="13" t="s">
        <v>90</v>
      </c>
      <c r="E391" s="13" t="s">
        <v>90</v>
      </c>
      <c r="F391" s="14">
        <v>14.209781633433836</v>
      </c>
      <c r="G391" s="14">
        <v>15.031716369901064</v>
      </c>
      <c r="H391" s="14">
        <v>15.931257613902565</v>
      </c>
      <c r="I391" s="14">
        <v>16.879319580117187</v>
      </c>
      <c r="J391" s="14">
        <v>17.861294527556446</v>
      </c>
      <c r="K391" s="14">
        <v>18.852766943230929</v>
      </c>
      <c r="L391" s="14">
        <v>19.9055598018534</v>
      </c>
      <c r="M391" s="14">
        <v>21.056954768506053</v>
      </c>
      <c r="N391" s="14">
        <v>22.34513958872904</v>
      </c>
      <c r="O391" s="14">
        <v>23.771717721093584</v>
      </c>
      <c r="P391" s="14">
        <v>25.29729662015896</v>
      </c>
      <c r="Q391" s="14">
        <v>26.887051671856259</v>
      </c>
      <c r="R391" s="14">
        <v>28.541614378304349</v>
      </c>
      <c r="S391" s="22"/>
      <c r="T391" s="22"/>
    </row>
    <row r="392" spans="1:20" x14ac:dyDescent="0.35">
      <c r="A392" t="s">
        <v>21</v>
      </c>
      <c r="B392" s="17" t="s">
        <v>91</v>
      </c>
      <c r="C392" s="13" t="s">
        <v>92</v>
      </c>
      <c r="D392" s="13" t="s">
        <v>92</v>
      </c>
      <c r="E392" s="13" t="s">
        <v>92</v>
      </c>
      <c r="F392" s="14">
        <v>45.164409289990687</v>
      </c>
      <c r="G392" s="14">
        <v>48.191163502161167</v>
      </c>
      <c r="H392" s="14">
        <v>51.501078363381623</v>
      </c>
      <c r="I392" s="14">
        <v>55.124163318557102</v>
      </c>
      <c r="J392" s="14">
        <v>59.112379507865327</v>
      </c>
      <c r="K392" s="14">
        <v>63.546774918608023</v>
      </c>
      <c r="L392" s="14">
        <v>68.462098330190912</v>
      </c>
      <c r="M392" s="14">
        <v>73.894544686071654</v>
      </c>
      <c r="N392" s="14">
        <v>79.78268549720913</v>
      </c>
      <c r="O392" s="14">
        <v>86.086822719582969</v>
      </c>
      <c r="P392" s="14">
        <v>92.71691625881266</v>
      </c>
      <c r="Q392" s="14">
        <v>99.641295982943618</v>
      </c>
      <c r="R392" s="14">
        <v>106.92656505464599</v>
      </c>
      <c r="S392" s="22"/>
      <c r="T392" s="22"/>
    </row>
    <row r="393" spans="1:20" x14ac:dyDescent="0.35">
      <c r="A393" t="s">
        <v>21</v>
      </c>
      <c r="B393" s="17" t="s">
        <v>91</v>
      </c>
      <c r="C393" s="13" t="s">
        <v>93</v>
      </c>
      <c r="D393" s="13" t="s">
        <v>93</v>
      </c>
      <c r="E393" s="13" t="s">
        <v>93</v>
      </c>
      <c r="F393" s="14">
        <v>65.011815359089468</v>
      </c>
      <c r="G393" s="14">
        <v>69.10195091177809</v>
      </c>
      <c r="H393" s="14">
        <v>73.528984353010884</v>
      </c>
      <c r="I393" s="14">
        <v>78.099927038470327</v>
      </c>
      <c r="J393" s="14">
        <v>82.643926266392057</v>
      </c>
      <c r="K393" s="14">
        <v>87.281622514766795</v>
      </c>
      <c r="L393" s="14">
        <v>92.145552185738268</v>
      </c>
      <c r="M393" s="14">
        <v>97.614462023345013</v>
      </c>
      <c r="N393" s="14">
        <v>103.89181861894114</v>
      </c>
      <c r="O393" s="14">
        <v>110.74659523020428</v>
      </c>
      <c r="P393" s="14">
        <v>118.32322547179143</v>
      </c>
      <c r="Q393" s="14">
        <v>126.40725733135726</v>
      </c>
      <c r="R393" s="14">
        <v>134.87996203244239</v>
      </c>
      <c r="S393" s="14"/>
      <c r="T393" s="14"/>
    </row>
    <row r="394" spans="1:20" x14ac:dyDescent="0.35">
      <c r="A394" t="s">
        <v>21</v>
      </c>
      <c r="B394" s="17" t="s">
        <v>94</v>
      </c>
      <c r="C394" s="13" t="s">
        <v>95</v>
      </c>
      <c r="D394" s="13" t="s">
        <v>95</v>
      </c>
      <c r="E394" s="13" t="s">
        <v>95</v>
      </c>
      <c r="F394" s="14">
        <v>7.7863328478036049</v>
      </c>
      <c r="G394" s="14">
        <v>8.4292216064616241</v>
      </c>
      <c r="H394" s="14">
        <v>9.1267366320788863</v>
      </c>
      <c r="I394" s="14">
        <v>9.9069308876457658</v>
      </c>
      <c r="J394" s="14">
        <v>10.773479238843562</v>
      </c>
      <c r="K394" s="14">
        <v>11.729307495794069</v>
      </c>
      <c r="L394" s="14">
        <v>12.772300136622411</v>
      </c>
      <c r="M394" s="14">
        <v>13.897393541081557</v>
      </c>
      <c r="N394" s="14">
        <v>15.108049906799543</v>
      </c>
      <c r="O394" s="14">
        <v>16.444069118926311</v>
      </c>
      <c r="P394" s="14">
        <v>17.921436772378371</v>
      </c>
      <c r="Q394" s="14">
        <v>19.533570450639669</v>
      </c>
      <c r="R394" s="14">
        <v>21.274702864314659</v>
      </c>
      <c r="S394" s="14"/>
      <c r="T394" s="14"/>
    </row>
    <row r="395" spans="1:20" x14ac:dyDescent="0.35">
      <c r="A395" t="s">
        <v>21</v>
      </c>
      <c r="B395" s="17" t="s">
        <v>94</v>
      </c>
      <c r="C395" s="40" t="s">
        <v>96</v>
      </c>
      <c r="D395" s="40" t="s">
        <v>96</v>
      </c>
      <c r="E395" s="40" t="s">
        <v>96</v>
      </c>
      <c r="F395" s="42">
        <v>19.286989078308324</v>
      </c>
      <c r="G395" s="42">
        <v>20.770033243653486</v>
      </c>
      <c r="H395" s="42">
        <v>22.554248600085629</v>
      </c>
      <c r="I395" s="42">
        <v>24.417883452424846</v>
      </c>
      <c r="J395" s="42">
        <v>26.224916568237632</v>
      </c>
      <c r="K395" s="42">
        <v>28.017736155508246</v>
      </c>
      <c r="L395" s="42">
        <v>29.856189946830341</v>
      </c>
      <c r="M395" s="42">
        <v>32.09935418710603</v>
      </c>
      <c r="N395" s="42">
        <v>34.942293339529328</v>
      </c>
      <c r="O395" s="42">
        <v>38.074681316676077</v>
      </c>
      <c r="P395" s="42">
        <v>41.526187167857813</v>
      </c>
      <c r="Q395" s="42">
        <v>45.100546793844785</v>
      </c>
      <c r="R395" s="42">
        <v>48.769622094518837</v>
      </c>
      <c r="S395" s="14"/>
      <c r="T395" s="14"/>
    </row>
    <row r="396" spans="1:20" x14ac:dyDescent="0.35">
      <c r="A396" t="s">
        <v>21</v>
      </c>
      <c r="B396" s="17" t="s">
        <v>94</v>
      </c>
      <c r="C396" s="13" t="s">
        <v>97</v>
      </c>
      <c r="D396" s="13" t="s">
        <v>97</v>
      </c>
      <c r="E396" s="13" t="s">
        <v>97</v>
      </c>
      <c r="F396" s="14">
        <v>16.537467699775714</v>
      </c>
      <c r="G396" s="14">
        <v>17.532566790731945</v>
      </c>
      <c r="H396" s="14">
        <v>18.618536580663203</v>
      </c>
      <c r="I396" s="14">
        <v>19.779538064168875</v>
      </c>
      <c r="J396" s="14">
        <v>20.97993325459009</v>
      </c>
      <c r="K396" s="14">
        <v>22.24200626167249</v>
      </c>
      <c r="L396" s="14">
        <v>23.582179395140248</v>
      </c>
      <c r="M396" s="14">
        <v>25.037074517133082</v>
      </c>
      <c r="N396" s="14">
        <v>26.619811455282044</v>
      </c>
      <c r="O396" s="14">
        <v>28.334161221569353</v>
      </c>
      <c r="P396" s="14">
        <v>30.147749621123424</v>
      </c>
      <c r="Q396" s="14">
        <v>32.029739879471904</v>
      </c>
      <c r="R396" s="14">
        <v>34.003606270533766</v>
      </c>
      <c r="S396" s="14"/>
      <c r="T396" s="14"/>
    </row>
    <row r="397" spans="1:20" x14ac:dyDescent="0.35">
      <c r="A397" t="s">
        <v>21</v>
      </c>
      <c r="B397" s="17" t="s">
        <v>94</v>
      </c>
      <c r="C397" s="13" t="s">
        <v>98</v>
      </c>
      <c r="D397" s="13" t="s">
        <v>98</v>
      </c>
      <c r="E397" s="13" t="s">
        <v>98</v>
      </c>
      <c r="F397" s="14">
        <v>29.494296921185267</v>
      </c>
      <c r="G397" s="14">
        <v>31.403743470578444</v>
      </c>
      <c r="H397" s="14">
        <v>33.318189328390552</v>
      </c>
      <c r="I397" s="14">
        <v>35.290984770968471</v>
      </c>
      <c r="J397" s="14">
        <v>37.423664724403949</v>
      </c>
      <c r="K397" s="14">
        <v>39.812952731610856</v>
      </c>
      <c r="L397" s="14">
        <v>42.527729838775556</v>
      </c>
      <c r="M397" s="14">
        <v>45.520551026484377</v>
      </c>
      <c r="N397" s="14">
        <v>48.691672955830342</v>
      </c>
      <c r="O397" s="14">
        <v>52.034800975350088</v>
      </c>
      <c r="P397" s="14">
        <v>55.602595985502099</v>
      </c>
      <c r="Q397" s="14">
        <v>59.455202303360245</v>
      </c>
      <c r="R397" s="14">
        <v>63.553767860066067</v>
      </c>
      <c r="S397" s="14"/>
      <c r="T397" s="14"/>
    </row>
    <row r="398" spans="1:20" x14ac:dyDescent="0.35">
      <c r="A398" t="s">
        <v>21</v>
      </c>
      <c r="B398" s="17" t="s">
        <v>94</v>
      </c>
      <c r="C398" s="13" t="s">
        <v>48</v>
      </c>
      <c r="D398" s="13" t="s">
        <v>48</v>
      </c>
      <c r="E398" s="13" t="s">
        <v>48</v>
      </c>
      <c r="F398" s="14">
        <v>12.134807290650977</v>
      </c>
      <c r="G398" s="14">
        <v>13.006329071926872</v>
      </c>
      <c r="H398" s="14">
        <v>13.956701453247629</v>
      </c>
      <c r="I398" s="14">
        <v>14.966050012246237</v>
      </c>
      <c r="J398" s="14">
        <v>16.018462552491084</v>
      </c>
      <c r="K398" s="14">
        <v>17.136871504495645</v>
      </c>
      <c r="L398" s="14">
        <v>18.341936198061298</v>
      </c>
      <c r="M398" s="14">
        <v>19.686766841693135</v>
      </c>
      <c r="N398" s="14">
        <v>21.194182451669747</v>
      </c>
      <c r="O398" s="14">
        <v>22.832916502009592</v>
      </c>
      <c r="P398" s="14">
        <v>24.615482145919049</v>
      </c>
      <c r="Q398" s="14">
        <v>26.512597195994896</v>
      </c>
      <c r="R398" s="14">
        <v>28.51615399493889</v>
      </c>
      <c r="S398" s="14"/>
      <c r="T398" s="14"/>
    </row>
    <row r="399" spans="1:20" x14ac:dyDescent="0.35">
      <c r="A399" t="s">
        <v>21</v>
      </c>
      <c r="B399" s="17" t="s">
        <v>94</v>
      </c>
      <c r="C399" s="13" t="s">
        <v>99</v>
      </c>
      <c r="D399" s="13" t="s">
        <v>99</v>
      </c>
      <c r="E399" s="13" t="s">
        <v>99</v>
      </c>
      <c r="F399" s="14">
        <v>10.004632778993784</v>
      </c>
      <c r="G399" s="14">
        <v>10.429759542655455</v>
      </c>
      <c r="H399" s="14">
        <v>10.874863284620977</v>
      </c>
      <c r="I399" s="14">
        <v>11.368703367935868</v>
      </c>
      <c r="J399" s="14">
        <v>11.907529685037622</v>
      </c>
      <c r="K399" s="14">
        <v>12.486797218754905</v>
      </c>
      <c r="L399" s="14">
        <v>13.096759910394915</v>
      </c>
      <c r="M399" s="14">
        <v>13.72560388100165</v>
      </c>
      <c r="N399" s="14">
        <v>14.371264487385252</v>
      </c>
      <c r="O399" s="14">
        <v>15.066224812394214</v>
      </c>
      <c r="P399" s="14">
        <v>15.816050593189011</v>
      </c>
      <c r="Q399" s="14">
        <v>16.604991359681947</v>
      </c>
      <c r="R399" s="14">
        <v>17.419666635353583</v>
      </c>
      <c r="S399" s="14"/>
      <c r="T399" s="14"/>
    </row>
    <row r="400" spans="1:20" x14ac:dyDescent="0.35">
      <c r="A400" t="s">
        <v>21</v>
      </c>
      <c r="B400" s="17" t="s">
        <v>94</v>
      </c>
      <c r="C400" s="13" t="s">
        <v>100</v>
      </c>
      <c r="D400" s="13" t="s">
        <v>100</v>
      </c>
      <c r="E400" s="13" t="s">
        <v>100</v>
      </c>
      <c r="F400" s="14">
        <v>14.931698032362497</v>
      </c>
      <c r="G400" s="14">
        <v>15.721460687931428</v>
      </c>
      <c r="H400" s="14">
        <v>16.580786837305638</v>
      </c>
      <c r="I400" s="14">
        <v>17.493999801637358</v>
      </c>
      <c r="J400" s="14">
        <v>18.428319750653461</v>
      </c>
      <c r="K400" s="14">
        <v>19.402726065538602</v>
      </c>
      <c r="L400" s="14">
        <v>20.430555090104416</v>
      </c>
      <c r="M400" s="14">
        <v>21.542262714916859</v>
      </c>
      <c r="N400" s="14">
        <v>22.74722951965402</v>
      </c>
      <c r="O400" s="14">
        <v>24.04656400286159</v>
      </c>
      <c r="P400" s="14">
        <v>25.410639444634313</v>
      </c>
      <c r="Q400" s="14">
        <v>26.811905331307422</v>
      </c>
      <c r="R400" s="14">
        <v>28.269007367362583</v>
      </c>
      <c r="S400" s="22"/>
      <c r="T400" s="22"/>
    </row>
    <row r="401" spans="1:20" x14ac:dyDescent="0.35">
      <c r="A401" t="s">
        <v>37</v>
      </c>
      <c r="B401" s="17" t="s">
        <v>54</v>
      </c>
      <c r="C401" s="13" t="s">
        <v>55</v>
      </c>
      <c r="D401" s="13" t="s">
        <v>55</v>
      </c>
      <c r="E401" s="13" t="s">
        <v>55</v>
      </c>
      <c r="F401" s="14">
        <v>9.7044553880152744</v>
      </c>
      <c r="G401" s="14">
        <v>10.439877512124889</v>
      </c>
      <c r="H401" s="14">
        <v>11.248431122224703</v>
      </c>
      <c r="I401" s="14">
        <v>12.138353440397786</v>
      </c>
      <c r="J401" s="14">
        <v>13.122958882469037</v>
      </c>
      <c r="K401" s="14">
        <v>14.222425387451352</v>
      </c>
      <c r="L401" s="14">
        <v>15.447192950827938</v>
      </c>
      <c r="M401" s="14">
        <v>16.808326051716016</v>
      </c>
      <c r="N401" s="14">
        <v>18.294998496639387</v>
      </c>
      <c r="O401" s="14">
        <v>19.900968331385723</v>
      </c>
      <c r="P401" s="14">
        <v>21.608111322229689</v>
      </c>
      <c r="Q401" s="14">
        <v>23.411277365892452</v>
      </c>
      <c r="R401" s="14">
        <v>25.328204579881053</v>
      </c>
      <c r="S401" s="22"/>
      <c r="T401" s="22"/>
    </row>
    <row r="402" spans="1:20" x14ac:dyDescent="0.35">
      <c r="A402" t="s">
        <v>37</v>
      </c>
      <c r="B402" s="17" t="s">
        <v>54</v>
      </c>
      <c r="C402" s="13" t="s">
        <v>56</v>
      </c>
      <c r="D402" s="13" t="s">
        <v>56</v>
      </c>
      <c r="E402" s="13" t="s">
        <v>56</v>
      </c>
      <c r="F402" s="14">
        <v>24.212837932187639</v>
      </c>
      <c r="G402" s="14">
        <v>25.575938012489058</v>
      </c>
      <c r="H402" s="14">
        <v>27.047745894365185</v>
      </c>
      <c r="I402" s="14">
        <v>28.583965483685606</v>
      </c>
      <c r="J402" s="14">
        <v>30.150269167986718</v>
      </c>
      <c r="K402" s="14">
        <v>31.787325810130532</v>
      </c>
      <c r="L402" s="14">
        <v>33.529162699728808</v>
      </c>
      <c r="M402" s="14">
        <v>35.467033789996165</v>
      </c>
      <c r="N402" s="14">
        <v>37.632175070593263</v>
      </c>
      <c r="O402" s="14">
        <v>39.957714962961639</v>
      </c>
      <c r="P402" s="14">
        <v>42.456933564371319</v>
      </c>
      <c r="Q402" s="14">
        <v>45.070012820032197</v>
      </c>
      <c r="R402" s="14">
        <v>47.776313160072526</v>
      </c>
      <c r="S402" s="22"/>
      <c r="T402" s="22"/>
    </row>
    <row r="403" spans="1:20" x14ac:dyDescent="0.35">
      <c r="A403" t="s">
        <v>37</v>
      </c>
      <c r="B403" s="17" t="s">
        <v>54</v>
      </c>
      <c r="C403" s="13" t="s">
        <v>57</v>
      </c>
      <c r="D403" s="13" t="s">
        <v>57</v>
      </c>
      <c r="E403" s="13" t="s">
        <v>57</v>
      </c>
      <c r="F403" s="14">
        <v>54.508271370852256</v>
      </c>
      <c r="G403" s="14">
        <v>56.891320371671227</v>
      </c>
      <c r="H403" s="14">
        <v>59.388983767414729</v>
      </c>
      <c r="I403" s="14">
        <v>62.158719534836791</v>
      </c>
      <c r="J403" s="14">
        <v>65.18097758978422</v>
      </c>
      <c r="K403" s="14">
        <v>68.431761974687717</v>
      </c>
      <c r="L403" s="14">
        <v>71.858458819723495</v>
      </c>
      <c r="M403" s="14">
        <v>75.396861070897174</v>
      </c>
      <c r="N403" s="14">
        <v>79.036014348392328</v>
      </c>
      <c r="O403" s="14">
        <v>82.954910528415624</v>
      </c>
      <c r="P403" s="14">
        <v>87.185171442125508</v>
      </c>
      <c r="Q403" s="14">
        <v>91.641060020097882</v>
      </c>
      <c r="R403" s="14">
        <v>96.249516268929327</v>
      </c>
      <c r="S403" s="22"/>
      <c r="T403" s="22"/>
    </row>
    <row r="404" spans="1:20" x14ac:dyDescent="0.35">
      <c r="A404" t="s">
        <v>37</v>
      </c>
      <c r="B404" s="17" t="s">
        <v>59</v>
      </c>
      <c r="C404" s="18" t="s">
        <v>60</v>
      </c>
      <c r="D404" s="38" t="s">
        <v>61</v>
      </c>
      <c r="E404" s="39" t="s">
        <v>62</v>
      </c>
      <c r="F404" s="22">
        <v>3.6621402961951652</v>
      </c>
      <c r="G404" s="22">
        <v>3.9725796230903332</v>
      </c>
      <c r="H404" s="22">
        <v>4.3163573946205052</v>
      </c>
      <c r="I404" s="22">
        <v>4.6916854240089361</v>
      </c>
      <c r="J404" s="22">
        <v>5.0918217064054963</v>
      </c>
      <c r="K404" s="22">
        <v>5.5233725157962104</v>
      </c>
      <c r="L404" s="22">
        <v>5.9920398763463938</v>
      </c>
      <c r="M404" s="22">
        <v>6.5091061975406372</v>
      </c>
      <c r="N404" s="22">
        <v>7.0806919549763858</v>
      </c>
      <c r="O404" s="22">
        <v>7.7108649861313721</v>
      </c>
      <c r="P404" s="22">
        <v>8.3940834821701582</v>
      </c>
      <c r="Q404" s="22">
        <v>9.124562495510764</v>
      </c>
      <c r="R404" s="22">
        <v>9.9113148442010388</v>
      </c>
      <c r="S404" s="22"/>
      <c r="T404" s="22"/>
    </row>
    <row r="405" spans="1:20" x14ac:dyDescent="0.35">
      <c r="A405" t="s">
        <v>37</v>
      </c>
      <c r="B405" s="17" t="s">
        <v>59</v>
      </c>
      <c r="C405" s="18" t="s">
        <v>60</v>
      </c>
      <c r="D405" s="38" t="s">
        <v>61</v>
      </c>
      <c r="E405" s="39" t="s">
        <v>63</v>
      </c>
      <c r="F405" s="22">
        <v>6.1801155406391075</v>
      </c>
      <c r="G405" s="22">
        <v>6.5495005300844635</v>
      </c>
      <c r="H405" s="22">
        <v>6.9525415110332016</v>
      </c>
      <c r="I405" s="22">
        <v>7.3832848868784646</v>
      </c>
      <c r="J405" s="22">
        <v>7.8283954869406074</v>
      </c>
      <c r="K405" s="22">
        <v>8.2961712053942271</v>
      </c>
      <c r="L405" s="22">
        <v>8.7927108744289963</v>
      </c>
      <c r="M405" s="22">
        <v>9.3316354939720103</v>
      </c>
      <c r="N405" s="22">
        <v>9.9177858294363137</v>
      </c>
      <c r="O405" s="22">
        <v>10.552512142728547</v>
      </c>
      <c r="P405" s="22">
        <v>11.223700987944643</v>
      </c>
      <c r="Q405" s="22">
        <v>11.919829512198968</v>
      </c>
      <c r="R405" s="22">
        <v>12.649604023030475</v>
      </c>
      <c r="S405" s="22"/>
      <c r="T405" s="22"/>
    </row>
    <row r="406" spans="1:20" x14ac:dyDescent="0.35">
      <c r="A406" t="s">
        <v>37</v>
      </c>
      <c r="B406" s="17" t="s">
        <v>59</v>
      </c>
      <c r="C406" s="18" t="s">
        <v>60</v>
      </c>
      <c r="D406" s="38" t="s">
        <v>61</v>
      </c>
      <c r="E406" s="39" t="s">
        <v>64</v>
      </c>
      <c r="F406" s="22">
        <v>7.9555192759628817</v>
      </c>
      <c r="G406" s="22">
        <v>8.293351749002051</v>
      </c>
      <c r="H406" s="22">
        <v>8.5911674719511311</v>
      </c>
      <c r="I406" s="22">
        <v>8.9967991018742239</v>
      </c>
      <c r="J406" s="22">
        <v>9.5107154339908817</v>
      </c>
      <c r="K406" s="22">
        <v>10.122295663083197</v>
      </c>
      <c r="L406" s="22">
        <v>10.721250879494715</v>
      </c>
      <c r="M406" s="22">
        <v>11.23125920512453</v>
      </c>
      <c r="N406" s="22">
        <v>11.626091241622689</v>
      </c>
      <c r="O406" s="22">
        <v>12.025820616433901</v>
      </c>
      <c r="P406" s="22">
        <v>12.521055813703327</v>
      </c>
      <c r="Q406" s="22">
        <v>13.074927191539373</v>
      </c>
      <c r="R406" s="22">
        <v>13.613707077524204</v>
      </c>
      <c r="S406" s="22"/>
      <c r="T406" s="22"/>
    </row>
    <row r="407" spans="1:20" x14ac:dyDescent="0.35">
      <c r="A407" t="s">
        <v>37</v>
      </c>
      <c r="B407" s="17" t="s">
        <v>59</v>
      </c>
      <c r="C407" s="18" t="s">
        <v>60</v>
      </c>
      <c r="D407" s="38" t="s">
        <v>65</v>
      </c>
      <c r="E407" s="38" t="s">
        <v>65</v>
      </c>
      <c r="F407" s="41">
        <v>15.921664974183681</v>
      </c>
      <c r="G407" s="41">
        <v>16.725305431386253</v>
      </c>
      <c r="H407" s="41">
        <v>17.590415990687223</v>
      </c>
      <c r="I407" s="41">
        <v>18.487081278354562</v>
      </c>
      <c r="J407" s="41">
        <v>19.39247960212003</v>
      </c>
      <c r="K407" s="41">
        <v>20.332523251544913</v>
      </c>
      <c r="L407" s="41">
        <v>21.328301448908345</v>
      </c>
      <c r="M407" s="41">
        <v>22.436832438699927</v>
      </c>
      <c r="N407" s="41">
        <v>23.675898643444473</v>
      </c>
      <c r="O407" s="41">
        <v>25.001148768893827</v>
      </c>
      <c r="P407" s="41">
        <v>26.419330167039742</v>
      </c>
      <c r="Q407" s="41">
        <v>27.891538077593243</v>
      </c>
      <c r="R407" s="41">
        <v>29.403946950668249</v>
      </c>
      <c r="S407" s="22"/>
      <c r="T407" s="22"/>
    </row>
    <row r="408" spans="1:20" x14ac:dyDescent="0.35">
      <c r="A408" t="s">
        <v>37</v>
      </c>
      <c r="B408" s="17" t="s">
        <v>59</v>
      </c>
      <c r="C408" s="18" t="s">
        <v>60</v>
      </c>
      <c r="D408" s="38" t="s">
        <v>66</v>
      </c>
      <c r="E408" s="38" t="s">
        <v>66</v>
      </c>
      <c r="F408" s="41">
        <v>10.182555611567851</v>
      </c>
      <c r="G408" s="41">
        <v>10.632984183336603</v>
      </c>
      <c r="H408" s="41">
        <v>11.124603573971754</v>
      </c>
      <c r="I408" s="41">
        <v>11.635244941612145</v>
      </c>
      <c r="J408" s="41">
        <v>12.153812100867853</v>
      </c>
      <c r="K408" s="41">
        <v>12.663080932734193</v>
      </c>
      <c r="L408" s="41">
        <v>13.197910165673912</v>
      </c>
      <c r="M408" s="41">
        <v>13.781723900951068</v>
      </c>
      <c r="N408" s="41">
        <v>14.437301901341796</v>
      </c>
      <c r="O408" s="41">
        <v>15.162564333905815</v>
      </c>
      <c r="P408" s="41">
        <v>15.929314742534256</v>
      </c>
      <c r="Q408" s="41">
        <v>16.713599597876687</v>
      </c>
      <c r="R408" s="41">
        <v>17.5146817926822</v>
      </c>
      <c r="S408" s="22"/>
      <c r="T408" s="22"/>
    </row>
    <row r="409" spans="1:20" x14ac:dyDescent="0.35">
      <c r="A409" t="s">
        <v>37</v>
      </c>
      <c r="B409" s="17" t="s">
        <v>59</v>
      </c>
      <c r="C409" s="18" t="s">
        <v>60</v>
      </c>
      <c r="D409" s="38" t="s">
        <v>67</v>
      </c>
      <c r="E409" s="38" t="s">
        <v>67</v>
      </c>
      <c r="F409" s="41">
        <v>6.4772046747234633</v>
      </c>
      <c r="G409" s="41">
        <v>6.7140614757354244</v>
      </c>
      <c r="H409" s="41">
        <v>6.9730077199755716</v>
      </c>
      <c r="I409" s="41">
        <v>7.2396166023110711</v>
      </c>
      <c r="J409" s="41">
        <v>7.5067662975948508</v>
      </c>
      <c r="K409" s="41">
        <v>7.7637560625769426</v>
      </c>
      <c r="L409" s="41">
        <v>8.0321316409308157</v>
      </c>
      <c r="M409" s="41">
        <v>8.3258486224555739</v>
      </c>
      <c r="N409" s="41">
        <v>8.6580590018624726</v>
      </c>
      <c r="O409" s="41">
        <v>9.0266130926286792</v>
      </c>
      <c r="P409" s="41">
        <v>9.4138645728097643</v>
      </c>
      <c r="Q409" s="41">
        <v>9.8051777415687624</v>
      </c>
      <c r="R409" s="41">
        <v>10.199957684641689</v>
      </c>
      <c r="S409" s="14"/>
      <c r="T409" s="14"/>
    </row>
    <row r="410" spans="1:20" x14ac:dyDescent="0.35">
      <c r="A410" t="s">
        <v>37</v>
      </c>
      <c r="B410" s="17" t="s">
        <v>59</v>
      </c>
      <c r="C410" s="18" t="s">
        <v>60</v>
      </c>
      <c r="D410" s="38" t="s">
        <v>68</v>
      </c>
      <c r="E410" s="38" t="s">
        <v>68</v>
      </c>
      <c r="F410" s="41">
        <v>10.958606918645165</v>
      </c>
      <c r="G410" s="41">
        <v>11.635040073479798</v>
      </c>
      <c r="H410" s="41">
        <v>12.355359909028536</v>
      </c>
      <c r="I410" s="41">
        <v>13.154064270962166</v>
      </c>
      <c r="J410" s="41">
        <v>14.030503675266564</v>
      </c>
      <c r="K410" s="41">
        <v>14.982899479734106</v>
      </c>
      <c r="L410" s="41">
        <v>16.002962535316843</v>
      </c>
      <c r="M410" s="41">
        <v>17.079136823517089</v>
      </c>
      <c r="N410" s="41">
        <v>18.211036231163074</v>
      </c>
      <c r="O410" s="41">
        <v>19.441935492699496</v>
      </c>
      <c r="P410" s="41">
        <v>20.78346532802405</v>
      </c>
      <c r="Q410" s="41">
        <v>22.219924831902279</v>
      </c>
      <c r="R410" s="41">
        <v>23.737440834285916</v>
      </c>
      <c r="S410" s="14"/>
      <c r="T410" s="14"/>
    </row>
    <row r="411" spans="1:20" x14ac:dyDescent="0.35">
      <c r="A411" t="s">
        <v>37</v>
      </c>
      <c r="B411" s="17" t="s">
        <v>59</v>
      </c>
      <c r="C411" s="18" t="s">
        <v>60</v>
      </c>
      <c r="D411" s="38" t="s">
        <v>69</v>
      </c>
      <c r="E411" s="38" t="s">
        <v>69</v>
      </c>
      <c r="F411" s="41">
        <v>12.509751840338001</v>
      </c>
      <c r="G411" s="41">
        <v>12.800253512310311</v>
      </c>
      <c r="H411" s="41">
        <v>13.118834974949614</v>
      </c>
      <c r="I411" s="41">
        <v>13.467210235845581</v>
      </c>
      <c r="J411" s="41">
        <v>13.851771144371449</v>
      </c>
      <c r="K411" s="41">
        <v>14.28425138081341</v>
      </c>
      <c r="L411" s="41">
        <v>14.76356444250986</v>
      </c>
      <c r="M411" s="41">
        <v>15.288488150875217</v>
      </c>
      <c r="N411" s="41">
        <v>15.837171868393602</v>
      </c>
      <c r="O411" s="41">
        <v>16.394989007794926</v>
      </c>
      <c r="P411" s="41">
        <v>16.939663614039858</v>
      </c>
      <c r="Q411" s="41">
        <v>17.462907527636968</v>
      </c>
      <c r="R411" s="41">
        <v>17.974930740210631</v>
      </c>
      <c r="S411" s="14"/>
      <c r="T411" s="14"/>
    </row>
    <row r="412" spans="1:20" x14ac:dyDescent="0.35">
      <c r="A412" t="s">
        <v>37</v>
      </c>
      <c r="B412" s="17" t="s">
        <v>59</v>
      </c>
      <c r="C412" s="18" t="s">
        <v>70</v>
      </c>
      <c r="D412" s="19" t="s">
        <v>71</v>
      </c>
      <c r="E412" s="19" t="s">
        <v>71</v>
      </c>
      <c r="F412" s="22">
        <v>2.0199089134365327</v>
      </c>
      <c r="G412" s="22">
        <v>2.1918235624367317</v>
      </c>
      <c r="H412" s="22">
        <v>2.3806660804656352</v>
      </c>
      <c r="I412" s="22">
        <v>2.5891514493304428</v>
      </c>
      <c r="J412" s="22">
        <v>2.8198093466462382</v>
      </c>
      <c r="K412" s="22">
        <v>3.0755139676239827</v>
      </c>
      <c r="L412" s="22">
        <v>3.3590927718916053</v>
      </c>
      <c r="M412" s="22">
        <v>3.6711624226976598</v>
      </c>
      <c r="N412" s="22">
        <v>4.012163080763008</v>
      </c>
      <c r="O412" s="22">
        <v>4.3829943404391498</v>
      </c>
      <c r="P412" s="22">
        <v>4.7844687104314163</v>
      </c>
      <c r="Q412" s="22">
        <v>5.2201542997897006</v>
      </c>
      <c r="R412" s="22">
        <v>5.6904510138507858</v>
      </c>
      <c r="S412" s="14"/>
      <c r="T412" s="14"/>
    </row>
    <row r="413" spans="1:20" x14ac:dyDescent="0.35">
      <c r="A413" t="s">
        <v>37</v>
      </c>
      <c r="B413" s="17" t="s">
        <v>59</v>
      </c>
      <c r="C413" s="18" t="s">
        <v>70</v>
      </c>
      <c r="D413" s="19" t="s">
        <v>72</v>
      </c>
      <c r="E413" s="19" t="s">
        <v>72</v>
      </c>
      <c r="F413" s="22">
        <v>1.4872976412883512</v>
      </c>
      <c r="G413" s="22">
        <v>1.6316517380979307</v>
      </c>
      <c r="H413" s="22">
        <v>1.7917259006205004</v>
      </c>
      <c r="I413" s="22">
        <v>1.9700425122569878</v>
      </c>
      <c r="J413" s="22">
        <v>2.1690841128047995</v>
      </c>
      <c r="K413" s="22">
        <v>2.3916959209038056</v>
      </c>
      <c r="L413" s="22">
        <v>2.6407987350470323</v>
      </c>
      <c r="M413" s="22">
        <v>2.9176886790930916</v>
      </c>
      <c r="N413" s="22">
        <v>3.2235621359510738</v>
      </c>
      <c r="O413" s="22">
        <v>3.5600202777492087</v>
      </c>
      <c r="P413" s="22">
        <v>3.9286463863383645</v>
      </c>
      <c r="Q413" s="22">
        <v>4.3333376477483956</v>
      </c>
      <c r="R413" s="22">
        <v>4.7755130153803513</v>
      </c>
      <c r="S413" s="14"/>
      <c r="T413" s="14"/>
    </row>
    <row r="414" spans="1:20" x14ac:dyDescent="0.35">
      <c r="A414" t="s">
        <v>37</v>
      </c>
      <c r="B414" s="17" t="s">
        <v>59</v>
      </c>
      <c r="C414" s="18" t="s">
        <v>70</v>
      </c>
      <c r="D414" s="19" t="s">
        <v>73</v>
      </c>
      <c r="E414" s="19" t="s">
        <v>73</v>
      </c>
      <c r="F414" s="22">
        <v>1.4712310767067385</v>
      </c>
      <c r="G414" s="22">
        <v>1.5528288158006673</v>
      </c>
      <c r="H414" s="22">
        <v>1.6415401945364534</v>
      </c>
      <c r="I414" s="22">
        <v>1.738055455744355</v>
      </c>
      <c r="J414" s="22">
        <v>1.8437214958840797</v>
      </c>
      <c r="K414" s="22">
        <v>1.9607281518749566</v>
      </c>
      <c r="L414" s="22">
        <v>2.0897353421611089</v>
      </c>
      <c r="M414" s="22">
        <v>2.2314101023765565</v>
      </c>
      <c r="N414" s="22">
        <v>2.3834335844757701</v>
      </c>
      <c r="O414" s="22">
        <v>2.5442253011707834</v>
      </c>
      <c r="P414" s="22">
        <v>2.710775933150269</v>
      </c>
      <c r="Q414" s="22">
        <v>2.8819041951084801</v>
      </c>
      <c r="R414" s="22">
        <v>3.0593165732683691</v>
      </c>
      <c r="S414" s="14"/>
      <c r="T414" s="14"/>
    </row>
    <row r="415" spans="1:20" x14ac:dyDescent="0.35">
      <c r="A415" t="s">
        <v>37</v>
      </c>
      <c r="B415" s="17" t="s">
        <v>59</v>
      </c>
      <c r="C415" s="18" t="s">
        <v>70</v>
      </c>
      <c r="D415" s="19" t="s">
        <v>74</v>
      </c>
      <c r="E415" s="19" t="s">
        <v>74</v>
      </c>
      <c r="F415" s="22">
        <v>1.6515855011814022</v>
      </c>
      <c r="G415" s="22">
        <v>1.7679489896885103</v>
      </c>
      <c r="H415" s="22">
        <v>1.8947208767272081</v>
      </c>
      <c r="I415" s="22">
        <v>2.0291619804840462</v>
      </c>
      <c r="J415" s="22">
        <v>2.1690841128047995</v>
      </c>
      <c r="K415" s="22">
        <v>2.3175701211360593</v>
      </c>
      <c r="L415" s="22">
        <v>2.4773796170122186</v>
      </c>
      <c r="M415" s="22">
        <v>2.655641015387245</v>
      </c>
      <c r="N415" s="22">
        <v>2.8553601573720302</v>
      </c>
      <c r="O415" s="22">
        <v>3.0722408223457229</v>
      </c>
      <c r="P415" s="22">
        <v>3.3078989743658349</v>
      </c>
      <c r="Q415" s="22">
        <v>3.5583255332172992</v>
      </c>
      <c r="R415" s="22">
        <v>3.8223733028900946</v>
      </c>
      <c r="S415" s="14"/>
      <c r="T415" s="14"/>
    </row>
    <row r="416" spans="1:20" x14ac:dyDescent="0.35">
      <c r="A416" t="s">
        <v>37</v>
      </c>
      <c r="B416" s="17" t="s">
        <v>59</v>
      </c>
      <c r="C416" s="18" t="s">
        <v>70</v>
      </c>
      <c r="D416" s="19" t="s">
        <v>75</v>
      </c>
      <c r="E416" s="19" t="s">
        <v>75</v>
      </c>
      <c r="F416" s="22">
        <v>1.3457613108666473</v>
      </c>
      <c r="G416" s="22">
        <v>1.4544583394917481</v>
      </c>
      <c r="H416" s="22">
        <v>1.5745059372072514</v>
      </c>
      <c r="I416" s="22">
        <v>1.7051187752440786</v>
      </c>
      <c r="J416" s="22">
        <v>1.8437214958840797</v>
      </c>
      <c r="K416" s="22">
        <v>1.9926088574256084</v>
      </c>
      <c r="L416" s="22">
        <v>2.1537146034679715</v>
      </c>
      <c r="M416" s="22">
        <v>2.3309485227489044</v>
      </c>
      <c r="N416" s="22">
        <v>2.5263128895950548</v>
      </c>
      <c r="O416" s="22">
        <v>2.7410464336522851</v>
      </c>
      <c r="P416" s="22">
        <v>2.9729517087811024</v>
      </c>
      <c r="Q416" s="22">
        <v>3.2197753216284899</v>
      </c>
      <c r="R416" s="22">
        <v>3.4845167416319023</v>
      </c>
      <c r="S416" s="14"/>
      <c r="T416" s="14"/>
    </row>
    <row r="417" spans="1:20" x14ac:dyDescent="0.35">
      <c r="A417" t="s">
        <v>37</v>
      </c>
      <c r="B417" s="17" t="s">
        <v>59</v>
      </c>
      <c r="C417" s="18" t="s">
        <v>76</v>
      </c>
      <c r="D417" s="19" t="s">
        <v>77</v>
      </c>
      <c r="E417" s="19" t="s">
        <v>77</v>
      </c>
      <c r="F417" s="22">
        <v>1.9776475350318388</v>
      </c>
      <c r="G417" s="22">
        <v>2.1031985577322438</v>
      </c>
      <c r="H417" s="22">
        <v>2.2287760488362065</v>
      </c>
      <c r="I417" s="22">
        <v>2.3579476206041639</v>
      </c>
      <c r="J417" s="22">
        <v>2.4974834474834458</v>
      </c>
      <c r="K417" s="22">
        <v>2.653800502497746</v>
      </c>
      <c r="L417" s="22">
        <v>2.8314294703439153</v>
      </c>
      <c r="M417" s="22">
        <v>3.0271348264219764</v>
      </c>
      <c r="N417" s="22">
        <v>3.2342182135695738</v>
      </c>
      <c r="O417" s="22">
        <v>3.452219559701617</v>
      </c>
      <c r="P417" s="22">
        <v>3.684592160681798</v>
      </c>
      <c r="Q417" s="22">
        <v>3.9352688300459664</v>
      </c>
      <c r="R417" s="22">
        <v>4.2016112629864155</v>
      </c>
      <c r="S417" s="14"/>
      <c r="T417" s="14"/>
    </row>
    <row r="418" spans="1:20" x14ac:dyDescent="0.35">
      <c r="A418" t="s">
        <v>37</v>
      </c>
      <c r="B418" s="17" t="s">
        <v>59</v>
      </c>
      <c r="C418" s="18" t="s">
        <v>76</v>
      </c>
      <c r="D418" s="19" t="s">
        <v>78</v>
      </c>
      <c r="E418" s="19" t="s">
        <v>78</v>
      </c>
      <c r="F418" s="22">
        <v>1.817821652426783</v>
      </c>
      <c r="G418" s="22">
        <v>1.9058135943529002</v>
      </c>
      <c r="H418" s="22">
        <v>1.9908662143184015</v>
      </c>
      <c r="I418" s="22">
        <v>2.0762273968231564</v>
      </c>
      <c r="J418" s="22">
        <v>2.1677826623371166</v>
      </c>
      <c r="K418" s="22">
        <v>2.2707739040600918</v>
      </c>
      <c r="L418" s="22">
        <v>2.3885224500800706</v>
      </c>
      <c r="M418" s="22">
        <v>2.5175959223008308</v>
      </c>
      <c r="N418" s="22">
        <v>2.651857202442744</v>
      </c>
      <c r="O418" s="22">
        <v>2.7906150250241715</v>
      </c>
      <c r="P418" s="22">
        <v>2.9363721806363881</v>
      </c>
      <c r="Q418" s="22">
        <v>3.0918644945637102</v>
      </c>
      <c r="R418" s="22">
        <v>3.2544996452535044</v>
      </c>
      <c r="S418" s="14"/>
      <c r="T418" s="14"/>
    </row>
    <row r="419" spans="1:20" x14ac:dyDescent="0.35">
      <c r="A419" t="s">
        <v>37</v>
      </c>
      <c r="B419" s="17" t="s">
        <v>59</v>
      </c>
      <c r="C419" s="18" t="s">
        <v>76</v>
      </c>
      <c r="D419" s="19" t="s">
        <v>79</v>
      </c>
      <c r="E419" s="19" t="s">
        <v>79</v>
      </c>
      <c r="F419" s="22">
        <v>1.0199908109090892</v>
      </c>
      <c r="G419" s="22">
        <v>1.1039797950457304</v>
      </c>
      <c r="H419" s="22">
        <v>1.1960412245488419</v>
      </c>
      <c r="I419" s="22">
        <v>1.2974740946242103</v>
      </c>
      <c r="J419" s="22">
        <v>1.4094708565005589</v>
      </c>
      <c r="K419" s="22">
        <v>1.5333835167134156</v>
      </c>
      <c r="L419" s="22">
        <v>1.6705264575664329</v>
      </c>
      <c r="M419" s="22">
        <v>1.8211005964650357</v>
      </c>
      <c r="N419" s="22">
        <v>1.9852164951626456</v>
      </c>
      <c r="O419" s="22">
        <v>2.16321011236839</v>
      </c>
      <c r="P419" s="22">
        <v>2.3553701830664253</v>
      </c>
      <c r="Q419" s="22">
        <v>2.563338215392688</v>
      </c>
      <c r="R419" s="22">
        <v>2.7871824333254245</v>
      </c>
      <c r="S419" s="14"/>
      <c r="T419" s="14"/>
    </row>
    <row r="420" spans="1:20" x14ac:dyDescent="0.35">
      <c r="A420" t="s">
        <v>37</v>
      </c>
      <c r="B420" s="17" t="s">
        <v>59</v>
      </c>
      <c r="C420" s="18" t="s">
        <v>76</v>
      </c>
      <c r="D420" s="19" t="s">
        <v>80</v>
      </c>
      <c r="E420" s="19" t="s">
        <v>80</v>
      </c>
      <c r="F420" s="22">
        <v>0.82527470493683819</v>
      </c>
      <c r="G420" s="22">
        <v>0.8590481845629796</v>
      </c>
      <c r="H420" s="22">
        <v>0.8959219038848677</v>
      </c>
      <c r="I420" s="22">
        <v>0.93407974731229293</v>
      </c>
      <c r="J420" s="22">
        <v>0.97261731618167202</v>
      </c>
      <c r="K420" s="22">
        <v>1.0101511932854566</v>
      </c>
      <c r="L420" s="22">
        <v>1.0494702419557678</v>
      </c>
      <c r="M420" s="22">
        <v>1.092418682787536</v>
      </c>
      <c r="N420" s="22">
        <v>1.1407661379738805</v>
      </c>
      <c r="O420" s="22">
        <v>1.1942953619792906</v>
      </c>
      <c r="P420" s="22">
        <v>1.2507344856986005</v>
      </c>
      <c r="Q420" s="22">
        <v>1.3081731216522834</v>
      </c>
      <c r="R420" s="22">
        <v>1.366541935408804</v>
      </c>
      <c r="S420" s="14"/>
      <c r="T420" s="14"/>
    </row>
    <row r="421" spans="1:20" x14ac:dyDescent="0.35">
      <c r="A421" t="s">
        <v>37</v>
      </c>
      <c r="B421" s="17" t="s">
        <v>59</v>
      </c>
      <c r="C421" s="18" t="s">
        <v>76</v>
      </c>
      <c r="D421" s="19" t="s">
        <v>81</v>
      </c>
      <c r="E421" s="19" t="s">
        <v>81</v>
      </c>
      <c r="F421" s="22">
        <v>0.96148641201561758</v>
      </c>
      <c r="G421" s="22">
        <v>1.0133077406505024</v>
      </c>
      <c r="H421" s="22">
        <v>1.0681078566417128</v>
      </c>
      <c r="I421" s="22">
        <v>1.1287926846493002</v>
      </c>
      <c r="J421" s="22">
        <v>1.1951653461554443</v>
      </c>
      <c r="K421" s="22">
        <v>1.2669365450712624</v>
      </c>
      <c r="L421" s="22">
        <v>1.3432729171442233</v>
      </c>
      <c r="M421" s="22">
        <v>1.4230893091944732</v>
      </c>
      <c r="N421" s="22">
        <v>1.5062613460784118</v>
      </c>
      <c r="O421" s="22">
        <v>1.5962781471158096</v>
      </c>
      <c r="P421" s="22">
        <v>1.6939268973105306</v>
      </c>
      <c r="Q421" s="22">
        <v>1.7977415710484597</v>
      </c>
      <c r="R421" s="22">
        <v>1.9064441376428185</v>
      </c>
      <c r="S421" s="14"/>
      <c r="T421" s="14"/>
    </row>
    <row r="422" spans="1:20" x14ac:dyDescent="0.35">
      <c r="A422" t="s">
        <v>37</v>
      </c>
      <c r="B422" s="17" t="s">
        <v>47</v>
      </c>
      <c r="C422" s="13" t="s">
        <v>82</v>
      </c>
      <c r="D422" s="13" t="s">
        <v>82</v>
      </c>
      <c r="E422" s="13" t="s">
        <v>82</v>
      </c>
      <c r="F422" s="14">
        <v>33.917293320202916</v>
      </c>
      <c r="G422" s="14">
        <v>36.015815524613949</v>
      </c>
      <c r="H422" s="14">
        <v>38.296177016589887</v>
      </c>
      <c r="I422" s="14">
        <v>40.722318924083396</v>
      </c>
      <c r="J422" s="14">
        <v>43.273228050455756</v>
      </c>
      <c r="K422" s="14">
        <v>46.009751197581885</v>
      </c>
      <c r="L422" s="14">
        <v>48.976355650556748</v>
      </c>
      <c r="M422" s="14">
        <v>52.275359841712181</v>
      </c>
      <c r="N422" s="14">
        <v>55.92717356723265</v>
      </c>
      <c r="O422" s="14">
        <v>59.858683294347358</v>
      </c>
      <c r="P422" s="14">
        <v>64.065044886601015</v>
      </c>
      <c r="Q422" s="14">
        <v>68.481290185924649</v>
      </c>
      <c r="R422" s="14">
        <v>73.104517739953579</v>
      </c>
      <c r="S422" s="14"/>
      <c r="T422" s="14"/>
    </row>
    <row r="423" spans="1:20" x14ac:dyDescent="0.35">
      <c r="A423" t="s">
        <v>37</v>
      </c>
      <c r="B423" s="17" t="s">
        <v>47</v>
      </c>
      <c r="C423" s="13" t="s">
        <v>83</v>
      </c>
      <c r="D423" s="13" t="s">
        <v>83</v>
      </c>
      <c r="E423" s="13" t="s">
        <v>83</v>
      </c>
      <c r="F423" s="14">
        <v>54.508271370852256</v>
      </c>
      <c r="G423" s="14">
        <v>56.891320371671227</v>
      </c>
      <c r="H423" s="14">
        <v>59.388983767414729</v>
      </c>
      <c r="I423" s="14">
        <v>62.158719534836791</v>
      </c>
      <c r="J423" s="14">
        <v>65.18097758978422</v>
      </c>
      <c r="K423" s="14">
        <v>68.431761974687717</v>
      </c>
      <c r="L423" s="14">
        <v>71.858458819723495</v>
      </c>
      <c r="M423" s="14">
        <v>75.396861070897174</v>
      </c>
      <c r="N423" s="14">
        <v>79.036014348392328</v>
      </c>
      <c r="O423" s="14">
        <v>82.954910528415624</v>
      </c>
      <c r="P423" s="14">
        <v>87.185171442125508</v>
      </c>
      <c r="Q423" s="14">
        <v>91.641060020097882</v>
      </c>
      <c r="R423" s="14">
        <v>96.249516268929327</v>
      </c>
      <c r="S423" s="14"/>
      <c r="T423" s="14"/>
    </row>
    <row r="424" spans="1:20" x14ac:dyDescent="0.35">
      <c r="A424" t="s">
        <v>37</v>
      </c>
      <c r="B424" s="17" t="s">
        <v>84</v>
      </c>
      <c r="C424" s="13" t="s">
        <v>85</v>
      </c>
      <c r="D424" s="13" t="s">
        <v>85</v>
      </c>
      <c r="E424" s="13" t="s">
        <v>85</v>
      </c>
      <c r="F424" s="14">
        <v>4.7056752368671395</v>
      </c>
      <c r="G424" s="14">
        <v>4.8702601574936173</v>
      </c>
      <c r="H424" s="14">
        <v>5.0492109770187099</v>
      </c>
      <c r="I424" s="14">
        <v>5.2368433264919867</v>
      </c>
      <c r="J424" s="14">
        <v>5.422710282011999</v>
      </c>
      <c r="K424" s="14">
        <v>5.6122862502480197</v>
      </c>
      <c r="L424" s="14">
        <v>5.8090394506791529</v>
      </c>
      <c r="M424" s="14">
        <v>6.0210584784842558</v>
      </c>
      <c r="N424" s="14">
        <v>6.2499741042291994</v>
      </c>
      <c r="O424" s="14">
        <v>6.4950025305354879</v>
      </c>
      <c r="P424" s="14">
        <v>6.7470772738352318</v>
      </c>
      <c r="Q424" s="14">
        <v>6.9982642159374402</v>
      </c>
      <c r="R424" s="14">
        <v>7.253207398764105</v>
      </c>
      <c r="S424" s="22"/>
      <c r="T424" s="22"/>
    </row>
    <row r="425" spans="1:20" x14ac:dyDescent="0.35">
      <c r="A425" t="s">
        <v>37</v>
      </c>
      <c r="B425" s="17" t="s">
        <v>84</v>
      </c>
      <c r="C425" s="13" t="s">
        <v>86</v>
      </c>
      <c r="D425" s="13" t="s">
        <v>86</v>
      </c>
      <c r="E425" s="13" t="s">
        <v>86</v>
      </c>
      <c r="F425" s="14">
        <v>14.200310915576265</v>
      </c>
      <c r="G425" s="14">
        <v>14.749934165791901</v>
      </c>
      <c r="H425" s="14">
        <v>15.350330460607834</v>
      </c>
      <c r="I425" s="14">
        <v>15.970049118926287</v>
      </c>
      <c r="J425" s="14">
        <v>16.593493462956715</v>
      </c>
      <c r="K425" s="14">
        <v>17.197026728696155</v>
      </c>
      <c r="L425" s="14">
        <v>17.82824385663222</v>
      </c>
      <c r="M425" s="14">
        <v>18.518286306573991</v>
      </c>
      <c r="N425" s="14">
        <v>19.296764481069957</v>
      </c>
      <c r="O425" s="14">
        <v>20.159426631028186</v>
      </c>
      <c r="P425" s="14">
        <v>21.067373914413075</v>
      </c>
      <c r="Q425" s="14">
        <v>21.988123812135584</v>
      </c>
      <c r="R425" s="14">
        <v>22.92041280010169</v>
      </c>
      <c r="S425" s="22"/>
      <c r="T425" s="22"/>
    </row>
    <row r="426" spans="1:20" x14ac:dyDescent="0.35">
      <c r="A426" t="s">
        <v>37</v>
      </c>
      <c r="B426" s="17" t="s">
        <v>84</v>
      </c>
      <c r="C426" s="40" t="s">
        <v>87</v>
      </c>
      <c r="D426" s="40" t="s">
        <v>87</v>
      </c>
      <c r="E426" s="40" t="s">
        <v>87</v>
      </c>
      <c r="F426" s="42">
        <v>25.952317842130498</v>
      </c>
      <c r="G426" s="42">
        <v>27.505813126547835</v>
      </c>
      <c r="H426" s="42">
        <v>29.106877411074393</v>
      </c>
      <c r="I426" s="42">
        <v>30.956754083411141</v>
      </c>
      <c r="J426" s="42">
        <v>33.078532720273202</v>
      </c>
      <c r="K426" s="42">
        <v>35.464430702904238</v>
      </c>
      <c r="L426" s="42">
        <v>38.016086930407141</v>
      </c>
      <c r="M426" s="42">
        <v>40.633561326059933</v>
      </c>
      <c r="N426" s="42">
        <v>43.286403031450618</v>
      </c>
      <c r="O426" s="42">
        <v>46.160051458719849</v>
      </c>
      <c r="P426" s="42">
        <v>49.360828930696357</v>
      </c>
      <c r="Q426" s="42">
        <v>52.8566927584898</v>
      </c>
      <c r="R426" s="42">
        <v>56.562840569737247</v>
      </c>
      <c r="S426" s="22"/>
      <c r="T426" s="22"/>
    </row>
    <row r="427" spans="1:20" x14ac:dyDescent="0.35">
      <c r="A427" t="s">
        <v>37</v>
      </c>
      <c r="B427" s="17" t="s">
        <v>84</v>
      </c>
      <c r="C427" s="13" t="s">
        <v>88</v>
      </c>
      <c r="D427" s="13" t="s">
        <v>88</v>
      </c>
      <c r="E427" s="13" t="s">
        <v>88</v>
      </c>
      <c r="F427" s="14">
        <v>21.076568163875166</v>
      </c>
      <c r="G427" s="14">
        <v>22.309176130728115</v>
      </c>
      <c r="H427" s="14">
        <v>23.641756421007504</v>
      </c>
      <c r="I427" s="14">
        <v>25.03620359247185</v>
      </c>
      <c r="J427" s="14">
        <v>26.462826176218552</v>
      </c>
      <c r="K427" s="14">
        <v>27.957509703721062</v>
      </c>
      <c r="L427" s="14">
        <v>29.550595276033594</v>
      </c>
      <c r="M427" s="14">
        <v>31.323110449065673</v>
      </c>
      <c r="N427" s="14">
        <v>33.303745417996893</v>
      </c>
      <c r="O427" s="14">
        <v>35.43459846823508</v>
      </c>
      <c r="P427" s="14">
        <v>37.728364526856964</v>
      </c>
      <c r="Q427" s="14">
        <v>40.132883167798404</v>
      </c>
      <c r="R427" s="14">
        <v>42.630448190955349</v>
      </c>
      <c r="S427" s="22"/>
      <c r="T427" s="22"/>
    </row>
    <row r="428" spans="1:20" x14ac:dyDescent="0.35">
      <c r="A428" t="s">
        <v>37</v>
      </c>
      <c r="B428" s="17" t="s">
        <v>84</v>
      </c>
      <c r="C428" s="13" t="s">
        <v>89</v>
      </c>
      <c r="D428" s="13" t="s">
        <v>89</v>
      </c>
      <c r="E428" s="13" t="s">
        <v>89</v>
      </c>
      <c r="F428" s="14">
        <v>8.00705536375491</v>
      </c>
      <c r="G428" s="14">
        <v>8.4278341884292249</v>
      </c>
      <c r="H428" s="14">
        <v>8.8856236706256357</v>
      </c>
      <c r="I428" s="14">
        <v>9.371986270772414</v>
      </c>
      <c r="J428" s="14">
        <v>9.8693327132618371</v>
      </c>
      <c r="K428" s="14">
        <v>10.38781619817477</v>
      </c>
      <c r="L428" s="14">
        <v>10.934555603412161</v>
      </c>
      <c r="M428" s="14">
        <v>11.525823041164129</v>
      </c>
      <c r="N428" s="14">
        <v>12.166593553841331</v>
      </c>
      <c r="O428" s="14">
        <v>12.85741131144534</v>
      </c>
      <c r="P428" s="14">
        <v>13.582385978059959</v>
      </c>
      <c r="Q428" s="14">
        <v>14.326757403752788</v>
      </c>
      <c r="R428" s="14">
        <v>15.100469071383909</v>
      </c>
      <c r="S428" s="22"/>
      <c r="T428" s="22"/>
    </row>
    <row r="429" spans="1:20" x14ac:dyDescent="0.35">
      <c r="A429" t="s">
        <v>37</v>
      </c>
      <c r="B429" s="17" t="s">
        <v>84</v>
      </c>
      <c r="C429" s="13" t="s">
        <v>90</v>
      </c>
      <c r="D429" s="13" t="s">
        <v>90</v>
      </c>
      <c r="E429" s="13" t="s">
        <v>90</v>
      </c>
      <c r="F429" s="14">
        <v>14.483637168851198</v>
      </c>
      <c r="G429" s="14">
        <v>15.044118127294494</v>
      </c>
      <c r="H429" s="14">
        <v>15.651361843670532</v>
      </c>
      <c r="I429" s="14">
        <v>16.309202066846517</v>
      </c>
      <c r="J429" s="14">
        <v>17.027310285517679</v>
      </c>
      <c r="K429" s="14">
        <v>17.822443588525356</v>
      </c>
      <c r="L429" s="14">
        <v>18.696293353115962</v>
      </c>
      <c r="M429" s="14">
        <v>19.650381311261384</v>
      </c>
      <c r="N429" s="14">
        <v>20.65970732703698</v>
      </c>
      <c r="O429" s="14">
        <v>21.707103422799054</v>
      </c>
      <c r="P429" s="14">
        <v>22.76418570486495</v>
      </c>
      <c r="Q429" s="14">
        <v>23.819628847908518</v>
      </c>
      <c r="R429" s="14">
        <v>24.886655977940606</v>
      </c>
      <c r="S429" s="22"/>
      <c r="T429" s="22"/>
    </row>
    <row r="430" spans="1:20" x14ac:dyDescent="0.35">
      <c r="A430" t="s">
        <v>37</v>
      </c>
      <c r="B430" s="17" t="s">
        <v>91</v>
      </c>
      <c r="C430" s="13" t="s">
        <v>92</v>
      </c>
      <c r="D430" s="13" t="s">
        <v>92</v>
      </c>
      <c r="E430" s="13" t="s">
        <v>92</v>
      </c>
      <c r="F430" s="14">
        <v>39.666582277669406</v>
      </c>
      <c r="G430" s="14">
        <v>42.050272574437813</v>
      </c>
      <c r="H430" s="14">
        <v>44.418375243790464</v>
      </c>
      <c r="I430" s="14">
        <v>46.842037550423775</v>
      </c>
      <c r="J430" s="14">
        <v>49.455117771949432</v>
      </c>
      <c r="K430" s="14">
        <v>52.382759455893748</v>
      </c>
      <c r="L430" s="14">
        <v>55.711261175370851</v>
      </c>
      <c r="M430" s="14">
        <v>59.372997961132292</v>
      </c>
      <c r="N430" s="14">
        <v>63.233262000909107</v>
      </c>
      <c r="O430" s="14">
        <v>67.280998605476398</v>
      </c>
      <c r="P430" s="14">
        <v>71.58154608722343</v>
      </c>
      <c r="Q430" s="14">
        <v>76.208712412103523</v>
      </c>
      <c r="R430" s="14">
        <v>81.108094282358749</v>
      </c>
      <c r="S430" s="22"/>
      <c r="T430" s="22"/>
    </row>
    <row r="431" spans="1:20" x14ac:dyDescent="0.35">
      <c r="A431" t="s">
        <v>37</v>
      </c>
      <c r="B431" s="17" t="s">
        <v>91</v>
      </c>
      <c r="C431" s="13" t="s">
        <v>93</v>
      </c>
      <c r="D431" s="13" t="s">
        <v>93</v>
      </c>
      <c r="E431" s="13" t="s">
        <v>93</v>
      </c>
      <c r="F431" s="14">
        <v>48.758982413385766</v>
      </c>
      <c r="G431" s="14">
        <v>50.856863321847371</v>
      </c>
      <c r="H431" s="14">
        <v>53.266785540214144</v>
      </c>
      <c r="I431" s="14">
        <v>56.039000908496412</v>
      </c>
      <c r="J431" s="14">
        <v>58.999087868290545</v>
      </c>
      <c r="K431" s="14">
        <v>62.058753716375847</v>
      </c>
      <c r="L431" s="14">
        <v>65.123553294909385</v>
      </c>
      <c r="M431" s="14">
        <v>68.299222951477077</v>
      </c>
      <c r="N431" s="14">
        <v>71.729925914715878</v>
      </c>
      <c r="O431" s="14">
        <v>75.532595217286584</v>
      </c>
      <c r="P431" s="14">
        <v>79.668670241503108</v>
      </c>
      <c r="Q431" s="14">
        <v>83.913637793919008</v>
      </c>
      <c r="R431" s="14">
        <v>88.245939726524156</v>
      </c>
      <c r="S431" s="22"/>
      <c r="T431" s="22"/>
    </row>
    <row r="432" spans="1:20" x14ac:dyDescent="0.35">
      <c r="A432" t="s">
        <v>37</v>
      </c>
      <c r="B432" s="17" t="s">
        <v>94</v>
      </c>
      <c r="C432" s="13" t="s">
        <v>95</v>
      </c>
      <c r="D432" s="13" t="s">
        <v>95</v>
      </c>
      <c r="E432" s="13" t="s">
        <v>95</v>
      </c>
      <c r="F432" s="14">
        <v>5.738918111027802</v>
      </c>
      <c r="G432" s="14">
        <v>6.1918140007803997</v>
      </c>
      <c r="H432" s="14">
        <v>6.6913964741826755</v>
      </c>
      <c r="I432" s="14">
        <v>7.2340786924521767</v>
      </c>
      <c r="J432" s="14">
        <v>7.8087028060972781</v>
      </c>
      <c r="K432" s="14">
        <v>8.4248125546033421</v>
      </c>
      <c r="L432" s="14">
        <v>9.0903588203818053</v>
      </c>
      <c r="M432" s="14">
        <v>9.8215771378807126</v>
      </c>
      <c r="N432" s="14">
        <v>10.626552902815018</v>
      </c>
      <c r="O432" s="14">
        <v>11.510102670220164</v>
      </c>
      <c r="P432" s="14">
        <v>12.462578989124678</v>
      </c>
      <c r="Q432" s="14">
        <v>13.474163568112242</v>
      </c>
      <c r="R432" s="14">
        <v>14.557085468368221</v>
      </c>
      <c r="S432" s="22"/>
      <c r="T432" s="22"/>
    </row>
    <row r="433" spans="1:20" x14ac:dyDescent="0.35">
      <c r="A433" t="s">
        <v>37</v>
      </c>
      <c r="B433" s="17" t="s">
        <v>94</v>
      </c>
      <c r="C433" s="40" t="s">
        <v>96</v>
      </c>
      <c r="D433" s="40" t="s">
        <v>96</v>
      </c>
      <c r="E433" s="40" t="s">
        <v>96</v>
      </c>
      <c r="F433" s="42">
        <v>7.7360218189890304</v>
      </c>
      <c r="G433" s="42">
        <v>8.246101862194223</v>
      </c>
      <c r="H433" s="42">
        <v>8.8724970488116242</v>
      </c>
      <c r="I433" s="42">
        <v>9.7048582712570379</v>
      </c>
      <c r="J433" s="42">
        <v>10.628512152743511</v>
      </c>
      <c r="K433" s="42">
        <v>11.574932354802272</v>
      </c>
      <c r="L433" s="42">
        <v>12.427290940703401</v>
      </c>
      <c r="M433" s="42">
        <v>13.219144571486183</v>
      </c>
      <c r="N433" s="42">
        <v>14.037680608356979</v>
      </c>
      <c r="O433" s="42">
        <v>15.035175892940543</v>
      </c>
      <c r="P433" s="42">
        <v>16.266074786905506</v>
      </c>
      <c r="Q433" s="42">
        <v>17.589770396423717</v>
      </c>
      <c r="R433" s="42">
        <v>18.965398688410261</v>
      </c>
      <c r="S433" s="22"/>
      <c r="T433" s="22"/>
    </row>
    <row r="434" spans="1:20" x14ac:dyDescent="0.35">
      <c r="A434" t="s">
        <v>37</v>
      </c>
      <c r="B434" s="17" t="s">
        <v>94</v>
      </c>
      <c r="C434" s="13" t="s">
        <v>97</v>
      </c>
      <c r="D434" s="13" t="s">
        <v>97</v>
      </c>
      <c r="E434" s="13" t="s">
        <v>97</v>
      </c>
      <c r="F434" s="14">
        <v>7.4546340734456349</v>
      </c>
      <c r="G434" s="14">
        <v>7.8374638467388262</v>
      </c>
      <c r="H434" s="14">
        <v>8.2497505208614683</v>
      </c>
      <c r="I434" s="14">
        <v>8.67753805890462</v>
      </c>
      <c r="J434" s="14">
        <v>9.110153273780158</v>
      </c>
      <c r="K434" s="14">
        <v>9.5597812718047699</v>
      </c>
      <c r="L434" s="14">
        <v>10.03638037180192</v>
      </c>
      <c r="M434" s="14">
        <v>10.566849271831229</v>
      </c>
      <c r="N434" s="14">
        <v>11.159698155104694</v>
      </c>
      <c r="O434" s="14">
        <v>11.794178363224857</v>
      </c>
      <c r="P434" s="14">
        <v>12.473577325456457</v>
      </c>
      <c r="Q434" s="14">
        <v>13.179639217855195</v>
      </c>
      <c r="R434" s="14">
        <v>13.905898004534233</v>
      </c>
      <c r="S434" s="22"/>
      <c r="T434" s="22"/>
    </row>
    <row r="435" spans="1:20" x14ac:dyDescent="0.35">
      <c r="A435" t="s">
        <v>37</v>
      </c>
      <c r="B435" s="17" t="s">
        <v>94</v>
      </c>
      <c r="C435" s="13" t="s">
        <v>98</v>
      </c>
      <c r="D435" s="13" t="s">
        <v>98</v>
      </c>
      <c r="E435" s="13" t="s">
        <v>98</v>
      </c>
      <c r="F435" s="14">
        <v>21.400269442113888</v>
      </c>
      <c r="G435" s="14">
        <v>22.573045458297724</v>
      </c>
      <c r="H435" s="14">
        <v>23.833739813174258</v>
      </c>
      <c r="I435" s="14">
        <v>25.198607840943424</v>
      </c>
      <c r="J435" s="14">
        <v>26.679734587499034</v>
      </c>
      <c r="K435" s="14">
        <v>28.290479705806398</v>
      </c>
      <c r="L435" s="14">
        <v>30.041580215221209</v>
      </c>
      <c r="M435" s="14">
        <v>31.922026461561995</v>
      </c>
      <c r="N435" s="14">
        <v>33.919646802103188</v>
      </c>
      <c r="O435" s="14">
        <v>36.026687578832309</v>
      </c>
      <c r="P435" s="14">
        <v>38.234764082640787</v>
      </c>
      <c r="Q435" s="14">
        <v>40.557690736424334</v>
      </c>
      <c r="R435" s="14">
        <v>42.98240472869297</v>
      </c>
      <c r="S435" s="22"/>
      <c r="T435" s="22"/>
    </row>
    <row r="436" spans="1:20" x14ac:dyDescent="0.35">
      <c r="A436" t="s">
        <v>37</v>
      </c>
      <c r="B436" s="17" t="s">
        <v>94</v>
      </c>
      <c r="C436" s="13" t="s">
        <v>48</v>
      </c>
      <c r="D436" s="13" t="s">
        <v>48</v>
      </c>
      <c r="E436" s="13" t="s">
        <v>48</v>
      </c>
      <c r="F436" s="14">
        <v>9.0935175835655855</v>
      </c>
      <c r="G436" s="14">
        <v>9.6189663694120391</v>
      </c>
      <c r="H436" s="14">
        <v>10.190808660928576</v>
      </c>
      <c r="I436" s="14">
        <v>10.813631345124024</v>
      </c>
      <c r="J436" s="14">
        <v>11.496145797865438</v>
      </c>
      <c r="K436" s="14">
        <v>12.252394303447007</v>
      </c>
      <c r="L436" s="14">
        <v>13.086979863118543</v>
      </c>
      <c r="M436" s="14">
        <v>14.004588112581779</v>
      </c>
      <c r="N436" s="14">
        <v>14.991203688140798</v>
      </c>
      <c r="O436" s="14">
        <v>16.037331655776342</v>
      </c>
      <c r="P436" s="14">
        <v>17.124386684807401</v>
      </c>
      <c r="Q436" s="14">
        <v>18.245168430613873</v>
      </c>
      <c r="R436" s="14">
        <v>19.410695074203581</v>
      </c>
      <c r="S436" s="22"/>
      <c r="T436" s="22"/>
    </row>
    <row r="437" spans="1:20" x14ac:dyDescent="0.35">
      <c r="A437" t="s">
        <v>37</v>
      </c>
      <c r="B437" s="17" t="s">
        <v>94</v>
      </c>
      <c r="C437" s="13" t="s">
        <v>99</v>
      </c>
      <c r="D437" s="13" t="s">
        <v>99</v>
      </c>
      <c r="E437" s="13" t="s">
        <v>99</v>
      </c>
      <c r="F437" s="14">
        <v>27.290484561768128</v>
      </c>
      <c r="G437" s="14">
        <v>28.295628796983038</v>
      </c>
      <c r="H437" s="14">
        <v>29.230916352752228</v>
      </c>
      <c r="I437" s="14">
        <v>30.145918697250448</v>
      </c>
      <c r="J437" s="14">
        <v>31.12635701874887</v>
      </c>
      <c r="K437" s="14">
        <v>32.244916869775984</v>
      </c>
      <c r="L437" s="14">
        <v>33.543744662906079</v>
      </c>
      <c r="M437" s="14">
        <v>34.968186356898443</v>
      </c>
      <c r="N437" s="14">
        <v>36.428293915824845</v>
      </c>
      <c r="O437" s="14">
        <v>37.912780505300496</v>
      </c>
      <c r="P437" s="14">
        <v>39.454213515607371</v>
      </c>
      <c r="Q437" s="14">
        <v>41.086830281671133</v>
      </c>
      <c r="R437" s="14">
        <v>42.772505693012135</v>
      </c>
      <c r="S437" s="22"/>
      <c r="T437" s="22"/>
    </row>
    <row r="438" spans="1:20" x14ac:dyDescent="0.35">
      <c r="A438" t="s">
        <v>37</v>
      </c>
      <c r="B438" s="17" t="s">
        <v>94</v>
      </c>
      <c r="C438" s="13" t="s">
        <v>100</v>
      </c>
      <c r="D438" s="13" t="s">
        <v>100</v>
      </c>
      <c r="E438" s="13" t="s">
        <v>100</v>
      </c>
      <c r="F438" s="14">
        <v>9.7117191001450962</v>
      </c>
      <c r="G438" s="14">
        <v>10.144115561878937</v>
      </c>
      <c r="H438" s="14">
        <v>10.61605191329379</v>
      </c>
      <c r="I438" s="14">
        <v>11.106405552988466</v>
      </c>
      <c r="J438" s="14">
        <v>11.604600003505675</v>
      </c>
      <c r="K438" s="14">
        <v>12.094196112029822</v>
      </c>
      <c r="L438" s="14">
        <v>12.60847959614728</v>
      </c>
      <c r="M438" s="14">
        <v>13.169849000369027</v>
      </c>
      <c r="N438" s="14">
        <v>13.800111843279451</v>
      </c>
      <c r="O438" s="14">
        <v>14.49733715646826</v>
      </c>
      <c r="P438" s="14">
        <v>15.234620944184345</v>
      </c>
      <c r="Q438" s="14">
        <v>15.989087574922014</v>
      </c>
      <c r="R438" s="14">
        <v>16.760046351661526</v>
      </c>
      <c r="S438" s="22"/>
      <c r="T438" s="22"/>
    </row>
    <row r="439" spans="1:20" x14ac:dyDescent="0.35">
      <c r="A439" t="s">
        <v>38</v>
      </c>
      <c r="B439" s="17" t="s">
        <v>54</v>
      </c>
      <c r="C439" s="13" t="s">
        <v>55</v>
      </c>
      <c r="D439" s="13" t="s">
        <v>55</v>
      </c>
      <c r="E439" s="13" t="s">
        <v>55</v>
      </c>
      <c r="F439" s="14">
        <v>21.708371077472179</v>
      </c>
      <c r="G439" s="14">
        <v>23.881003740568968</v>
      </c>
      <c r="H439" s="14">
        <v>26.180876715972563</v>
      </c>
      <c r="I439" s="14">
        <v>28.656382261561962</v>
      </c>
      <c r="J439" s="14">
        <v>31.400932696405757</v>
      </c>
      <c r="K439" s="14">
        <v>34.515512832552815</v>
      </c>
      <c r="L439" s="14">
        <v>38.088955085488905</v>
      </c>
      <c r="M439" s="14">
        <v>42.115589949317091</v>
      </c>
      <c r="N439" s="14">
        <v>46.538009810843889</v>
      </c>
      <c r="O439" s="14">
        <v>51.378071150302169</v>
      </c>
      <c r="P439" s="14">
        <v>56.716702310900864</v>
      </c>
      <c r="Q439" s="14">
        <v>62.651052579668352</v>
      </c>
      <c r="R439" s="14">
        <v>69.184213592022815</v>
      </c>
      <c r="S439" s="22"/>
      <c r="T439" s="22"/>
    </row>
    <row r="440" spans="1:20" x14ac:dyDescent="0.35">
      <c r="A440" t="s">
        <v>38</v>
      </c>
      <c r="B440" s="17" t="s">
        <v>54</v>
      </c>
      <c r="C440" s="13" t="s">
        <v>56</v>
      </c>
      <c r="D440" s="13" t="s">
        <v>56</v>
      </c>
      <c r="E440" s="13" t="s">
        <v>56</v>
      </c>
      <c r="F440" s="14">
        <v>54.122055743285308</v>
      </c>
      <c r="G440" s="14">
        <v>58.194669652270619</v>
      </c>
      <c r="H440" s="14">
        <v>62.690131770680509</v>
      </c>
      <c r="I440" s="14">
        <v>67.511965747577264</v>
      </c>
      <c r="J440" s="14">
        <v>72.614656860438316</v>
      </c>
      <c r="K440" s="14">
        <v>77.90938061785981</v>
      </c>
      <c r="L440" s="14">
        <v>83.616140851216187</v>
      </c>
      <c r="M440" s="14">
        <v>89.908146089553554</v>
      </c>
      <c r="N440" s="14">
        <v>96.973310313123434</v>
      </c>
      <c r="O440" s="14">
        <v>104.85226494563935</v>
      </c>
      <c r="P440" s="14">
        <v>113.40632509222287</v>
      </c>
      <c r="Q440" s="14">
        <v>122.50703435787227</v>
      </c>
      <c r="R440" s="14">
        <v>132.17814852135598</v>
      </c>
      <c r="S440" s="14"/>
      <c r="T440" s="14"/>
    </row>
    <row r="441" spans="1:20" x14ac:dyDescent="0.35">
      <c r="A441" t="s">
        <v>38</v>
      </c>
      <c r="B441" s="17" t="s">
        <v>54</v>
      </c>
      <c r="C441" s="13" t="s">
        <v>57</v>
      </c>
      <c r="D441" s="13" t="s">
        <v>57</v>
      </c>
      <c r="E441" s="13" t="s">
        <v>57</v>
      </c>
      <c r="F441" s="14">
        <v>139.22995167423633</v>
      </c>
      <c r="G441" s="14">
        <v>147.34493296539478</v>
      </c>
      <c r="H441" s="14">
        <v>156.17846870536144</v>
      </c>
      <c r="I441" s="14">
        <v>165.80188477124327</v>
      </c>
      <c r="J441" s="14">
        <v>176.34988094677874</v>
      </c>
      <c r="K441" s="14">
        <v>188.03918664735744</v>
      </c>
      <c r="L441" s="14">
        <v>200.94207301890663</v>
      </c>
      <c r="M441" s="14">
        <v>215.13221471728548</v>
      </c>
      <c r="N441" s="14">
        <v>230.39614759626613</v>
      </c>
      <c r="O441" s="14">
        <v>246.58948052597208</v>
      </c>
      <c r="P441" s="14">
        <v>263.42777866113272</v>
      </c>
      <c r="Q441" s="14">
        <v>280.80121076030537</v>
      </c>
      <c r="R441" s="14">
        <v>298.88012987691076</v>
      </c>
      <c r="S441" s="14"/>
      <c r="T441" s="14"/>
    </row>
    <row r="442" spans="1:20" x14ac:dyDescent="0.35">
      <c r="A442" t="s">
        <v>38</v>
      </c>
      <c r="B442" s="17" t="s">
        <v>59</v>
      </c>
      <c r="C442" s="18" t="s">
        <v>60</v>
      </c>
      <c r="D442" s="38" t="s">
        <v>61</v>
      </c>
      <c r="E442" s="39" t="s">
        <v>62</v>
      </c>
      <c r="F442" s="22">
        <v>8.3972525459583345</v>
      </c>
      <c r="G442" s="22">
        <v>9.2482094861344279</v>
      </c>
      <c r="H442" s="22">
        <v>10.196960573605205</v>
      </c>
      <c r="I442" s="22">
        <v>11.23539398353965</v>
      </c>
      <c r="J442" s="22">
        <v>12.357108112447168</v>
      </c>
      <c r="K442" s="22">
        <v>13.584632869772539</v>
      </c>
      <c r="L442" s="22">
        <v>14.940889236782883</v>
      </c>
      <c r="M442" s="22">
        <v>16.477373574737719</v>
      </c>
      <c r="N442" s="22">
        <v>18.225417650840654</v>
      </c>
      <c r="O442" s="22">
        <v>20.172576491108437</v>
      </c>
      <c r="P442" s="22">
        <v>22.342894429888201</v>
      </c>
      <c r="Q442" s="22">
        <v>24.724368648598155</v>
      </c>
      <c r="R442" s="22">
        <v>27.322591799803622</v>
      </c>
      <c r="S442" s="14"/>
      <c r="T442" s="14"/>
    </row>
    <row r="443" spans="1:20" x14ac:dyDescent="0.35">
      <c r="A443" t="s">
        <v>38</v>
      </c>
      <c r="B443" s="17" t="s">
        <v>59</v>
      </c>
      <c r="C443" s="18" t="s">
        <v>60</v>
      </c>
      <c r="D443" s="38" t="s">
        <v>61</v>
      </c>
      <c r="E443" s="39" t="s">
        <v>63</v>
      </c>
      <c r="F443" s="22">
        <v>14.214199389287387</v>
      </c>
      <c r="G443" s="22">
        <v>15.299276445054284</v>
      </c>
      <c r="H443" s="22">
        <v>16.486309712679393</v>
      </c>
      <c r="I443" s="22">
        <v>17.753077242603769</v>
      </c>
      <c r="J443" s="22">
        <v>19.081673922476561</v>
      </c>
      <c r="K443" s="22">
        <v>20.500158676424057</v>
      </c>
      <c r="L443" s="22">
        <v>22.034340180969114</v>
      </c>
      <c r="M443" s="22">
        <v>23.749439080230434</v>
      </c>
      <c r="N443" s="22">
        <v>25.675222740663326</v>
      </c>
      <c r="O443" s="22">
        <v>27.776419883346467</v>
      </c>
      <c r="P443" s="22">
        <v>30.070406152262297</v>
      </c>
      <c r="Q443" s="22">
        <v>32.523776704437779</v>
      </c>
      <c r="R443" s="22">
        <v>35.128526066748734</v>
      </c>
      <c r="S443" s="14"/>
      <c r="T443" s="14"/>
    </row>
    <row r="444" spans="1:20" x14ac:dyDescent="0.35">
      <c r="A444" t="s">
        <v>38</v>
      </c>
      <c r="B444" s="17" t="s">
        <v>59</v>
      </c>
      <c r="C444" s="18" t="s">
        <v>60</v>
      </c>
      <c r="D444" s="38" t="s">
        <v>61</v>
      </c>
      <c r="E444" s="39" t="s">
        <v>64</v>
      </c>
      <c r="F444" s="22">
        <v>21.266696474325617</v>
      </c>
      <c r="G444" s="22">
        <v>22.319780036002946</v>
      </c>
      <c r="H444" s="22">
        <v>23.467320640079606</v>
      </c>
      <c r="I444" s="22">
        <v>24.658831243956314</v>
      </c>
      <c r="J444" s="22">
        <v>26.036139418318914</v>
      </c>
      <c r="K444" s="22">
        <v>27.648652146134808</v>
      </c>
      <c r="L444" s="22">
        <v>29.601806509947913</v>
      </c>
      <c r="M444" s="22">
        <v>31.862138502857093</v>
      </c>
      <c r="N444" s="22">
        <v>34.243225927570464</v>
      </c>
      <c r="O444" s="22">
        <v>36.601912842220543</v>
      </c>
      <c r="P444" s="22">
        <v>38.607217788672415</v>
      </c>
      <c r="Q444" s="22">
        <v>40.2824203124284</v>
      </c>
      <c r="R444" s="22">
        <v>41.813619892535087</v>
      </c>
      <c r="S444" s="14"/>
      <c r="T444" s="14"/>
    </row>
    <row r="445" spans="1:20" x14ac:dyDescent="0.35">
      <c r="A445" t="s">
        <v>38</v>
      </c>
      <c r="B445" s="17" t="s">
        <v>59</v>
      </c>
      <c r="C445" s="18" t="s">
        <v>60</v>
      </c>
      <c r="D445" s="38" t="s">
        <v>65</v>
      </c>
      <c r="E445" s="38" t="s">
        <v>65</v>
      </c>
      <c r="F445" s="41">
        <v>39.582577465453902</v>
      </c>
      <c r="G445" s="41">
        <v>42.029685771287788</v>
      </c>
      <c r="H445" s="41">
        <v>44.698130797541459</v>
      </c>
      <c r="I445" s="41">
        <v>47.61049103094733</v>
      </c>
      <c r="J445" s="41">
        <v>50.807830564666524</v>
      </c>
      <c r="K445" s="41">
        <v>54.355378811421566</v>
      </c>
      <c r="L445" s="41">
        <v>58.277456254386557</v>
      </c>
      <c r="M445" s="41">
        <v>62.599090804031071</v>
      </c>
      <c r="N445" s="41">
        <v>67.262067702006874</v>
      </c>
      <c r="O445" s="41">
        <v>72.227546182439212</v>
      </c>
      <c r="P445" s="41">
        <v>77.415135413365846</v>
      </c>
      <c r="Q445" s="41">
        <v>82.794676844465528</v>
      </c>
      <c r="R445" s="41">
        <v>88.418212447533676</v>
      </c>
      <c r="S445" s="14"/>
      <c r="T445" s="14"/>
    </row>
    <row r="446" spans="1:20" x14ac:dyDescent="0.35">
      <c r="A446" t="s">
        <v>38</v>
      </c>
      <c r="B446" s="17" t="s">
        <v>59</v>
      </c>
      <c r="C446" s="18" t="s">
        <v>60</v>
      </c>
      <c r="D446" s="38" t="s">
        <v>66</v>
      </c>
      <c r="E446" s="38" t="s">
        <v>66</v>
      </c>
      <c r="F446" s="41">
        <v>24.11849383644217</v>
      </c>
      <c r="G446" s="41">
        <v>25.61620913568326</v>
      </c>
      <c r="H446" s="41">
        <v>27.258162292622931</v>
      </c>
      <c r="I446" s="41">
        <v>28.996275654007999</v>
      </c>
      <c r="J446" s="41">
        <v>30.806557898938074</v>
      </c>
      <c r="K446" s="41">
        <v>32.647708037532119</v>
      </c>
      <c r="L446" s="41">
        <v>34.609776856743032</v>
      </c>
      <c r="M446" s="41">
        <v>36.758982053932527</v>
      </c>
      <c r="N446" s="41">
        <v>39.164178987335482</v>
      </c>
      <c r="O446" s="41">
        <v>41.831189479153565</v>
      </c>
      <c r="P446" s="41">
        <v>44.693762341795654</v>
      </c>
      <c r="Q446" s="41">
        <v>47.692633800696925</v>
      </c>
      <c r="R446" s="41">
        <v>50.830468369202237</v>
      </c>
      <c r="S446" s="14"/>
      <c r="T446" s="14"/>
    </row>
    <row r="447" spans="1:20" x14ac:dyDescent="0.35">
      <c r="A447" t="s">
        <v>38</v>
      </c>
      <c r="B447" s="17" t="s">
        <v>59</v>
      </c>
      <c r="C447" s="18" t="s">
        <v>60</v>
      </c>
      <c r="D447" s="38" t="s">
        <v>67</v>
      </c>
      <c r="E447" s="38" t="s">
        <v>67</v>
      </c>
      <c r="F447" s="41">
        <v>15.831546821670786</v>
      </c>
      <c r="G447" s="41">
        <v>16.68615538427018</v>
      </c>
      <c r="H447" s="41">
        <v>17.607754580824317</v>
      </c>
      <c r="I447" s="41">
        <v>18.567049146259198</v>
      </c>
      <c r="J447" s="41">
        <v>19.541473294102509</v>
      </c>
      <c r="K447" s="41">
        <v>20.55726581805818</v>
      </c>
      <c r="L447" s="41">
        <v>21.636139260410523</v>
      </c>
      <c r="M447" s="41">
        <v>22.836541875216184</v>
      </c>
      <c r="N447" s="41">
        <v>24.177763230913474</v>
      </c>
      <c r="O447" s="41">
        <v>25.615889674689534</v>
      </c>
      <c r="P447" s="41">
        <v>27.158769764645633</v>
      </c>
      <c r="Q447" s="41">
        <v>28.767420864056707</v>
      </c>
      <c r="R447" s="41">
        <v>30.428203438197727</v>
      </c>
      <c r="S447" s="22"/>
      <c r="T447" s="22"/>
    </row>
    <row r="448" spans="1:20" x14ac:dyDescent="0.35">
      <c r="A448" t="s">
        <v>38</v>
      </c>
      <c r="B448" s="17" t="s">
        <v>59</v>
      </c>
      <c r="C448" s="18" t="s">
        <v>60</v>
      </c>
      <c r="D448" s="38" t="s">
        <v>68</v>
      </c>
      <c r="E448" s="38" t="s">
        <v>68</v>
      </c>
      <c r="F448" s="41">
        <v>26.038880851965835</v>
      </c>
      <c r="G448" s="41">
        <v>28.111291757357304</v>
      </c>
      <c r="H448" s="41">
        <v>30.353797564094535</v>
      </c>
      <c r="I448" s="41">
        <v>32.858206103956235</v>
      </c>
      <c r="J448" s="41">
        <v>35.634451301010458</v>
      </c>
      <c r="K448" s="41">
        <v>38.689865509562757</v>
      </c>
      <c r="L448" s="41">
        <v>42.015054891471237</v>
      </c>
      <c r="M448" s="41">
        <v>45.591012299870975</v>
      </c>
      <c r="N448" s="41">
        <v>49.426889621733572</v>
      </c>
      <c r="O448" s="41">
        <v>53.650601945212294</v>
      </c>
      <c r="P448" s="41">
        <v>58.310948602554518</v>
      </c>
      <c r="Q448" s="41">
        <v>63.382740972990874</v>
      </c>
      <c r="R448" s="41">
        <v>68.843682209118995</v>
      </c>
      <c r="S448" s="22"/>
      <c r="T448" s="22"/>
    </row>
    <row r="449" spans="1:20" x14ac:dyDescent="0.35">
      <c r="A449" t="s">
        <v>38</v>
      </c>
      <c r="B449" s="17" t="s">
        <v>59</v>
      </c>
      <c r="C449" s="18" t="s">
        <v>60</v>
      </c>
      <c r="D449" s="38" t="s">
        <v>69</v>
      </c>
      <c r="E449" s="38" t="s">
        <v>69</v>
      </c>
      <c r="F449" s="41">
        <v>29.729033805596291</v>
      </c>
      <c r="G449" s="41">
        <v>31.051019227083856</v>
      </c>
      <c r="H449" s="41">
        <v>32.46432010186026</v>
      </c>
      <c r="I449" s="41">
        <v>33.987939111235342</v>
      </c>
      <c r="J449" s="41">
        <v>35.634451301010458</v>
      </c>
      <c r="K449" s="41">
        <v>37.417572584171467</v>
      </c>
      <c r="L449" s="41">
        <v>39.346937175759919</v>
      </c>
      <c r="M449" s="41">
        <v>41.403234885034735</v>
      </c>
      <c r="N449" s="41">
        <v>43.566306057828974</v>
      </c>
      <c r="O449" s="41">
        <v>45.822364995799006</v>
      </c>
      <c r="P449" s="41">
        <v>48.157285692731421</v>
      </c>
      <c r="Q449" s="41">
        <v>50.585385872531027</v>
      </c>
      <c r="R449" s="41">
        <v>53.086844153468491</v>
      </c>
      <c r="S449" s="22"/>
      <c r="T449" s="22"/>
    </row>
    <row r="450" spans="1:20" x14ac:dyDescent="0.35">
      <c r="A450" t="s">
        <v>38</v>
      </c>
      <c r="B450" s="17" t="s">
        <v>59</v>
      </c>
      <c r="C450" s="18" t="s">
        <v>70</v>
      </c>
      <c r="D450" s="19" t="s">
        <v>71</v>
      </c>
      <c r="E450" s="19" t="s">
        <v>71</v>
      </c>
      <c r="F450" s="22">
        <v>5.4299590395668567</v>
      </c>
      <c r="G450" s="22">
        <v>5.9921075460840454</v>
      </c>
      <c r="H450" s="22">
        <v>6.6135522420819779</v>
      </c>
      <c r="I450" s="22">
        <v>7.3175342730963662</v>
      </c>
      <c r="J450" s="22">
        <v>8.1109730616698084</v>
      </c>
      <c r="K450" s="22">
        <v>9.000595794630966</v>
      </c>
      <c r="L450" s="22">
        <v>9.9896067270883506</v>
      </c>
      <c r="M450" s="22">
        <v>11.078967861203518</v>
      </c>
      <c r="N450" s="22">
        <v>12.276325279886866</v>
      </c>
      <c r="O450" s="22">
        <v>13.619255231655467</v>
      </c>
      <c r="P450" s="22">
        <v>15.128307886872626</v>
      </c>
      <c r="Q450" s="22">
        <v>16.806286932793139</v>
      </c>
      <c r="R450" s="22">
        <v>18.656596785141794</v>
      </c>
      <c r="S450" s="22"/>
      <c r="T450" s="22"/>
    </row>
    <row r="451" spans="1:20" x14ac:dyDescent="0.35">
      <c r="A451" t="s">
        <v>38</v>
      </c>
      <c r="B451" s="17" t="s">
        <v>59</v>
      </c>
      <c r="C451" s="18" t="s">
        <v>70</v>
      </c>
      <c r="D451" s="19" t="s">
        <v>72</v>
      </c>
      <c r="E451" s="19" t="s">
        <v>72</v>
      </c>
      <c r="F451" s="22">
        <v>4.186307686273234</v>
      </c>
      <c r="G451" s="22">
        <v>4.6775119916160488</v>
      </c>
      <c r="H451" s="22">
        <v>5.208684443706658</v>
      </c>
      <c r="I451" s="22">
        <v>5.7910527442624247</v>
      </c>
      <c r="J451" s="22">
        <v>6.4456021668782881</v>
      </c>
      <c r="K451" s="22">
        <v>7.1961327324718356</v>
      </c>
      <c r="L451" s="22">
        <v>8.0653154730230945</v>
      </c>
      <c r="M451" s="22">
        <v>9.0571058509580649</v>
      </c>
      <c r="N451" s="22">
        <v>10.164427023395502</v>
      </c>
      <c r="O451" s="22">
        <v>11.396920160639146</v>
      </c>
      <c r="P451" s="22">
        <v>12.777793431260326</v>
      </c>
      <c r="Q451" s="22">
        <v>14.335210412982072</v>
      </c>
      <c r="R451" s="22">
        <v>16.077393891193168</v>
      </c>
      <c r="S451" s="22"/>
      <c r="T451" s="22"/>
    </row>
    <row r="452" spans="1:20" x14ac:dyDescent="0.35">
      <c r="A452" t="s">
        <v>38</v>
      </c>
      <c r="B452" s="17" t="s">
        <v>59</v>
      </c>
      <c r="C452" s="18" t="s">
        <v>70</v>
      </c>
      <c r="D452" s="19" t="s">
        <v>73</v>
      </c>
      <c r="E452" s="19" t="s">
        <v>73</v>
      </c>
      <c r="F452" s="22">
        <v>3.7771828678786212</v>
      </c>
      <c r="G452" s="22">
        <v>4.0760452331706647</v>
      </c>
      <c r="H452" s="22">
        <v>4.3831585873037522</v>
      </c>
      <c r="I452" s="22">
        <v>4.7057342182319664</v>
      </c>
      <c r="J452" s="22">
        <v>5.0577930878853561</v>
      </c>
      <c r="K452" s="22">
        <v>5.4534535059152143</v>
      </c>
      <c r="L452" s="22">
        <v>5.9037552899970533</v>
      </c>
      <c r="M452" s="22">
        <v>6.404139726190313</v>
      </c>
      <c r="N452" s="22">
        <v>6.9423890415244074</v>
      </c>
      <c r="O452" s="22">
        <v>7.5189037793985181</v>
      </c>
      <c r="P452" s="22">
        <v>8.1425902592414054</v>
      </c>
      <c r="Q452" s="22">
        <v>8.8238955579105376</v>
      </c>
      <c r="R452" s="22">
        <v>9.5590930502615841</v>
      </c>
      <c r="S452" s="22"/>
      <c r="T452" s="22"/>
    </row>
    <row r="453" spans="1:20" x14ac:dyDescent="0.35">
      <c r="A453" t="s">
        <v>38</v>
      </c>
      <c r="B453" s="17" t="s">
        <v>59</v>
      </c>
      <c r="C453" s="18" t="s">
        <v>70</v>
      </c>
      <c r="D453" s="19" t="s">
        <v>74</v>
      </c>
      <c r="E453" s="19" t="s">
        <v>74</v>
      </c>
      <c r="F453" s="22">
        <v>4.4060221031013143</v>
      </c>
      <c r="G453" s="22">
        <v>4.7837987046368058</v>
      </c>
      <c r="H453" s="22">
        <v>5.1948432438325796</v>
      </c>
      <c r="I453" s="22">
        <v>5.6554135329309645</v>
      </c>
      <c r="J453" s="22">
        <v>6.1680403510797026</v>
      </c>
      <c r="K453" s="22">
        <v>6.7348532869408331</v>
      </c>
      <c r="L453" s="22">
        <v>7.355110297667073</v>
      </c>
      <c r="M453" s="22">
        <v>8.026361276264657</v>
      </c>
      <c r="N453" s="22">
        <v>8.7510500017235753</v>
      </c>
      <c r="O453" s="22">
        <v>9.5526952787561896</v>
      </c>
      <c r="P453" s="22">
        <v>10.441254852569875</v>
      </c>
      <c r="Q453" s="22">
        <v>11.413651678497313</v>
      </c>
      <c r="R453" s="22">
        <v>12.467246431647887</v>
      </c>
      <c r="S453" s="22"/>
      <c r="T453" s="22"/>
    </row>
    <row r="454" spans="1:20" x14ac:dyDescent="0.35">
      <c r="A454" t="s">
        <v>38</v>
      </c>
      <c r="B454" s="17" t="s">
        <v>59</v>
      </c>
      <c r="C454" s="18" t="s">
        <v>70</v>
      </c>
      <c r="D454" s="19" t="s">
        <v>75</v>
      </c>
      <c r="E454" s="19" t="s">
        <v>75</v>
      </c>
      <c r="F454" s="22">
        <v>3.4874010754042053</v>
      </c>
      <c r="G454" s="22">
        <v>3.8268561272149171</v>
      </c>
      <c r="H454" s="22">
        <v>4.2041364698552348</v>
      </c>
      <c r="I454" s="22">
        <v>4.6154588521111419</v>
      </c>
      <c r="J454" s="22">
        <v>5.0577930878853561</v>
      </c>
      <c r="K454" s="22">
        <v>5.5399906534158276</v>
      </c>
      <c r="L454" s="22">
        <v>6.0709297453663691</v>
      </c>
      <c r="M454" s="22">
        <v>6.6709655245587687</v>
      </c>
      <c r="N454" s="22">
        <v>7.3519880037775858</v>
      </c>
      <c r="O454" s="22">
        <v>8.1080483855670469</v>
      </c>
      <c r="P454" s="22">
        <v>8.9479411955981618</v>
      </c>
      <c r="Q454" s="22">
        <v>9.8658884969299692</v>
      </c>
      <c r="R454" s="22">
        <v>10.863206923678026</v>
      </c>
      <c r="S454" s="22"/>
      <c r="T454" s="22"/>
    </row>
    <row r="455" spans="1:20" x14ac:dyDescent="0.35">
      <c r="A455" t="s">
        <v>38</v>
      </c>
      <c r="B455" s="17" t="s">
        <v>59</v>
      </c>
      <c r="C455" s="18" t="s">
        <v>76</v>
      </c>
      <c r="D455" s="19" t="s">
        <v>77</v>
      </c>
      <c r="E455" s="19" t="s">
        <v>77</v>
      </c>
      <c r="F455" s="22">
        <v>4.2717555600409334</v>
      </c>
      <c r="G455" s="22">
        <v>4.624234804944571</v>
      </c>
      <c r="H455" s="22">
        <v>5.0150469594129561</v>
      </c>
      <c r="I455" s="22">
        <v>5.4372164939951526</v>
      </c>
      <c r="J455" s="22">
        <v>5.8876748805760792</v>
      </c>
      <c r="K455" s="22">
        <v>6.3597520354328392</v>
      </c>
      <c r="L455" s="22">
        <v>6.8718005251566048</v>
      </c>
      <c r="M455" s="22">
        <v>7.4388196408787621</v>
      </c>
      <c r="N455" s="22">
        <v>8.0774217851695376</v>
      </c>
      <c r="O455" s="22">
        <v>8.792385953228127</v>
      </c>
      <c r="P455" s="22">
        <v>9.5735651891363513</v>
      </c>
      <c r="Q455" s="22">
        <v>10.411385291487614</v>
      </c>
      <c r="R455" s="22">
        <v>11.308935755680244</v>
      </c>
      <c r="S455" s="22"/>
      <c r="T455" s="22"/>
    </row>
    <row r="456" spans="1:20" x14ac:dyDescent="0.35">
      <c r="A456" t="s">
        <v>38</v>
      </c>
      <c r="B456" s="17" t="s">
        <v>59</v>
      </c>
      <c r="C456" s="18" t="s">
        <v>76</v>
      </c>
      <c r="D456" s="19" t="s">
        <v>78</v>
      </c>
      <c r="E456" s="19" t="s">
        <v>78</v>
      </c>
      <c r="F456" s="22">
        <v>4.0813285591990569</v>
      </c>
      <c r="G456" s="22">
        <v>4.3565489906640007</v>
      </c>
      <c r="H456" s="22">
        <v>4.6590417428724358</v>
      </c>
      <c r="I456" s="22">
        <v>4.9809847719214222</v>
      </c>
      <c r="J456" s="22">
        <v>5.3185329754537261</v>
      </c>
      <c r="K456" s="22">
        <v>5.6647731760504287</v>
      </c>
      <c r="L456" s="22">
        <v>6.0354421125574493</v>
      </c>
      <c r="M456" s="22">
        <v>6.4424362955069672</v>
      </c>
      <c r="N456" s="22">
        <v>6.8983505239477134</v>
      </c>
      <c r="O456" s="22">
        <v>7.4049242015228351</v>
      </c>
      <c r="P456" s="22">
        <v>7.9511659336728124</v>
      </c>
      <c r="Q456" s="22">
        <v>8.527100923429245</v>
      </c>
      <c r="R456" s="22">
        <v>9.133622315147079</v>
      </c>
      <c r="S456" s="14"/>
      <c r="T456" s="14"/>
    </row>
    <row r="457" spans="1:20" x14ac:dyDescent="0.35">
      <c r="A457" t="s">
        <v>38</v>
      </c>
      <c r="B457" s="17" t="s">
        <v>59</v>
      </c>
      <c r="C457" s="18" t="s">
        <v>76</v>
      </c>
      <c r="D457" s="19" t="s">
        <v>79</v>
      </c>
      <c r="E457" s="19" t="s">
        <v>79</v>
      </c>
      <c r="F457" s="22">
        <v>2.310580471474541</v>
      </c>
      <c r="G457" s="22">
        <v>2.534297490366304</v>
      </c>
      <c r="H457" s="22">
        <v>2.7838992609169848</v>
      </c>
      <c r="I457" s="22">
        <v>3.0627240248195449</v>
      </c>
      <c r="J457" s="22">
        <v>3.375600264863619</v>
      </c>
      <c r="K457" s="22">
        <v>3.7294403525519599</v>
      </c>
      <c r="L457" s="22">
        <v>4.1290729991407042</v>
      </c>
      <c r="M457" s="22">
        <v>4.5797869064908445</v>
      </c>
      <c r="N457" s="22">
        <v>5.0812256257156001</v>
      </c>
      <c r="O457" s="22">
        <v>5.6341791512465189</v>
      </c>
      <c r="P457" s="22">
        <v>6.2360383048158905</v>
      </c>
      <c r="Q457" s="22">
        <v>6.8876390208863487</v>
      </c>
      <c r="R457" s="22">
        <v>7.5965249074601751</v>
      </c>
      <c r="S457" s="14"/>
      <c r="T457" s="14"/>
    </row>
    <row r="458" spans="1:20" x14ac:dyDescent="0.35">
      <c r="A458" t="s">
        <v>38</v>
      </c>
      <c r="B458" s="17" t="s">
        <v>59</v>
      </c>
      <c r="C458" s="18" t="s">
        <v>76</v>
      </c>
      <c r="D458" s="19" t="s">
        <v>80</v>
      </c>
      <c r="E458" s="19" t="s">
        <v>80</v>
      </c>
      <c r="F458" s="22">
        <v>1.7918487523198015</v>
      </c>
      <c r="G458" s="22">
        <v>1.890769154334252</v>
      </c>
      <c r="H458" s="22">
        <v>1.9971313397493538</v>
      </c>
      <c r="I458" s="22">
        <v>2.1123060286660493</v>
      </c>
      <c r="J458" s="22">
        <v>2.2373164546189104</v>
      </c>
      <c r="K458" s="22">
        <v>2.3732942959306862</v>
      </c>
      <c r="L458" s="22">
        <v>2.5211529388606273</v>
      </c>
      <c r="M458" s="22">
        <v>2.6799821295963402</v>
      </c>
      <c r="N458" s="22">
        <v>2.8487726759862939</v>
      </c>
      <c r="O458" s="22">
        <v>3.0268849041479662</v>
      </c>
      <c r="P458" s="22">
        <v>3.2136251536500589</v>
      </c>
      <c r="Q458" s="22">
        <v>3.4101645472778874</v>
      </c>
      <c r="R458" s="22">
        <v>3.615416110199833</v>
      </c>
      <c r="S458" s="14"/>
      <c r="T458" s="14"/>
    </row>
    <row r="459" spans="1:20" x14ac:dyDescent="0.35">
      <c r="A459" t="s">
        <v>38</v>
      </c>
      <c r="B459" s="17" t="s">
        <v>59</v>
      </c>
      <c r="C459" s="18" t="s">
        <v>76</v>
      </c>
      <c r="D459" s="19" t="s">
        <v>81</v>
      </c>
      <c r="E459" s="19" t="s">
        <v>81</v>
      </c>
      <c r="F459" s="22">
        <v>2.1393111890349092</v>
      </c>
      <c r="G459" s="22">
        <v>2.2968090723286902</v>
      </c>
      <c r="H459" s="22">
        <v>2.4572266389748552</v>
      </c>
      <c r="I459" s="22">
        <v>2.6245443238416595</v>
      </c>
      <c r="J459" s="22">
        <v>2.8064583597412645</v>
      </c>
      <c r="K459" s="22">
        <v>3.0105598113519814</v>
      </c>
      <c r="L459" s="22">
        <v>3.2425824802832257</v>
      </c>
      <c r="M459" s="22">
        <v>3.499572468597171</v>
      </c>
      <c r="N459" s="22">
        <v>3.7744458402135632</v>
      </c>
      <c r="O459" s="22">
        <v>4.0671180817826613</v>
      </c>
      <c r="P459" s="22">
        <v>4.3821036715229296</v>
      </c>
      <c r="Q459" s="22">
        <v>4.7246508154464557</v>
      </c>
      <c r="R459" s="22">
        <v>5.0923074432711113</v>
      </c>
      <c r="S459" s="14"/>
      <c r="T459" s="14"/>
    </row>
    <row r="460" spans="1:20" x14ac:dyDescent="0.35">
      <c r="A460" t="s">
        <v>38</v>
      </c>
      <c r="B460" s="17" t="s">
        <v>47</v>
      </c>
      <c r="C460" s="13" t="s">
        <v>82</v>
      </c>
      <c r="D460" s="13" t="s">
        <v>82</v>
      </c>
      <c r="E460" s="13" t="s">
        <v>82</v>
      </c>
      <c r="F460" s="14">
        <v>75.830426820757481</v>
      </c>
      <c r="G460" s="14">
        <v>82.07567339283959</v>
      </c>
      <c r="H460" s="14">
        <v>88.871008486653068</v>
      </c>
      <c r="I460" s="14">
        <v>96.168348009139223</v>
      </c>
      <c r="J460" s="14">
        <v>104.01558955684408</v>
      </c>
      <c r="K460" s="14">
        <v>112.42489345041263</v>
      </c>
      <c r="L460" s="14">
        <v>121.70509593670509</v>
      </c>
      <c r="M460" s="14">
        <v>132.02373603887065</v>
      </c>
      <c r="N460" s="14">
        <v>143.51132012396732</v>
      </c>
      <c r="O460" s="14">
        <v>156.23033609594151</v>
      </c>
      <c r="P460" s="14">
        <v>170.12302740312373</v>
      </c>
      <c r="Q460" s="14">
        <v>185.15808693754062</v>
      </c>
      <c r="R460" s="14">
        <v>201.36236211337879</v>
      </c>
      <c r="S460" s="14"/>
      <c r="T460" s="14"/>
    </row>
    <row r="461" spans="1:20" x14ac:dyDescent="0.35">
      <c r="A461" t="s">
        <v>38</v>
      </c>
      <c r="B461" s="17" t="s">
        <v>47</v>
      </c>
      <c r="C461" s="13" t="s">
        <v>83</v>
      </c>
      <c r="D461" s="13" t="s">
        <v>83</v>
      </c>
      <c r="E461" s="13" t="s">
        <v>83</v>
      </c>
      <c r="F461" s="14">
        <v>139.22995167423633</v>
      </c>
      <c r="G461" s="14">
        <v>147.34493296539478</v>
      </c>
      <c r="H461" s="14">
        <v>156.17846870536144</v>
      </c>
      <c r="I461" s="14">
        <v>165.80188477124327</v>
      </c>
      <c r="J461" s="14">
        <v>176.34988094677874</v>
      </c>
      <c r="K461" s="14">
        <v>188.03918664735744</v>
      </c>
      <c r="L461" s="14">
        <v>200.94207301890663</v>
      </c>
      <c r="M461" s="14">
        <v>215.13221471728548</v>
      </c>
      <c r="N461" s="14">
        <v>230.39614759626613</v>
      </c>
      <c r="O461" s="14">
        <v>246.58948052597208</v>
      </c>
      <c r="P461" s="14">
        <v>263.42777866113272</v>
      </c>
      <c r="Q461" s="14">
        <v>280.80121076030537</v>
      </c>
      <c r="R461" s="14">
        <v>298.88012987691076</v>
      </c>
      <c r="S461" s="14"/>
      <c r="T461" s="14"/>
    </row>
    <row r="462" spans="1:20" x14ac:dyDescent="0.35">
      <c r="A462" t="s">
        <v>38</v>
      </c>
      <c r="B462" s="17" t="s">
        <v>84</v>
      </c>
      <c r="C462" s="13" t="s">
        <v>85</v>
      </c>
      <c r="D462" s="13" t="s">
        <v>85</v>
      </c>
      <c r="E462" s="13" t="s">
        <v>85</v>
      </c>
      <c r="F462" s="14">
        <v>15.707034184599578</v>
      </c>
      <c r="G462" s="14">
        <v>16.531099419781043</v>
      </c>
      <c r="H462" s="14">
        <v>17.431461210069056</v>
      </c>
      <c r="I462" s="14">
        <v>18.375050470946451</v>
      </c>
      <c r="J462" s="14">
        <v>19.345217464749975</v>
      </c>
      <c r="K462" s="14">
        <v>20.315020145890802</v>
      </c>
      <c r="L462" s="14">
        <v>21.340212058839167</v>
      </c>
      <c r="M462" s="14">
        <v>22.459820424263881</v>
      </c>
      <c r="N462" s="14">
        <v>23.713034803205481</v>
      </c>
      <c r="O462" s="14">
        <v>25.099410871131013</v>
      </c>
      <c r="P462" s="14">
        <v>26.575207505445029</v>
      </c>
      <c r="Q462" s="14">
        <v>28.102344506919415</v>
      </c>
      <c r="R462" s="14">
        <v>29.680554492790936</v>
      </c>
      <c r="S462" s="14"/>
      <c r="T462" s="14"/>
    </row>
    <row r="463" spans="1:20" x14ac:dyDescent="0.35">
      <c r="A463" t="s">
        <v>38</v>
      </c>
      <c r="B463" s="17" t="s">
        <v>84</v>
      </c>
      <c r="C463" s="13" t="s">
        <v>86</v>
      </c>
      <c r="D463" s="13" t="s">
        <v>86</v>
      </c>
      <c r="E463" s="13" t="s">
        <v>86</v>
      </c>
      <c r="F463" s="14">
        <v>39.823269121577077</v>
      </c>
      <c r="G463" s="14">
        <v>42.094784317140913</v>
      </c>
      <c r="H463" s="14">
        <v>44.58005607564894</v>
      </c>
      <c r="I463" s="14">
        <v>47.197198005768556</v>
      </c>
      <c r="J463" s="14">
        <v>49.905053749644857</v>
      </c>
      <c r="K463" s="14">
        <v>52.635187783304822</v>
      </c>
      <c r="L463" s="14">
        <v>55.532223132718279</v>
      </c>
      <c r="M463" s="14">
        <v>58.699775457574113</v>
      </c>
      <c r="N463" s="14">
        <v>62.243670561094739</v>
      </c>
      <c r="O463" s="14">
        <v>66.167505183846657</v>
      </c>
      <c r="P463" s="14">
        <v>70.360753774750577</v>
      </c>
      <c r="Q463" s="14">
        <v>74.725927738892253</v>
      </c>
      <c r="R463" s="14">
        <v>79.264372817288788</v>
      </c>
      <c r="S463" s="14"/>
      <c r="T463" s="14"/>
    </row>
    <row r="464" spans="1:20" x14ac:dyDescent="0.35">
      <c r="A464" t="s">
        <v>38</v>
      </c>
      <c r="B464" s="17" t="s">
        <v>84</v>
      </c>
      <c r="C464" s="40" t="s">
        <v>87</v>
      </c>
      <c r="D464" s="40" t="s">
        <v>87</v>
      </c>
      <c r="E464" s="40" t="s">
        <v>87</v>
      </c>
      <c r="F464" s="42">
        <v>69.029768225764371</v>
      </c>
      <c r="G464" s="42">
        <v>74.059684452178516</v>
      </c>
      <c r="H464" s="42">
        <v>79.558236047665247</v>
      </c>
      <c r="I464" s="42">
        <v>85.545619832858677</v>
      </c>
      <c r="J464" s="42">
        <v>92.240239795691934</v>
      </c>
      <c r="K464" s="42">
        <v>99.89549733610221</v>
      </c>
      <c r="L464" s="42">
        <v>108.64498421192602</v>
      </c>
      <c r="M464" s="42">
        <v>118.56059444467118</v>
      </c>
      <c r="N464" s="42">
        <v>129.39807797834868</v>
      </c>
      <c r="O464" s="42">
        <v>140.99390417068491</v>
      </c>
      <c r="P464" s="42">
        <v>153.11683421065925</v>
      </c>
      <c r="Q464" s="42">
        <v>165.78345297580114</v>
      </c>
      <c r="R464" s="42">
        <v>179.24963558757162</v>
      </c>
      <c r="S464" s="14"/>
      <c r="T464" s="14"/>
    </row>
    <row r="465" spans="1:20" x14ac:dyDescent="0.35">
      <c r="A465" t="s">
        <v>38</v>
      </c>
      <c r="B465" s="17" t="s">
        <v>84</v>
      </c>
      <c r="C465" s="13" t="s">
        <v>88</v>
      </c>
      <c r="D465" s="13" t="s">
        <v>88</v>
      </c>
      <c r="E465" s="13" t="s">
        <v>88</v>
      </c>
      <c r="F465" s="14">
        <v>46.509814781619312</v>
      </c>
      <c r="G465" s="14">
        <v>49.936913778527611</v>
      </c>
      <c r="H465" s="14">
        <v>53.668855143560251</v>
      </c>
      <c r="I465" s="14">
        <v>57.755727008219587</v>
      </c>
      <c r="J465" s="14">
        <v>62.241134451804264</v>
      </c>
      <c r="K465" s="14">
        <v>67.174175652540541</v>
      </c>
      <c r="L465" s="14">
        <v>72.600555200200105</v>
      </c>
      <c r="M465" s="14">
        <v>78.515929227725422</v>
      </c>
      <c r="N465" s="14">
        <v>84.911969619142766</v>
      </c>
      <c r="O465" s="14">
        <v>91.790023206921063</v>
      </c>
      <c r="P465" s="14">
        <v>99.14915945299002</v>
      </c>
      <c r="Q465" s="14">
        <v>107.04518849491797</v>
      </c>
      <c r="R465" s="14">
        <v>115.46620804038092</v>
      </c>
      <c r="S465" s="14"/>
      <c r="T465" s="14"/>
    </row>
    <row r="466" spans="1:20" x14ac:dyDescent="0.35">
      <c r="A466" t="s">
        <v>38</v>
      </c>
      <c r="B466" s="17" t="s">
        <v>84</v>
      </c>
      <c r="C466" s="13" t="s">
        <v>89</v>
      </c>
      <c r="D466" s="13" t="s">
        <v>89</v>
      </c>
      <c r="E466" s="13" t="s">
        <v>89</v>
      </c>
      <c r="F466" s="14">
        <v>14.56338574492408</v>
      </c>
      <c r="G466" s="14">
        <v>15.57686082701716</v>
      </c>
      <c r="H466" s="14">
        <v>16.680335347161861</v>
      </c>
      <c r="I466" s="14">
        <v>17.84947043789769</v>
      </c>
      <c r="J466" s="14">
        <v>19.064851994246354</v>
      </c>
      <c r="K466" s="14">
        <v>20.353457211544669</v>
      </c>
      <c r="L466" s="14">
        <v>21.739336786454714</v>
      </c>
      <c r="M466" s="14">
        <v>23.284799774917815</v>
      </c>
      <c r="N466" s="14">
        <v>25.015806288804232</v>
      </c>
      <c r="O466" s="14">
        <v>26.894258759485936</v>
      </c>
      <c r="P466" s="14">
        <v>28.933936089906478</v>
      </c>
      <c r="Q466" s="14">
        <v>31.09936988301094</v>
      </c>
      <c r="R466" s="14">
        <v>33.380217034705652</v>
      </c>
      <c r="S466" s="14"/>
      <c r="T466" s="14"/>
    </row>
    <row r="467" spans="1:20" x14ac:dyDescent="0.35">
      <c r="A467" t="s">
        <v>38</v>
      </c>
      <c r="B467" s="17" t="s">
        <v>84</v>
      </c>
      <c r="C467" s="13" t="s">
        <v>90</v>
      </c>
      <c r="D467" s="13" t="s">
        <v>90</v>
      </c>
      <c r="E467" s="13" t="s">
        <v>90</v>
      </c>
      <c r="F467" s="14">
        <v>29.427106436509391</v>
      </c>
      <c r="G467" s="14">
        <v>31.221263563589105</v>
      </c>
      <c r="H467" s="14">
        <v>33.130533367909152</v>
      </c>
      <c r="I467" s="14">
        <v>35.247167024691542</v>
      </c>
      <c r="J467" s="14">
        <v>37.568973047485429</v>
      </c>
      <c r="K467" s="14">
        <v>40.090741968387029</v>
      </c>
      <c r="L467" s="14">
        <v>42.789857565473447</v>
      </c>
      <c r="M467" s="14">
        <v>45.635031427003717</v>
      </c>
      <c r="N467" s="14">
        <v>48.62490846963756</v>
      </c>
      <c r="O467" s="14">
        <v>51.874714429843991</v>
      </c>
      <c r="P467" s="14">
        <v>55.414915030505085</v>
      </c>
      <c r="Q467" s="14">
        <v>59.203014098304259</v>
      </c>
      <c r="R467" s="14">
        <v>63.201504017551613</v>
      </c>
      <c r="S467" s="14"/>
      <c r="T467" s="14"/>
    </row>
    <row r="468" spans="1:20" x14ac:dyDescent="0.35">
      <c r="A468" t="s">
        <v>38</v>
      </c>
      <c r="B468" s="17" t="s">
        <v>91</v>
      </c>
      <c r="C468" s="13" t="s">
        <v>92</v>
      </c>
      <c r="D468" s="13" t="s">
        <v>92</v>
      </c>
      <c r="E468" s="13" t="s">
        <v>92</v>
      </c>
      <c r="F468" s="14">
        <v>84.431851164091071</v>
      </c>
      <c r="G468" s="14">
        <v>90.922303514805989</v>
      </c>
      <c r="H468" s="14">
        <v>97.928359101559579</v>
      </c>
      <c r="I468" s="14">
        <v>105.74208705359189</v>
      </c>
      <c r="J468" s="14">
        <v>114.38911196547811</v>
      </c>
      <c r="K468" s="14">
        <v>123.88641169663995</v>
      </c>
      <c r="L468" s="14">
        <v>134.19719329638946</v>
      </c>
      <c r="M468" s="14">
        <v>145.254280593598</v>
      </c>
      <c r="N468" s="14">
        <v>157.08083924429729</v>
      </c>
      <c r="O468" s="14">
        <v>170.07719360592426</v>
      </c>
      <c r="P468" s="14">
        <v>184.38880694990786</v>
      </c>
      <c r="Q468" s="14">
        <v>199.92566230136217</v>
      </c>
      <c r="R468" s="14">
        <v>216.60769253454376</v>
      </c>
      <c r="S468" s="14"/>
      <c r="T468" s="14"/>
    </row>
    <row r="469" spans="1:20" x14ac:dyDescent="0.35">
      <c r="A469" t="s">
        <v>38</v>
      </c>
      <c r="B469" s="17" t="s">
        <v>91</v>
      </c>
      <c r="C469" s="13" t="s">
        <v>93</v>
      </c>
      <c r="D469" s="13" t="s">
        <v>93</v>
      </c>
      <c r="E469" s="13" t="s">
        <v>93</v>
      </c>
      <c r="F469" s="14">
        <v>130.62852733090273</v>
      </c>
      <c r="G469" s="14">
        <v>138.49830284342835</v>
      </c>
      <c r="H469" s="14">
        <v>147.12111809045493</v>
      </c>
      <c r="I469" s="14">
        <v>156.22814572679061</v>
      </c>
      <c r="J469" s="14">
        <v>165.97635853814472</v>
      </c>
      <c r="K469" s="14">
        <v>176.57766840113013</v>
      </c>
      <c r="L469" s="14">
        <v>188.44997565922228</v>
      </c>
      <c r="M469" s="14">
        <v>201.90167016255813</v>
      </c>
      <c r="N469" s="14">
        <v>216.82662847593616</v>
      </c>
      <c r="O469" s="14">
        <v>232.7426230159893</v>
      </c>
      <c r="P469" s="14">
        <v>249.16199911434859</v>
      </c>
      <c r="Q469" s="14">
        <v>266.03363539648376</v>
      </c>
      <c r="R469" s="14">
        <v>283.63479945574579</v>
      </c>
      <c r="S469" s="14"/>
      <c r="T469" s="14"/>
    </row>
    <row r="470" spans="1:20" x14ac:dyDescent="0.35">
      <c r="A470" t="s">
        <v>38</v>
      </c>
      <c r="B470" s="17" t="s">
        <v>94</v>
      </c>
      <c r="C470" s="13" t="s">
        <v>95</v>
      </c>
      <c r="D470" s="13" t="s">
        <v>95</v>
      </c>
      <c r="E470" s="13" t="s">
        <v>95</v>
      </c>
      <c r="F470" s="14">
        <v>10.246089057324532</v>
      </c>
      <c r="G470" s="14">
        <v>11.171227593852727</v>
      </c>
      <c r="H470" s="14">
        <v>12.137702970645037</v>
      </c>
      <c r="I470" s="14">
        <v>13.166532496061052</v>
      </c>
      <c r="J470" s="14">
        <v>14.298638995684763</v>
      </c>
      <c r="K470" s="14">
        <v>15.576889577703911</v>
      </c>
      <c r="L470" s="14">
        <v>17.037077185754612</v>
      </c>
      <c r="M470" s="14">
        <v>18.671371726815554</v>
      </c>
      <c r="N470" s="14">
        <v>20.449182715685531</v>
      </c>
      <c r="O470" s="14">
        <v>22.375730576330366</v>
      </c>
      <c r="P470" s="14">
        <v>24.481687509394536</v>
      </c>
      <c r="Q470" s="14">
        <v>26.803545382216644</v>
      </c>
      <c r="R470" s="14">
        <v>29.336150963945052</v>
      </c>
      <c r="S470" s="14"/>
      <c r="T470" s="14"/>
    </row>
    <row r="471" spans="1:20" x14ac:dyDescent="0.35">
      <c r="A471" t="s">
        <v>38</v>
      </c>
      <c r="B471" s="17" t="s">
        <v>94</v>
      </c>
      <c r="C471" s="40" t="s">
        <v>96</v>
      </c>
      <c r="D471" s="40" t="s">
        <v>96</v>
      </c>
      <c r="E471" s="40" t="s">
        <v>96</v>
      </c>
      <c r="F471" s="42">
        <v>47.16546246939032</v>
      </c>
      <c r="G471" s="42">
        <v>50.676613310709342</v>
      </c>
      <c r="H471" s="42">
        <v>54.509917783961725</v>
      </c>
      <c r="I471" s="42">
        <v>58.683857656737672</v>
      </c>
      <c r="J471" s="42">
        <v>63.362596333818772</v>
      </c>
      <c r="K471" s="42">
        <v>68.588166248971191</v>
      </c>
      <c r="L471" s="42">
        <v>74.512718761705088</v>
      </c>
      <c r="M471" s="42">
        <v>81.193166974449525</v>
      </c>
      <c r="N471" s="42">
        <v>88.566904863254138</v>
      </c>
      <c r="O471" s="42">
        <v>96.585640164690574</v>
      </c>
      <c r="P471" s="42">
        <v>105.14773843198668</v>
      </c>
      <c r="Q471" s="42">
        <v>114.22721230671851</v>
      </c>
      <c r="R471" s="42">
        <v>123.89205308975704</v>
      </c>
      <c r="S471" s="22"/>
      <c r="T471" s="22"/>
    </row>
    <row r="472" spans="1:20" x14ac:dyDescent="0.35">
      <c r="A472" t="s">
        <v>38</v>
      </c>
      <c r="B472" s="17" t="s">
        <v>94</v>
      </c>
      <c r="C472" s="13" t="s">
        <v>97</v>
      </c>
      <c r="D472" s="13" t="s">
        <v>97</v>
      </c>
      <c r="E472" s="13" t="s">
        <v>97</v>
      </c>
      <c r="F472" s="14">
        <v>20.320950265157663</v>
      </c>
      <c r="G472" s="14">
        <v>21.662887170926929</v>
      </c>
      <c r="H472" s="14">
        <v>23.131736292266943</v>
      </c>
      <c r="I472" s="14">
        <v>24.709829734995612</v>
      </c>
      <c r="J472" s="14">
        <v>26.354354227340544</v>
      </c>
      <c r="K472" s="14">
        <v>28.0942927578004</v>
      </c>
      <c r="L472" s="14">
        <v>29.951855465982316</v>
      </c>
      <c r="M472" s="14">
        <v>31.975384860837892</v>
      </c>
      <c r="N472" s="14">
        <v>34.184258691751417</v>
      </c>
      <c r="O472" s="14">
        <v>36.586249453374762</v>
      </c>
      <c r="P472" s="14">
        <v>39.142598304783512</v>
      </c>
      <c r="Q472" s="14">
        <v>41.815657270477239</v>
      </c>
      <c r="R472" s="14">
        <v>44.637828048599182</v>
      </c>
      <c r="S472" s="22"/>
      <c r="T472" s="22"/>
    </row>
    <row r="473" spans="1:20" x14ac:dyDescent="0.35">
      <c r="A473" t="s">
        <v>38</v>
      </c>
      <c r="B473" s="17" t="s">
        <v>94</v>
      </c>
      <c r="C473" s="13" t="s">
        <v>98</v>
      </c>
      <c r="D473" s="13" t="s">
        <v>98</v>
      </c>
      <c r="E473" s="13" t="s">
        <v>98</v>
      </c>
      <c r="F473" s="14">
        <v>60.045497364364863</v>
      </c>
      <c r="G473" s="14">
        <v>63.936821404756742</v>
      </c>
      <c r="H473" s="14">
        <v>68.186888966890592</v>
      </c>
      <c r="I473" s="14">
        <v>72.8331157681436</v>
      </c>
      <c r="J473" s="14">
        <v>77.941600800007151</v>
      </c>
      <c r="K473" s="14">
        <v>83.616237157090623</v>
      </c>
      <c r="L473" s="14">
        <v>89.899127110601228</v>
      </c>
      <c r="M473" s="14">
        <v>96.833909106693341</v>
      </c>
      <c r="N473" s="14">
        <v>104.33591532701757</v>
      </c>
      <c r="O473" s="14">
        <v>112.34956663901765</v>
      </c>
      <c r="P473" s="14">
        <v>120.75401739413155</v>
      </c>
      <c r="Q473" s="14">
        <v>129.50541429336386</v>
      </c>
      <c r="R473" s="14">
        <v>138.68797730310905</v>
      </c>
      <c r="S473" s="22"/>
      <c r="T473" s="22"/>
    </row>
    <row r="474" spans="1:20" x14ac:dyDescent="0.35">
      <c r="A474" t="s">
        <v>38</v>
      </c>
      <c r="B474" s="17" t="s">
        <v>94</v>
      </c>
      <c r="C474" s="13" t="s">
        <v>48</v>
      </c>
      <c r="D474" s="13" t="s">
        <v>48</v>
      </c>
      <c r="E474" s="13" t="s">
        <v>48</v>
      </c>
      <c r="F474" s="14">
        <v>22.534611935164172</v>
      </c>
      <c r="G474" s="14">
        <v>24.295330948513215</v>
      </c>
      <c r="H474" s="14">
        <v>26.242212615364394</v>
      </c>
      <c r="I474" s="14">
        <v>28.336358262780379</v>
      </c>
      <c r="J474" s="14">
        <v>30.559836284894885</v>
      </c>
      <c r="K474" s="14">
        <v>32.876291766284098</v>
      </c>
      <c r="L474" s="14">
        <v>35.379294844835009</v>
      </c>
      <c r="M474" s="14">
        <v>38.143620109960942</v>
      </c>
      <c r="N474" s="14">
        <v>41.251078522098091</v>
      </c>
      <c r="O474" s="14">
        <v>44.721696111539949</v>
      </c>
      <c r="P474" s="14">
        <v>48.499217818523221</v>
      </c>
      <c r="Q474" s="14">
        <v>52.531151027337344</v>
      </c>
      <c r="R474" s="14">
        <v>56.829703129483882</v>
      </c>
      <c r="S474" s="22"/>
      <c r="T474" s="22"/>
    </row>
    <row r="475" spans="1:20" x14ac:dyDescent="0.35">
      <c r="A475" t="s">
        <v>38</v>
      </c>
      <c r="B475" s="17" t="s">
        <v>94</v>
      </c>
      <c r="C475" s="13" t="s">
        <v>99</v>
      </c>
      <c r="D475" s="13" t="s">
        <v>99</v>
      </c>
      <c r="E475" s="13" t="s">
        <v>99</v>
      </c>
      <c r="F475" s="14">
        <v>21.179757180368874</v>
      </c>
      <c r="G475" s="14">
        <v>22.28598697705192</v>
      </c>
      <c r="H475" s="14">
        <v>23.489391794930516</v>
      </c>
      <c r="I475" s="14">
        <v>24.767576794405684</v>
      </c>
      <c r="J475" s="14">
        <v>26.073988756836922</v>
      </c>
      <c r="K475" s="14">
        <v>27.435424411523972</v>
      </c>
      <c r="L475" s="14">
        <v>28.870633817156605</v>
      </c>
      <c r="M475" s="14">
        <v>30.422511500599821</v>
      </c>
      <c r="N475" s="14">
        <v>32.10408098279818</v>
      </c>
      <c r="O475" s="14">
        <v>33.916658092586466</v>
      </c>
      <c r="P475" s="14">
        <v>35.818204245751623</v>
      </c>
      <c r="Q475" s="14">
        <v>37.769712126456312</v>
      </c>
      <c r="R475" s="14">
        <v>39.79734800668782</v>
      </c>
      <c r="S475" s="22"/>
      <c r="T475" s="22"/>
    </row>
    <row r="476" spans="1:20" x14ac:dyDescent="0.35">
      <c r="A476" t="s">
        <v>38</v>
      </c>
      <c r="B476" s="17" t="s">
        <v>94</v>
      </c>
      <c r="C476" s="13" t="s">
        <v>100</v>
      </c>
      <c r="D476" s="13" t="s">
        <v>100</v>
      </c>
      <c r="E476" s="13" t="s">
        <v>100</v>
      </c>
      <c r="F476" s="14">
        <v>33.568010223223382</v>
      </c>
      <c r="G476" s="14">
        <v>35.391738952423488</v>
      </c>
      <c r="H476" s="14">
        <v>37.351626767955281</v>
      </c>
      <c r="I476" s="14">
        <v>39.472962067258521</v>
      </c>
      <c r="J476" s="14">
        <v>41.774455105039806</v>
      </c>
      <c r="K476" s="14">
        <v>44.276778178395894</v>
      </c>
      <c r="L476" s="14">
        <v>46.996461769576854</v>
      </c>
      <c r="M476" s="14">
        <v>49.915986476799063</v>
      </c>
      <c r="N476" s="14">
        <v>53.01604661762854</v>
      </c>
      <c r="O476" s="14">
        <v>56.284275584373816</v>
      </c>
      <c r="P476" s="14">
        <v>59.707342359685327</v>
      </c>
      <c r="Q476" s="14">
        <v>63.306605291276092</v>
      </c>
      <c r="R476" s="14">
        <v>67.061431448707509</v>
      </c>
      <c r="S476" s="22"/>
      <c r="T476" s="22"/>
    </row>
    <row r="477" spans="1:20" x14ac:dyDescent="0.35">
      <c r="A477" s="21" t="s">
        <v>34</v>
      </c>
      <c r="B477" s="17" t="s">
        <v>54</v>
      </c>
      <c r="C477" s="13" t="s">
        <v>55</v>
      </c>
      <c r="D477" s="13" t="s">
        <v>55</v>
      </c>
      <c r="E477" s="13" t="s">
        <v>55</v>
      </c>
      <c r="F477" s="14">
        <v>130.80423268349833</v>
      </c>
      <c r="G477" s="14">
        <v>146.94340681012338</v>
      </c>
      <c r="H477" s="14">
        <v>165.23965838178486</v>
      </c>
      <c r="I477" s="14">
        <v>185.80374538293742</v>
      </c>
      <c r="J477" s="14">
        <v>208.82902012797365</v>
      </c>
      <c r="K477" s="14">
        <v>234.69944641979524</v>
      </c>
      <c r="L477" s="14">
        <v>264.09562333506278</v>
      </c>
      <c r="M477" s="14">
        <v>297.82847788154339</v>
      </c>
      <c r="N477" s="14">
        <v>336.59369294540602</v>
      </c>
      <c r="O477" s="14">
        <v>380.83677210892256</v>
      </c>
      <c r="P477" s="14">
        <v>431.00054708771847</v>
      </c>
      <c r="Q477" s="14">
        <v>487.38634958535704</v>
      </c>
      <c r="R477" s="14">
        <v>550.66351305548608</v>
      </c>
      <c r="S477" s="22"/>
      <c r="T477" s="22"/>
    </row>
    <row r="478" spans="1:20" x14ac:dyDescent="0.35">
      <c r="A478" s="21" t="s">
        <v>34</v>
      </c>
      <c r="B478" s="17" t="s">
        <v>54</v>
      </c>
      <c r="C478" s="13" t="s">
        <v>56</v>
      </c>
      <c r="D478" s="13" t="s">
        <v>56</v>
      </c>
      <c r="E478" s="13" t="s">
        <v>56</v>
      </c>
      <c r="F478" s="14">
        <v>366.80439982308076</v>
      </c>
      <c r="G478" s="14">
        <v>402.82441939293932</v>
      </c>
      <c r="H478" s="14">
        <v>443.02112204986327</v>
      </c>
      <c r="I478" s="14">
        <v>487.6843269427012</v>
      </c>
      <c r="J478" s="14">
        <v>536.92586492854423</v>
      </c>
      <c r="K478" s="14">
        <v>590.83620165547404</v>
      </c>
      <c r="L478" s="14">
        <v>650.55973848036354</v>
      </c>
      <c r="M478" s="14">
        <v>717.11305416402161</v>
      </c>
      <c r="N478" s="14">
        <v>791.71304237527306</v>
      </c>
      <c r="O478" s="14">
        <v>875.58100462430298</v>
      </c>
      <c r="P478" s="14">
        <v>968.84823783503771</v>
      </c>
      <c r="Q478" s="14">
        <v>1071.4341113900146</v>
      </c>
      <c r="R478" s="14">
        <v>1183.9568859782207</v>
      </c>
      <c r="S478" s="22"/>
      <c r="T478" s="22"/>
    </row>
    <row r="479" spans="1:20" x14ac:dyDescent="0.35">
      <c r="A479" s="21" t="s">
        <v>34</v>
      </c>
      <c r="B479" s="17" t="s">
        <v>54</v>
      </c>
      <c r="C479" s="13" t="s">
        <v>57</v>
      </c>
      <c r="D479" s="13" t="s">
        <v>57</v>
      </c>
      <c r="E479" s="13" t="s">
        <v>57</v>
      </c>
      <c r="F479" s="14">
        <v>879.32630324317961</v>
      </c>
      <c r="G479" s="14">
        <v>953.62494486481887</v>
      </c>
      <c r="H479" s="14">
        <v>1035.4730515125898</v>
      </c>
      <c r="I479" s="14">
        <v>1126.2416830199056</v>
      </c>
      <c r="J479" s="14">
        <v>1226.804804143482</v>
      </c>
      <c r="K479" s="14">
        <v>1338.6002871337082</v>
      </c>
      <c r="L479" s="14">
        <v>1462.7751510742171</v>
      </c>
      <c r="M479" s="14">
        <v>1600.5264437053659</v>
      </c>
      <c r="N479" s="14">
        <v>1752.1654369338105</v>
      </c>
      <c r="O479" s="14">
        <v>1918.8708886716308</v>
      </c>
      <c r="P479" s="14">
        <v>2100.6319172423164</v>
      </c>
      <c r="Q479" s="14">
        <v>2297.2121501246515</v>
      </c>
      <c r="R479" s="14">
        <v>2509.6454412551921</v>
      </c>
      <c r="S479" s="22"/>
      <c r="T479" s="22"/>
    </row>
    <row r="480" spans="1:20" x14ac:dyDescent="0.35">
      <c r="A480" s="21" t="s">
        <v>34</v>
      </c>
      <c r="B480" s="17" t="s">
        <v>59</v>
      </c>
      <c r="C480" s="18" t="s">
        <v>60</v>
      </c>
      <c r="D480" s="38" t="s">
        <v>61</v>
      </c>
      <c r="E480" s="39" t="s">
        <v>62</v>
      </c>
      <c r="F480" s="22">
        <v>51.035555896455215</v>
      </c>
      <c r="G480" s="22">
        <v>57.246625184840447</v>
      </c>
      <c r="H480" s="22">
        <v>64.294726048121603</v>
      </c>
      <c r="I480" s="22">
        <v>72.306907751606886</v>
      </c>
      <c r="J480" s="22">
        <v>81.3891453258247</v>
      </c>
      <c r="K480" s="22">
        <v>91.704047347479545</v>
      </c>
      <c r="L480" s="22">
        <v>103.43975143983118</v>
      </c>
      <c r="M480" s="22">
        <v>116.82987728140257</v>
      </c>
      <c r="N480" s="22">
        <v>132.0767478255803</v>
      </c>
      <c r="O480" s="22">
        <v>149.43489154624828</v>
      </c>
      <c r="P480" s="22">
        <v>169.1153617632348</v>
      </c>
      <c r="Q480" s="22">
        <v>191.24896664877883</v>
      </c>
      <c r="R480" s="22">
        <v>216.08842038519478</v>
      </c>
      <c r="S480" s="22"/>
      <c r="T480" s="22"/>
    </row>
    <row r="481" spans="1:20" x14ac:dyDescent="0.35">
      <c r="A481" s="21" t="s">
        <v>34</v>
      </c>
      <c r="B481" s="17" t="s">
        <v>59</v>
      </c>
      <c r="C481" s="18" t="s">
        <v>60</v>
      </c>
      <c r="D481" s="38" t="s">
        <v>61</v>
      </c>
      <c r="E481" s="39" t="s">
        <v>63</v>
      </c>
      <c r="F481" s="22">
        <v>98.159900319001338</v>
      </c>
      <c r="G481" s="22">
        <v>107.72500683938836</v>
      </c>
      <c r="H481" s="22">
        <v>118.25305459291371</v>
      </c>
      <c r="I481" s="22">
        <v>129.96416218557368</v>
      </c>
      <c r="J481" s="22">
        <v>143.05895093895847</v>
      </c>
      <c r="K481" s="22">
        <v>157.8160365545528</v>
      </c>
      <c r="L481" s="22">
        <v>174.44373024293304</v>
      </c>
      <c r="M481" s="22">
        <v>193.07956862916825</v>
      </c>
      <c r="N481" s="22">
        <v>213.73164736194033</v>
      </c>
      <c r="O481" s="22">
        <v>236.63508994942876</v>
      </c>
      <c r="P481" s="22">
        <v>261.90411999749085</v>
      </c>
      <c r="Q481" s="22">
        <v>289.64564189502488</v>
      </c>
      <c r="R481" s="22">
        <v>320.06641206889242</v>
      </c>
      <c r="S481" s="22"/>
      <c r="T481" s="22"/>
    </row>
    <row r="482" spans="1:20" x14ac:dyDescent="0.35">
      <c r="A482" s="21" t="s">
        <v>34</v>
      </c>
      <c r="B482" s="17" t="s">
        <v>59</v>
      </c>
      <c r="C482" s="18" t="s">
        <v>60</v>
      </c>
      <c r="D482" s="38" t="s">
        <v>61</v>
      </c>
      <c r="E482" s="39" t="s">
        <v>64</v>
      </c>
      <c r="F482" s="22">
        <v>128.33638113662386</v>
      </c>
      <c r="G482" s="22">
        <v>138.85100913582181</v>
      </c>
      <c r="H482" s="22">
        <v>151.34960982680005</v>
      </c>
      <c r="I482" s="22">
        <v>166.14275606686741</v>
      </c>
      <c r="J482" s="22">
        <v>182.77033974780841</v>
      </c>
      <c r="K482" s="22">
        <v>200.06011752949348</v>
      </c>
      <c r="L482" s="22">
        <v>217.85508418164787</v>
      </c>
      <c r="M482" s="22">
        <v>236.57682491586445</v>
      </c>
      <c r="N482" s="22">
        <v>257.22722595318555</v>
      </c>
      <c r="O482" s="22">
        <v>281.00137880323899</v>
      </c>
      <c r="P482" s="22">
        <v>306.66724484539043</v>
      </c>
      <c r="Q482" s="22">
        <v>332.48919707246046</v>
      </c>
      <c r="R482" s="22">
        <v>358.7078030522224</v>
      </c>
      <c r="S482" s="22"/>
      <c r="T482" s="22"/>
    </row>
    <row r="483" spans="1:20" x14ac:dyDescent="0.35">
      <c r="A483" s="21" t="s">
        <v>34</v>
      </c>
      <c r="B483" s="17" t="s">
        <v>59</v>
      </c>
      <c r="C483" s="18" t="s">
        <v>60</v>
      </c>
      <c r="D483" s="38" t="s">
        <v>65</v>
      </c>
      <c r="E483" s="38" t="s">
        <v>65</v>
      </c>
      <c r="F483" s="41">
        <v>251.14787941054732</v>
      </c>
      <c r="G483" s="41">
        <v>273.95808500243936</v>
      </c>
      <c r="H483" s="41">
        <v>299.24251987688473</v>
      </c>
      <c r="I483" s="41">
        <v>327.08051997370995</v>
      </c>
      <c r="J483" s="41">
        <v>357.51644844843076</v>
      </c>
      <c r="K483" s="41">
        <v>391.04962859338303</v>
      </c>
      <c r="L483" s="41">
        <v>428.17813665435511</v>
      </c>
      <c r="M483" s="41">
        <v>469.63818888169698</v>
      </c>
      <c r="N483" s="41">
        <v>515.89606784584555</v>
      </c>
      <c r="O483" s="41">
        <v>566.93872983243341</v>
      </c>
      <c r="P483" s="41">
        <v>623.0873651750278</v>
      </c>
      <c r="Q483" s="41">
        <v>684.42230975754524</v>
      </c>
      <c r="R483" s="41">
        <v>751.15711059546334</v>
      </c>
      <c r="S483" s="22"/>
      <c r="T483" s="22"/>
    </row>
    <row r="484" spans="1:20" x14ac:dyDescent="0.35">
      <c r="A484" s="21" t="s">
        <v>34</v>
      </c>
      <c r="B484" s="17" t="s">
        <v>59</v>
      </c>
      <c r="C484" s="18" t="s">
        <v>60</v>
      </c>
      <c r="D484" s="38" t="s">
        <v>66</v>
      </c>
      <c r="E484" s="38" t="s">
        <v>66</v>
      </c>
      <c r="F484" s="41">
        <v>158.06976100456302</v>
      </c>
      <c r="G484" s="41">
        <v>171.61441110619356</v>
      </c>
      <c r="H484" s="41">
        <v>186.23017404688983</v>
      </c>
      <c r="I484" s="41">
        <v>201.99625989549261</v>
      </c>
      <c r="J484" s="41">
        <v>219.07001869369282</v>
      </c>
      <c r="K484" s="41">
        <v>237.91912881691687</v>
      </c>
      <c r="L484" s="41">
        <v>258.95290152634408</v>
      </c>
      <c r="M484" s="41">
        <v>282.43148217302377</v>
      </c>
      <c r="N484" s="41">
        <v>308.30577805629304</v>
      </c>
      <c r="O484" s="41">
        <v>336.62241278174946</v>
      </c>
      <c r="P484" s="41">
        <v>367.57271717452591</v>
      </c>
      <c r="Q484" s="41">
        <v>401.31340709936251</v>
      </c>
      <c r="R484" s="41">
        <v>437.95945920908332</v>
      </c>
      <c r="S484" s="22"/>
      <c r="T484" s="22"/>
    </row>
    <row r="485" spans="1:20" x14ac:dyDescent="0.35">
      <c r="A485" s="21" t="s">
        <v>34</v>
      </c>
      <c r="B485" s="17" t="s">
        <v>59</v>
      </c>
      <c r="C485" s="18" t="s">
        <v>60</v>
      </c>
      <c r="D485" s="38" t="s">
        <v>67</v>
      </c>
      <c r="E485" s="38" t="s">
        <v>67</v>
      </c>
      <c r="F485" s="41">
        <v>103.53106972851509</v>
      </c>
      <c r="G485" s="41">
        <v>111.30215787088468</v>
      </c>
      <c r="H485" s="41">
        <v>119.61523823391818</v>
      </c>
      <c r="I485" s="41">
        <v>128.58504627969154</v>
      </c>
      <c r="J485" s="41">
        <v>138.39947055748965</v>
      </c>
      <c r="K485" s="41">
        <v>149.33643491582086</v>
      </c>
      <c r="L485" s="41">
        <v>161.58686121727263</v>
      </c>
      <c r="M485" s="41">
        <v>175.20233468458684</v>
      </c>
      <c r="N485" s="41">
        <v>190.03141498593268</v>
      </c>
      <c r="O485" s="41">
        <v>206.06902787400881</v>
      </c>
      <c r="P485" s="41">
        <v>223.29547000865509</v>
      </c>
      <c r="Q485" s="41">
        <v>241.76407047536338</v>
      </c>
      <c r="R485" s="41">
        <v>261.56157337750653</v>
      </c>
      <c r="S485" s="22"/>
      <c r="T485" s="22"/>
    </row>
    <row r="486" spans="1:20" x14ac:dyDescent="0.35">
      <c r="A486" s="21" t="s">
        <v>34</v>
      </c>
      <c r="B486" s="17" t="s">
        <v>59</v>
      </c>
      <c r="C486" s="18" t="s">
        <v>60</v>
      </c>
      <c r="D486" s="38" t="s">
        <v>68</v>
      </c>
      <c r="E486" s="38" t="s">
        <v>68</v>
      </c>
      <c r="F486" s="41">
        <v>169.99713966514889</v>
      </c>
      <c r="G486" s="41">
        <v>187.41388057133204</v>
      </c>
      <c r="H486" s="41">
        <v>206.76640611017763</v>
      </c>
      <c r="I486" s="41">
        <v>228.38425923606184</v>
      </c>
      <c r="J486" s="41">
        <v>252.68136345086609</v>
      </c>
      <c r="K486" s="41">
        <v>280.15841062497623</v>
      </c>
      <c r="L486" s="41">
        <v>311.27966460394242</v>
      </c>
      <c r="M486" s="41">
        <v>346.31480208538636</v>
      </c>
      <c r="N486" s="41">
        <v>385.36395690476917</v>
      </c>
      <c r="O486" s="41">
        <v>428.67370850066095</v>
      </c>
      <c r="P486" s="41">
        <v>476.49697674527744</v>
      </c>
      <c r="Q486" s="41">
        <v>529.35609929864313</v>
      </c>
      <c r="R486" s="41">
        <v>587.64137731836729</v>
      </c>
      <c r="S486" s="22"/>
      <c r="T486" s="22"/>
    </row>
    <row r="487" spans="1:20" x14ac:dyDescent="0.35">
      <c r="A487" s="21" t="s">
        <v>34</v>
      </c>
      <c r="B487" s="17" t="s">
        <v>59</v>
      </c>
      <c r="C487" s="18" t="s">
        <v>60</v>
      </c>
      <c r="D487" s="38" t="s">
        <v>69</v>
      </c>
      <c r="E487" s="38" t="s">
        <v>69</v>
      </c>
      <c r="F487" s="41">
        <v>192.21731300926928</v>
      </c>
      <c r="G487" s="41">
        <v>205.72647842110189</v>
      </c>
      <c r="H487" s="41">
        <v>220.16910157219297</v>
      </c>
      <c r="I487" s="41">
        <v>235.68382107275212</v>
      </c>
      <c r="J487" s="41">
        <v>252.49321356748467</v>
      </c>
      <c r="K487" s="41">
        <v>270.92811626237926</v>
      </c>
      <c r="L487" s="41">
        <v>291.35233599513236</v>
      </c>
      <c r="M487" s="41">
        <v>313.80449065548709</v>
      </c>
      <c r="N487" s="41">
        <v>338.14301919243417</v>
      </c>
      <c r="O487" s="41">
        <v>364.39686888774264</v>
      </c>
      <c r="P487" s="41">
        <v>392.62166777028608</v>
      </c>
      <c r="Q487" s="41">
        <v>423.00157166784913</v>
      </c>
      <c r="R487" s="41">
        <v>455.51638914042809</v>
      </c>
      <c r="S487" s="14"/>
      <c r="T487" s="14"/>
    </row>
    <row r="488" spans="1:20" x14ac:dyDescent="0.35">
      <c r="A488" s="21" t="s">
        <v>34</v>
      </c>
      <c r="B488" s="17" t="s">
        <v>59</v>
      </c>
      <c r="C488" s="18" t="s">
        <v>70</v>
      </c>
      <c r="D488" s="19" t="s">
        <v>71</v>
      </c>
      <c r="E488" s="19" t="s">
        <v>71</v>
      </c>
      <c r="F488" s="22">
        <v>32.895950172178345</v>
      </c>
      <c r="G488" s="22">
        <v>37.048238455122338</v>
      </c>
      <c r="H488" s="22">
        <v>41.758717568119771</v>
      </c>
      <c r="I488" s="22">
        <v>47.17115932705903</v>
      </c>
      <c r="J488" s="22">
        <v>53.378501083398469</v>
      </c>
      <c r="K488" s="22">
        <v>60.495091249070484</v>
      </c>
      <c r="L488" s="22">
        <v>68.622488918937989</v>
      </c>
      <c r="M488" s="22">
        <v>77.859835143116428</v>
      </c>
      <c r="N488" s="22">
        <v>88.320682904737851</v>
      </c>
      <c r="O488" s="22">
        <v>100.26782503881628</v>
      </c>
      <c r="P488" s="22">
        <v>113.8909317128156</v>
      </c>
      <c r="Q488" s="22">
        <v>129.33131475765845</v>
      </c>
      <c r="R488" s="22">
        <v>146.76840445354858</v>
      </c>
      <c r="S488" s="14"/>
      <c r="T488" s="14"/>
    </row>
    <row r="489" spans="1:20" x14ac:dyDescent="0.35">
      <c r="A489" s="21" t="s">
        <v>34</v>
      </c>
      <c r="B489" s="17" t="s">
        <v>59</v>
      </c>
      <c r="C489" s="18" t="s">
        <v>70</v>
      </c>
      <c r="D489" s="19" t="s">
        <v>72</v>
      </c>
      <c r="E489" s="19" t="s">
        <v>72</v>
      </c>
      <c r="F489" s="22">
        <v>25.260596370812358</v>
      </c>
      <c r="G489" s="22">
        <v>28.7971359786278</v>
      </c>
      <c r="H489" s="22">
        <v>32.874186529904243</v>
      </c>
      <c r="I489" s="22">
        <v>37.55251984731624</v>
      </c>
      <c r="J489" s="22">
        <v>42.894905289464255</v>
      </c>
      <c r="K489" s="22">
        <v>48.99162173119251</v>
      </c>
      <c r="L489" s="22">
        <v>56.000296358093046</v>
      </c>
      <c r="M489" s="22">
        <v>64.116992620631194</v>
      </c>
      <c r="N489" s="22">
        <v>73.546497733145131</v>
      </c>
      <c r="O489" s="22">
        <v>84.472369343397929</v>
      </c>
      <c r="P489" s="22">
        <v>97.061476460110669</v>
      </c>
      <c r="Q489" s="22">
        <v>111.44717837208319</v>
      </c>
      <c r="R489" s="22">
        <v>127.8483730728847</v>
      </c>
      <c r="S489" s="14"/>
      <c r="T489" s="14"/>
    </row>
    <row r="490" spans="1:20" x14ac:dyDescent="0.35">
      <c r="A490" s="21" t="s">
        <v>34</v>
      </c>
      <c r="B490" s="17" t="s">
        <v>59</v>
      </c>
      <c r="C490" s="18" t="s">
        <v>70</v>
      </c>
      <c r="D490" s="19" t="s">
        <v>73</v>
      </c>
      <c r="E490" s="19" t="s">
        <v>73</v>
      </c>
      <c r="F490" s="22">
        <v>23.25507537519475</v>
      </c>
      <c r="G490" s="22">
        <v>25.671567387133404</v>
      </c>
      <c r="H490" s="22">
        <v>28.380892194990054</v>
      </c>
      <c r="I490" s="22">
        <v>31.367100525174646</v>
      </c>
      <c r="J490" s="22">
        <v>34.629647988570078</v>
      </c>
      <c r="K490" s="22">
        <v>38.18846416789097</v>
      </c>
      <c r="L490" s="22">
        <v>42.144632728463655</v>
      </c>
      <c r="M490" s="22">
        <v>46.621139916898827</v>
      </c>
      <c r="N490" s="22">
        <v>51.728004263960763</v>
      </c>
      <c r="O490" s="22">
        <v>57.496476256542749</v>
      </c>
      <c r="P490" s="22">
        <v>63.94893671066778</v>
      </c>
      <c r="Q490" s="22">
        <v>71.069066419870026</v>
      </c>
      <c r="R490" s="22">
        <v>78.902912829772205</v>
      </c>
      <c r="S490" s="14"/>
      <c r="T490" s="14"/>
    </row>
    <row r="491" spans="1:20" x14ac:dyDescent="0.35">
      <c r="A491" s="21" t="s">
        <v>34</v>
      </c>
      <c r="B491" s="17" t="s">
        <v>59</v>
      </c>
      <c r="C491" s="18" t="s">
        <v>70</v>
      </c>
      <c r="D491" s="19" t="s">
        <v>74</v>
      </c>
      <c r="E491" s="19" t="s">
        <v>74</v>
      </c>
      <c r="F491" s="22">
        <v>27.308471887686366</v>
      </c>
      <c r="G491" s="22">
        <v>30.334951009751325</v>
      </c>
      <c r="H491" s="22">
        <v>33.760474592929818</v>
      </c>
      <c r="I491" s="22">
        <v>37.599377961034413</v>
      </c>
      <c r="J491" s="22">
        <v>41.859679205695677</v>
      </c>
      <c r="K491" s="22">
        <v>46.590294861169951</v>
      </c>
      <c r="L491" s="22">
        <v>51.895327827535041</v>
      </c>
      <c r="M491" s="22">
        <v>57.901775617041665</v>
      </c>
      <c r="N491" s="22">
        <v>64.722280044645828</v>
      </c>
      <c r="O491" s="22">
        <v>72.444749528298075</v>
      </c>
      <c r="P491" s="22">
        <v>81.075392448695965</v>
      </c>
      <c r="Q491" s="22">
        <v>90.628286006076294</v>
      </c>
      <c r="R491" s="22">
        <v>101.22940796871022</v>
      </c>
      <c r="S491" s="14"/>
      <c r="T491" s="14"/>
    </row>
    <row r="492" spans="1:20" x14ac:dyDescent="0.35">
      <c r="A492" s="21" t="s">
        <v>34</v>
      </c>
      <c r="B492" s="17" t="s">
        <v>59</v>
      </c>
      <c r="C492" s="18" t="s">
        <v>70</v>
      </c>
      <c r="D492" s="19" t="s">
        <v>75</v>
      </c>
      <c r="E492" s="19" t="s">
        <v>75</v>
      </c>
      <c r="F492" s="22">
        <v>21.329229048476677</v>
      </c>
      <c r="G492" s="22">
        <v>23.885049289668579</v>
      </c>
      <c r="H492" s="22">
        <v>26.782122685204506</v>
      </c>
      <c r="I492" s="22">
        <v>30.064343891499067</v>
      </c>
      <c r="J492" s="22">
        <v>33.762419624516717</v>
      </c>
      <c r="K492" s="22">
        <v>37.937823752133298</v>
      </c>
      <c r="L492" s="22">
        <v>42.668832586173572</v>
      </c>
      <c r="M492" s="22">
        <v>48.037483847732041</v>
      </c>
      <c r="N492" s="22">
        <v>54.125318567769355</v>
      </c>
      <c r="O492" s="22">
        <v>61.027575856836741</v>
      </c>
      <c r="P492" s="22">
        <v>68.804366736131485</v>
      </c>
      <c r="Q492" s="22">
        <v>77.529076797514549</v>
      </c>
      <c r="R492" s="22">
        <v>87.303927859903922</v>
      </c>
      <c r="S492" s="14"/>
      <c r="T492" s="14"/>
    </row>
    <row r="493" spans="1:20" x14ac:dyDescent="0.35">
      <c r="A493" s="21" t="s">
        <v>34</v>
      </c>
      <c r="B493" s="17" t="s">
        <v>59</v>
      </c>
      <c r="C493" s="18" t="s">
        <v>76</v>
      </c>
      <c r="D493" s="19" t="s">
        <v>77</v>
      </c>
      <c r="E493" s="19" t="s">
        <v>77</v>
      </c>
      <c r="F493" s="22">
        <v>27.148658123828838</v>
      </c>
      <c r="G493" s="22">
        <v>29.988405309717024</v>
      </c>
      <c r="H493" s="22">
        <v>33.153097401171856</v>
      </c>
      <c r="I493" s="22">
        <v>36.675304095814923</v>
      </c>
      <c r="J493" s="22">
        <v>40.589054485478599</v>
      </c>
      <c r="K493" s="22">
        <v>44.953989310737484</v>
      </c>
      <c r="L493" s="22">
        <v>49.85668208602074</v>
      </c>
      <c r="M493" s="22">
        <v>55.37529945598164</v>
      </c>
      <c r="N493" s="22">
        <v>61.570561946419069</v>
      </c>
      <c r="O493" s="22">
        <v>68.500064793499007</v>
      </c>
      <c r="P493" s="22">
        <v>76.213807216051407</v>
      </c>
      <c r="Q493" s="22">
        <v>84.758964453184831</v>
      </c>
      <c r="R493" s="22">
        <v>94.192781343738147</v>
      </c>
      <c r="S493" s="14"/>
      <c r="T493" s="14"/>
    </row>
    <row r="494" spans="1:20" x14ac:dyDescent="0.35">
      <c r="A494" s="21" t="s">
        <v>34</v>
      </c>
      <c r="B494" s="17" t="s">
        <v>59</v>
      </c>
      <c r="C494" s="18" t="s">
        <v>76</v>
      </c>
      <c r="D494" s="19" t="s">
        <v>78</v>
      </c>
      <c r="E494" s="19" t="s">
        <v>78</v>
      </c>
      <c r="F494" s="22">
        <v>25.885244886905628</v>
      </c>
      <c r="G494" s="22">
        <v>28.222038612625767</v>
      </c>
      <c r="H494" s="22">
        <v>30.764659719878644</v>
      </c>
      <c r="I494" s="22">
        <v>33.543056769578691</v>
      </c>
      <c r="J494" s="22">
        <v>36.584434753392451</v>
      </c>
      <c r="K494" s="22">
        <v>39.951218594115161</v>
      </c>
      <c r="L494" s="22">
        <v>43.705556100048184</v>
      </c>
      <c r="M494" s="22">
        <v>47.888096811981683</v>
      </c>
      <c r="N494" s="22">
        <v>52.507605717283084</v>
      </c>
      <c r="O494" s="22">
        <v>57.598800154704165</v>
      </c>
      <c r="P494" s="22">
        <v>63.202864646621535</v>
      </c>
      <c r="Q494" s="22">
        <v>69.34585367782671</v>
      </c>
      <c r="R494" s="22">
        <v>76.046130685241721</v>
      </c>
      <c r="S494" s="22"/>
      <c r="T494" s="22"/>
    </row>
    <row r="495" spans="1:20" x14ac:dyDescent="0.35">
      <c r="A495" s="21" t="s">
        <v>34</v>
      </c>
      <c r="B495" s="17" t="s">
        <v>59</v>
      </c>
      <c r="C495" s="18" t="s">
        <v>76</v>
      </c>
      <c r="D495" s="19" t="s">
        <v>79</v>
      </c>
      <c r="E495" s="19" t="s">
        <v>79</v>
      </c>
      <c r="F495" s="22">
        <v>15.112608516738156</v>
      </c>
      <c r="G495" s="22">
        <v>17.016102668262644</v>
      </c>
      <c r="H495" s="22">
        <v>19.169723691196765</v>
      </c>
      <c r="I495" s="22">
        <v>21.618142998070873</v>
      </c>
      <c r="J495" s="22">
        <v>24.395913516789506</v>
      </c>
      <c r="K495" s="22">
        <v>27.557870768643376</v>
      </c>
      <c r="L495" s="22">
        <v>31.163740844979312</v>
      </c>
      <c r="M495" s="22">
        <v>35.273073884675519</v>
      </c>
      <c r="N495" s="22">
        <v>39.943738771275974</v>
      </c>
      <c r="O495" s="22">
        <v>45.265960288943397</v>
      </c>
      <c r="P495" s="22">
        <v>51.321692908067817</v>
      </c>
      <c r="Q495" s="22">
        <v>58.177607459302301</v>
      </c>
      <c r="R495" s="22">
        <v>65.909962058178678</v>
      </c>
      <c r="S495" s="22"/>
      <c r="T495" s="22"/>
    </row>
    <row r="496" spans="1:20" x14ac:dyDescent="0.35">
      <c r="A496" s="21" t="s">
        <v>34</v>
      </c>
      <c r="B496" s="17" t="s">
        <v>59</v>
      </c>
      <c r="C496" s="18" t="s">
        <v>76</v>
      </c>
      <c r="D496" s="19" t="s">
        <v>80</v>
      </c>
      <c r="E496" s="19" t="s">
        <v>80</v>
      </c>
      <c r="F496" s="22">
        <v>12.269815877816516</v>
      </c>
      <c r="G496" s="22">
        <v>13.254957937092415</v>
      </c>
      <c r="H496" s="22">
        <v>14.328860274654101</v>
      </c>
      <c r="I496" s="22">
        <v>15.509568701108813</v>
      </c>
      <c r="J496" s="22">
        <v>16.807208015004502</v>
      </c>
      <c r="K496" s="22">
        <v>18.236801488375477</v>
      </c>
      <c r="L496" s="22">
        <v>19.814741704779866</v>
      </c>
      <c r="M496" s="22">
        <v>21.551796625921497</v>
      </c>
      <c r="N496" s="22">
        <v>23.453378588961993</v>
      </c>
      <c r="O496" s="22">
        <v>25.541768581486579</v>
      </c>
      <c r="P496" s="22">
        <v>27.828315821561571</v>
      </c>
      <c r="Q496" s="22">
        <v>30.310948310977146</v>
      </c>
      <c r="R496" s="22">
        <v>32.991549788610541</v>
      </c>
      <c r="S496" s="22"/>
      <c r="T496" s="22"/>
    </row>
    <row r="497" spans="1:20" x14ac:dyDescent="0.35">
      <c r="A497" s="21" t="s">
        <v>34</v>
      </c>
      <c r="B497" s="17" t="s">
        <v>59</v>
      </c>
      <c r="C497" s="18" t="s">
        <v>76</v>
      </c>
      <c r="D497" s="19" t="s">
        <v>81</v>
      </c>
      <c r="E497" s="19" t="s">
        <v>81</v>
      </c>
      <c r="F497" s="22">
        <v>13.974285319996978</v>
      </c>
      <c r="G497" s="22">
        <v>15.336670287877894</v>
      </c>
      <c r="H497" s="22">
        <v>16.840266978289254</v>
      </c>
      <c r="I497" s="22">
        <v>18.485448767131448</v>
      </c>
      <c r="J497" s="22">
        <v>20.278974507134205</v>
      </c>
      <c r="K497" s="22">
        <v>22.260838640646703</v>
      </c>
      <c r="L497" s="22">
        <v>24.469747873153143</v>
      </c>
      <c r="M497" s="22">
        <v>26.964912520333908</v>
      </c>
      <c r="N497" s="22">
        <v>29.778245590309744</v>
      </c>
      <c r="O497" s="22">
        <v>32.900967386820149</v>
      </c>
      <c r="P497" s="22">
        <v>36.371994024460477</v>
      </c>
      <c r="Q497" s="22">
        <v>40.193050930502224</v>
      </c>
      <c r="R497" s="22">
        <v>44.373845081152055</v>
      </c>
      <c r="S497" s="22"/>
      <c r="T497" s="22"/>
    </row>
    <row r="498" spans="1:20" x14ac:dyDescent="0.35">
      <c r="A498" s="21" t="s">
        <v>34</v>
      </c>
      <c r="B498" s="17" t="s">
        <v>47</v>
      </c>
      <c r="C498" s="13" t="s">
        <v>82</v>
      </c>
      <c r="D498" s="13" t="s">
        <v>82</v>
      </c>
      <c r="E498" s="13" t="s">
        <v>82</v>
      </c>
      <c r="F498" s="14">
        <v>497.60863250657906</v>
      </c>
      <c r="G498" s="14">
        <v>549.76782620306267</v>
      </c>
      <c r="H498" s="14">
        <v>608.26078043164807</v>
      </c>
      <c r="I498" s="14">
        <v>673.48807232563865</v>
      </c>
      <c r="J498" s="14">
        <v>745.75488505651788</v>
      </c>
      <c r="K498" s="14">
        <v>825.53564807526925</v>
      </c>
      <c r="L498" s="14">
        <v>914.65536181542632</v>
      </c>
      <c r="M498" s="14">
        <v>1014.9415320455651</v>
      </c>
      <c r="N498" s="14">
        <v>1128.3067353206791</v>
      </c>
      <c r="O498" s="14">
        <v>1256.4177767332255</v>
      </c>
      <c r="P498" s="14">
        <v>1399.8487849227563</v>
      </c>
      <c r="Q498" s="14">
        <v>1558.8204609753716</v>
      </c>
      <c r="R498" s="14">
        <v>1734.6203990337067</v>
      </c>
      <c r="S498" s="22"/>
      <c r="T498" s="22"/>
    </row>
    <row r="499" spans="1:20" x14ac:dyDescent="0.35">
      <c r="A499" s="21" t="s">
        <v>34</v>
      </c>
      <c r="B499" s="17" t="s">
        <v>47</v>
      </c>
      <c r="C499" s="13" t="s">
        <v>83</v>
      </c>
      <c r="D499" s="13" t="s">
        <v>83</v>
      </c>
      <c r="E499" s="13" t="s">
        <v>83</v>
      </c>
      <c r="F499" s="14">
        <v>879.32630324317961</v>
      </c>
      <c r="G499" s="14">
        <v>953.62494486481887</v>
      </c>
      <c r="H499" s="14">
        <v>1035.4730515125898</v>
      </c>
      <c r="I499" s="14">
        <v>1126.2416830199056</v>
      </c>
      <c r="J499" s="14">
        <v>1226.804804143482</v>
      </c>
      <c r="K499" s="14">
        <v>1338.6002871337082</v>
      </c>
      <c r="L499" s="14">
        <v>1462.7751510742171</v>
      </c>
      <c r="M499" s="14">
        <v>1600.5264437053659</v>
      </c>
      <c r="N499" s="14">
        <v>1752.1654369338105</v>
      </c>
      <c r="O499" s="14">
        <v>1918.8708886716308</v>
      </c>
      <c r="P499" s="14">
        <v>2100.6319172423164</v>
      </c>
      <c r="Q499" s="14">
        <v>2297.2121501246515</v>
      </c>
      <c r="R499" s="14">
        <v>2509.6454412551921</v>
      </c>
      <c r="S499" s="22"/>
      <c r="T499" s="22"/>
    </row>
    <row r="500" spans="1:20" x14ac:dyDescent="0.35">
      <c r="A500" s="21" t="s">
        <v>34</v>
      </c>
      <c r="B500" s="17" t="s">
        <v>84</v>
      </c>
      <c r="C500" s="13" t="s">
        <v>85</v>
      </c>
      <c r="D500" s="13" t="s">
        <v>85</v>
      </c>
      <c r="E500" s="13" t="s">
        <v>85</v>
      </c>
      <c r="F500" s="14">
        <v>88.514543928750342</v>
      </c>
      <c r="G500" s="14">
        <v>95.010468416869088</v>
      </c>
      <c r="H500" s="14">
        <v>102.15462351867041</v>
      </c>
      <c r="I500" s="14">
        <v>109.91478349331901</v>
      </c>
      <c r="J500" s="14">
        <v>118.21606907885308</v>
      </c>
      <c r="K500" s="14">
        <v>127.21055517025255</v>
      </c>
      <c r="L500" s="14">
        <v>137.01776480031288</v>
      </c>
      <c r="M500" s="14">
        <v>147.85607290112517</v>
      </c>
      <c r="N500" s="14">
        <v>159.8015540038121</v>
      </c>
      <c r="O500" s="14">
        <v>172.84064310596685</v>
      </c>
      <c r="P500" s="14">
        <v>186.89226229506798</v>
      </c>
      <c r="Q500" s="14">
        <v>201.85025917166746</v>
      </c>
      <c r="R500" s="14">
        <v>217.83196881807882</v>
      </c>
      <c r="S500" s="22"/>
      <c r="T500" s="22"/>
    </row>
    <row r="501" spans="1:20" x14ac:dyDescent="0.35">
      <c r="A501" s="21" t="s">
        <v>34</v>
      </c>
      <c r="B501" s="17" t="s">
        <v>84</v>
      </c>
      <c r="C501" s="13" t="s">
        <v>86</v>
      </c>
      <c r="D501" s="13" t="s">
        <v>86</v>
      </c>
      <c r="E501" s="13" t="s">
        <v>86</v>
      </c>
      <c r="F501" s="14">
        <v>254.14209409188243</v>
      </c>
      <c r="G501" s="14">
        <v>273.78682084424582</v>
      </c>
      <c r="H501" s="14">
        <v>295.35886465055449</v>
      </c>
      <c r="I501" s="14">
        <v>318.994258786405</v>
      </c>
      <c r="J501" s="14">
        <v>344.72346227578913</v>
      </c>
      <c r="K501" s="14">
        <v>372.85493392446602</v>
      </c>
      <c r="L501" s="14">
        <v>403.76543348428595</v>
      </c>
      <c r="M501" s="14">
        <v>437.94057969297694</v>
      </c>
      <c r="N501" s="14">
        <v>475.58412580325933</v>
      </c>
      <c r="O501" s="14">
        <v>516.86406738379242</v>
      </c>
      <c r="P501" s="14">
        <v>561.64781340930892</v>
      </c>
      <c r="Q501" s="14">
        <v>609.65291419831351</v>
      </c>
      <c r="R501" s="14">
        <v>661.0955618164769</v>
      </c>
      <c r="S501" s="22"/>
      <c r="T501" s="22"/>
    </row>
    <row r="502" spans="1:20" x14ac:dyDescent="0.35">
      <c r="A502" s="21" t="s">
        <v>34</v>
      </c>
      <c r="B502" s="17" t="s">
        <v>84</v>
      </c>
      <c r="C502" s="40" t="s">
        <v>87</v>
      </c>
      <c r="D502" s="40" t="s">
        <v>87</v>
      </c>
      <c r="E502" s="40" t="s">
        <v>87</v>
      </c>
      <c r="F502" s="42">
        <v>450.7304158299163</v>
      </c>
      <c r="G502" s="42">
        <v>496.82092021316049</v>
      </c>
      <c r="H502" s="42">
        <v>548.88117904223498</v>
      </c>
      <c r="I502" s="42">
        <v>607.76601848189307</v>
      </c>
      <c r="J502" s="42">
        <v>673.91012324320741</v>
      </c>
      <c r="K502" s="42">
        <v>747.52997717151015</v>
      </c>
      <c r="L502" s="42">
        <v>829.7522920107383</v>
      </c>
      <c r="M502" s="42">
        <v>922.05160534871891</v>
      </c>
      <c r="N502" s="42">
        <v>1025.9124337066937</v>
      </c>
      <c r="O502" s="42">
        <v>1143.2104147652449</v>
      </c>
      <c r="P502" s="42">
        <v>1273.8669892111388</v>
      </c>
      <c r="Q502" s="42">
        <v>1417.3355214517767</v>
      </c>
      <c r="R502" s="42">
        <v>1575.0808708013824</v>
      </c>
      <c r="S502" s="22"/>
      <c r="T502" s="22"/>
    </row>
    <row r="503" spans="1:20" x14ac:dyDescent="0.35">
      <c r="A503" s="21" t="s">
        <v>34</v>
      </c>
      <c r="B503" s="17" t="s">
        <v>84</v>
      </c>
      <c r="C503" s="13" t="s">
        <v>88</v>
      </c>
      <c r="D503" s="13" t="s">
        <v>88</v>
      </c>
      <c r="E503" s="13" t="s">
        <v>88</v>
      </c>
      <c r="F503" s="14">
        <v>307.38602262159566</v>
      </c>
      <c r="G503" s="14">
        <v>337.69166945507311</v>
      </c>
      <c r="H503" s="14">
        <v>370.84443776287264</v>
      </c>
      <c r="I503" s="14">
        <v>407.46521134075266</v>
      </c>
      <c r="J503" s="14">
        <v>448.22383848038953</v>
      </c>
      <c r="K503" s="14">
        <v>493.88112334650003</v>
      </c>
      <c r="L503" s="14">
        <v>545.31208900026058</v>
      </c>
      <c r="M503" s="14">
        <v>602.82651745984754</v>
      </c>
      <c r="N503" s="14">
        <v>666.55772415093566</v>
      </c>
      <c r="O503" s="14">
        <v>737.20973813623061</v>
      </c>
      <c r="P503" s="14">
        <v>815.43728254974087</v>
      </c>
      <c r="Q503" s="14">
        <v>902.00241553105877</v>
      </c>
      <c r="R503" s="14">
        <v>997.23296575249617</v>
      </c>
      <c r="S503" s="14"/>
      <c r="T503" s="14"/>
    </row>
    <row r="504" spans="1:20" x14ac:dyDescent="0.35">
      <c r="A504" s="21" t="s">
        <v>34</v>
      </c>
      <c r="B504" s="17" t="s">
        <v>84</v>
      </c>
      <c r="C504" s="13" t="s">
        <v>89</v>
      </c>
      <c r="D504" s="13" t="s">
        <v>89</v>
      </c>
      <c r="E504" s="13" t="s">
        <v>89</v>
      </c>
      <c r="F504" s="14">
        <v>89.657480707813448</v>
      </c>
      <c r="G504" s="14">
        <v>97.850752806063568</v>
      </c>
      <c r="H504" s="14">
        <v>106.93366213534155</v>
      </c>
      <c r="I504" s="14">
        <v>116.91093121335744</v>
      </c>
      <c r="J504" s="14">
        <v>127.79447155366215</v>
      </c>
      <c r="K504" s="14">
        <v>139.76207129935358</v>
      </c>
      <c r="L504" s="14">
        <v>153.01760284720956</v>
      </c>
      <c r="M504" s="14">
        <v>167.84833344853408</v>
      </c>
      <c r="N504" s="14">
        <v>184.43218763094922</v>
      </c>
      <c r="O504" s="14">
        <v>202.75293066239885</v>
      </c>
      <c r="P504" s="14">
        <v>222.91428198145991</v>
      </c>
      <c r="Q504" s="14">
        <v>244.93556151028164</v>
      </c>
      <c r="R504" s="14">
        <v>268.88953260840628</v>
      </c>
      <c r="S504" s="14"/>
      <c r="T504" s="14"/>
    </row>
    <row r="505" spans="1:20" x14ac:dyDescent="0.35">
      <c r="A505" s="21" t="s">
        <v>34</v>
      </c>
      <c r="B505" s="17" t="s">
        <v>84</v>
      </c>
      <c r="C505" s="13" t="s">
        <v>90</v>
      </c>
      <c r="D505" s="13" t="s">
        <v>90</v>
      </c>
      <c r="E505" s="13" t="s">
        <v>90</v>
      </c>
      <c r="F505" s="14">
        <v>186.50437856980042</v>
      </c>
      <c r="G505" s="14">
        <v>202.23213933246936</v>
      </c>
      <c r="H505" s="14">
        <v>219.56106483456369</v>
      </c>
      <c r="I505" s="14">
        <v>238.67855202981704</v>
      </c>
      <c r="J505" s="14">
        <v>259.69172456809849</v>
      </c>
      <c r="K505" s="14">
        <v>282.89727429689526</v>
      </c>
      <c r="L505" s="14">
        <v>308.56533074683608</v>
      </c>
      <c r="M505" s="14">
        <v>336.94486689972803</v>
      </c>
      <c r="N505" s="14">
        <v>368.18414695883968</v>
      </c>
      <c r="O505" s="14">
        <v>402.4108713512228</v>
      </c>
      <c r="P505" s="14">
        <v>439.72207271835583</v>
      </c>
      <c r="Q505" s="14">
        <v>480.25593923692486</v>
      </c>
      <c r="R505" s="14">
        <v>524.13494049205883</v>
      </c>
      <c r="S505" s="14"/>
      <c r="T505" s="14"/>
    </row>
    <row r="506" spans="1:20" x14ac:dyDescent="0.35">
      <c r="A506" s="21" t="s">
        <v>34</v>
      </c>
      <c r="B506" s="17" t="s">
        <v>91</v>
      </c>
      <c r="C506" s="13" t="s">
        <v>92</v>
      </c>
      <c r="D506" s="13" t="s">
        <v>92</v>
      </c>
      <c r="E506" s="13" t="s">
        <v>92</v>
      </c>
      <c r="F506" s="14">
        <v>553.42707743130791</v>
      </c>
      <c r="G506" s="14">
        <v>610.17429488686582</v>
      </c>
      <c r="H506" s="14">
        <v>672.3444775047542</v>
      </c>
      <c r="I506" s="14">
        <v>740.71624461037811</v>
      </c>
      <c r="J506" s="14">
        <v>816.46441020997725</v>
      </c>
      <c r="K506" s="14">
        <v>901.16708019739872</v>
      </c>
      <c r="L506" s="14">
        <v>996.85512012054471</v>
      </c>
      <c r="M506" s="14">
        <v>1104.6206250005853</v>
      </c>
      <c r="N506" s="14">
        <v>1224.8826945445778</v>
      </c>
      <c r="O506" s="14">
        <v>1358.7071978745128</v>
      </c>
      <c r="P506" s="14">
        <v>1507.5626310719447</v>
      </c>
      <c r="Q506" s="14">
        <v>1672.8417464810511</v>
      </c>
      <c r="R506" s="14">
        <v>1855.2851156042796</v>
      </c>
      <c r="S506" s="14"/>
      <c r="T506" s="14"/>
    </row>
    <row r="507" spans="1:20" x14ac:dyDescent="0.35">
      <c r="A507" s="21" t="s">
        <v>34</v>
      </c>
      <c r="B507" s="17" t="s">
        <v>91</v>
      </c>
      <c r="C507" s="13" t="s">
        <v>93</v>
      </c>
      <c r="D507" s="13" t="s">
        <v>93</v>
      </c>
      <c r="E507" s="13" t="s">
        <v>93</v>
      </c>
      <c r="F507" s="14">
        <v>823.50785831845064</v>
      </c>
      <c r="G507" s="14">
        <v>893.2184761810156</v>
      </c>
      <c r="H507" s="14">
        <v>971.38935443948378</v>
      </c>
      <c r="I507" s="14">
        <v>1059.0135107351662</v>
      </c>
      <c r="J507" s="14">
        <v>1156.0952789900225</v>
      </c>
      <c r="K507" s="14">
        <v>1262.9688550115789</v>
      </c>
      <c r="L507" s="14">
        <v>1380.5753927690985</v>
      </c>
      <c r="M507" s="14">
        <v>1510.8473507503452</v>
      </c>
      <c r="N507" s="14">
        <v>1655.589477709912</v>
      </c>
      <c r="O507" s="14">
        <v>1816.5814675303436</v>
      </c>
      <c r="P507" s="14">
        <v>1992.9180710931278</v>
      </c>
      <c r="Q507" s="14">
        <v>2183.1908646189718</v>
      </c>
      <c r="R507" s="14">
        <v>2388.9807246846194</v>
      </c>
      <c r="S507" s="14"/>
      <c r="T507" s="14"/>
    </row>
    <row r="508" spans="1:20" x14ac:dyDescent="0.35">
      <c r="A508" s="21" t="s">
        <v>34</v>
      </c>
      <c r="B508" s="17" t="s">
        <v>94</v>
      </c>
      <c r="C508" s="13" t="s">
        <v>95</v>
      </c>
      <c r="D508" s="13" t="s">
        <v>95</v>
      </c>
      <c r="E508" s="13" t="s">
        <v>95</v>
      </c>
      <c r="F508" s="14">
        <v>113.49546659745734</v>
      </c>
      <c r="G508" s="14">
        <v>126.67091899671192</v>
      </c>
      <c r="H508" s="14">
        <v>141.50615528603004</v>
      </c>
      <c r="I508" s="14">
        <v>158.18982702868158</v>
      </c>
      <c r="J508" s="14">
        <v>176.8521222354519</v>
      </c>
      <c r="K508" s="14">
        <v>197.84616879988295</v>
      </c>
      <c r="L508" s="14">
        <v>221.54109940609342</v>
      </c>
      <c r="M508" s="14">
        <v>248.46772788328505</v>
      </c>
      <c r="N508" s="14">
        <v>279.0343598618374</v>
      </c>
      <c r="O508" s="14">
        <v>313.59860652363244</v>
      </c>
      <c r="P508" s="14">
        <v>352.5665558489568</v>
      </c>
      <c r="Q508" s="14">
        <v>396.0946339388355</v>
      </c>
      <c r="R508" s="14">
        <v>444.58470044422387</v>
      </c>
      <c r="S508" s="14"/>
      <c r="T508" s="14"/>
    </row>
    <row r="509" spans="1:20" x14ac:dyDescent="0.35">
      <c r="A509" s="21" t="s">
        <v>34</v>
      </c>
      <c r="B509" s="17" t="s">
        <v>94</v>
      </c>
      <c r="C509" s="40" t="s">
        <v>96</v>
      </c>
      <c r="D509" s="40" t="s">
        <v>96</v>
      </c>
      <c r="E509" s="40" t="s">
        <v>96</v>
      </c>
      <c r="F509" s="42">
        <v>215.79680742246296</v>
      </c>
      <c r="G509" s="42">
        <v>236.29065162039166</v>
      </c>
      <c r="H509" s="42">
        <v>260.29257625232162</v>
      </c>
      <c r="I509" s="42">
        <v>288.70054104674068</v>
      </c>
      <c r="J509" s="42">
        <v>321.52394797743193</v>
      </c>
      <c r="K509" s="42">
        <v>358.63778291117933</v>
      </c>
      <c r="L509" s="42">
        <v>399.69481123938954</v>
      </c>
      <c r="M509" s="42">
        <v>445.02244119704676</v>
      </c>
      <c r="N509" s="42">
        <v>495.17905038722455</v>
      </c>
      <c r="O509" s="42">
        <v>551.34031683225498</v>
      </c>
      <c r="P509" s="42">
        <v>612.96975062983756</v>
      </c>
      <c r="Q509" s="42">
        <v>679.66305985438123</v>
      </c>
      <c r="R509" s="42">
        <v>752.34772623345464</v>
      </c>
      <c r="S509" s="14"/>
      <c r="T509" s="14"/>
    </row>
    <row r="510" spans="1:20" x14ac:dyDescent="0.35">
      <c r="A510" s="21" t="s">
        <v>34</v>
      </c>
      <c r="B510" s="17" t="s">
        <v>94</v>
      </c>
      <c r="C510" s="13" t="s">
        <v>97</v>
      </c>
      <c r="D510" s="13" t="s">
        <v>97</v>
      </c>
      <c r="E510" s="13" t="s">
        <v>97</v>
      </c>
      <c r="F510" s="14">
        <v>162.84339305856824</v>
      </c>
      <c r="G510" s="14">
        <v>177.0401792292395</v>
      </c>
      <c r="H510" s="14">
        <v>192.31954510773119</v>
      </c>
      <c r="I510" s="14">
        <v>208.97070188134032</v>
      </c>
      <c r="J510" s="14">
        <v>227.38207808084852</v>
      </c>
      <c r="K510" s="14">
        <v>248.04065150544955</v>
      </c>
      <c r="L510" s="14">
        <v>271.32155847646459</v>
      </c>
      <c r="M510" s="14">
        <v>297.28326902492216</v>
      </c>
      <c r="N510" s="14">
        <v>325.70794417459661</v>
      </c>
      <c r="O510" s="14">
        <v>356.76803119339428</v>
      </c>
      <c r="P510" s="14">
        <v>390.67902241402743</v>
      </c>
      <c r="Q510" s="14">
        <v>427.71777030461726</v>
      </c>
      <c r="R510" s="14">
        <v>468.00658703718415</v>
      </c>
      <c r="S510" s="14"/>
      <c r="T510" s="14"/>
    </row>
    <row r="511" spans="1:20" x14ac:dyDescent="0.35">
      <c r="A511" s="21" t="s">
        <v>34</v>
      </c>
      <c r="B511" s="17" t="s">
        <v>94</v>
      </c>
      <c r="C511" s="13" t="s">
        <v>98</v>
      </c>
      <c r="D511" s="13" t="s">
        <v>98</v>
      </c>
      <c r="E511" s="13" t="s">
        <v>98</v>
      </c>
      <c r="F511" s="14">
        <v>462.50243572109116</v>
      </c>
      <c r="G511" s="14">
        <v>506.64751410727774</v>
      </c>
      <c r="H511" s="14">
        <v>555.38182786868583</v>
      </c>
      <c r="I511" s="14">
        <v>608.61113213536248</v>
      </c>
      <c r="J511" s="14">
        <v>666.5366576056042</v>
      </c>
      <c r="K511" s="14">
        <v>729.71495784625915</v>
      </c>
      <c r="L511" s="14">
        <v>799.88104676991122</v>
      </c>
      <c r="M511" s="14">
        <v>878.68173659892864</v>
      </c>
      <c r="N511" s="14">
        <v>967.41614469523824</v>
      </c>
      <c r="O511" s="14">
        <v>1066.6311607468663</v>
      </c>
      <c r="P511" s="14">
        <v>1176.5429756545864</v>
      </c>
      <c r="Q511" s="14">
        <v>1296.9812596361655</v>
      </c>
      <c r="R511" s="14">
        <v>1428.5878052691021</v>
      </c>
      <c r="S511" s="14"/>
      <c r="T511" s="14"/>
    </row>
    <row r="512" spans="1:20" x14ac:dyDescent="0.35">
      <c r="A512" s="21" t="s">
        <v>34</v>
      </c>
      <c r="B512" s="17" t="s">
        <v>94</v>
      </c>
      <c r="C512" s="13" t="s">
        <v>48</v>
      </c>
      <c r="D512" s="13" t="s">
        <v>48</v>
      </c>
      <c r="E512" s="13" t="s">
        <v>48</v>
      </c>
      <c r="F512" s="14">
        <v>127.77928518952407</v>
      </c>
      <c r="G512" s="14">
        <v>140.47555234796894</v>
      </c>
      <c r="H512" s="14">
        <v>154.66905107332784</v>
      </c>
      <c r="I512" s="14">
        <v>170.44516330845624</v>
      </c>
      <c r="J512" s="14">
        <v>187.88041168443249</v>
      </c>
      <c r="K512" s="14">
        <v>207.22161673213114</v>
      </c>
      <c r="L512" s="14">
        <v>228.81360770111775</v>
      </c>
      <c r="M512" s="14">
        <v>253.03851623264427</v>
      </c>
      <c r="N512" s="14">
        <v>280.1782926804301</v>
      </c>
      <c r="O512" s="14">
        <v>310.40728344927993</v>
      </c>
      <c r="P512" s="14">
        <v>343.78660382251996</v>
      </c>
      <c r="Q512" s="14">
        <v>380.4320610706302</v>
      </c>
      <c r="R512" s="14">
        <v>420.64229674145719</v>
      </c>
      <c r="S512" s="14"/>
      <c r="T512" s="14"/>
    </row>
    <row r="513" spans="1:20" x14ac:dyDescent="0.35">
      <c r="A513" s="21" t="s">
        <v>34</v>
      </c>
      <c r="B513" s="17" t="s">
        <v>94</v>
      </c>
      <c r="C513" s="13" t="s">
        <v>99</v>
      </c>
      <c r="D513" s="13" t="s">
        <v>99</v>
      </c>
      <c r="E513" s="13" t="s">
        <v>99</v>
      </c>
      <c r="F513" s="14">
        <v>145.25875287678207</v>
      </c>
      <c r="G513" s="14">
        <v>155.92379412304783</v>
      </c>
      <c r="H513" s="14">
        <v>167.16926327070161</v>
      </c>
      <c r="I513" s="14">
        <v>179.33846847273085</v>
      </c>
      <c r="J513" s="14">
        <v>192.73095574913452</v>
      </c>
      <c r="K513" s="14">
        <v>207.63670513445132</v>
      </c>
      <c r="L513" s="14">
        <v>224.23660086486822</v>
      </c>
      <c r="M513" s="14">
        <v>242.40096217906148</v>
      </c>
      <c r="N513" s="14">
        <v>261.91804418131693</v>
      </c>
      <c r="O513" s="14">
        <v>283.05503577464731</v>
      </c>
      <c r="P513" s="14">
        <v>306.05070534245908</v>
      </c>
      <c r="Q513" s="14">
        <v>331.03787584907292</v>
      </c>
      <c r="R513" s="14">
        <v>357.91440209743206</v>
      </c>
      <c r="S513" s="14"/>
      <c r="T513" s="14"/>
    </row>
    <row r="514" spans="1:20" x14ac:dyDescent="0.35">
      <c r="A514" s="21" t="s">
        <v>34</v>
      </c>
      <c r="B514" s="17" t="s">
        <v>94</v>
      </c>
      <c r="C514" s="13" t="s">
        <v>100</v>
      </c>
      <c r="D514" s="13" t="s">
        <v>100</v>
      </c>
      <c r="E514" s="13" t="s">
        <v>100</v>
      </c>
      <c r="F514" s="14">
        <v>149.25879488387284</v>
      </c>
      <c r="G514" s="14">
        <v>160.3441606432437</v>
      </c>
      <c r="H514" s="14">
        <v>172.39541308543969</v>
      </c>
      <c r="I514" s="14">
        <v>185.47392147223192</v>
      </c>
      <c r="J514" s="14">
        <v>199.65351586709653</v>
      </c>
      <c r="K514" s="14">
        <v>215.03805227962417</v>
      </c>
      <c r="L514" s="14">
        <v>231.9417884317985</v>
      </c>
      <c r="M514" s="14">
        <v>250.57332263504244</v>
      </c>
      <c r="N514" s="14">
        <v>271.0383362738458</v>
      </c>
      <c r="O514" s="14">
        <v>293.48823088478133</v>
      </c>
      <c r="P514" s="14">
        <v>317.88508845268535</v>
      </c>
      <c r="Q514" s="14">
        <v>344.10595044632083</v>
      </c>
      <c r="R514" s="14">
        <v>372.18232246604481</v>
      </c>
      <c r="S514" s="14"/>
      <c r="T514" s="14"/>
    </row>
    <row r="515" spans="1:20" x14ac:dyDescent="0.35">
      <c r="A515" s="21" t="s">
        <v>34</v>
      </c>
      <c r="B515" s="17" t="s">
        <v>30</v>
      </c>
      <c r="C515" t="s">
        <v>39</v>
      </c>
      <c r="D515" t="s">
        <v>39</v>
      </c>
      <c r="E515" t="s">
        <v>39</v>
      </c>
      <c r="F515" s="14">
        <v>441.17081189999686</v>
      </c>
      <c r="G515" s="14">
        <v>488.96965055984776</v>
      </c>
      <c r="H515" s="14">
        <v>542.89823433579841</v>
      </c>
      <c r="I515" s="14">
        <v>603.3717712210381</v>
      </c>
      <c r="J515" s="14">
        <v>671.13295070737502</v>
      </c>
      <c r="K515" s="14">
        <v>747.03615343664148</v>
      </c>
      <c r="L515" s="14">
        <v>832.76798479685681</v>
      </c>
      <c r="M515" s="14">
        <v>930.06794799151533</v>
      </c>
      <c r="N515" s="14">
        <v>1040.1846955893718</v>
      </c>
      <c r="O515" s="14">
        <v>1164.0816106445579</v>
      </c>
      <c r="P515" s="14">
        <v>1301.6073586120531</v>
      </c>
      <c r="Q515" s="14">
        <v>1453.0440464034273</v>
      </c>
      <c r="R515" s="14">
        <v>1620.2010825811735</v>
      </c>
      <c r="S515" s="14"/>
      <c r="T515" s="14"/>
    </row>
    <row r="516" spans="1:20" x14ac:dyDescent="0.35">
      <c r="A516" s="21" t="s">
        <v>34</v>
      </c>
      <c r="B516" s="17" t="s">
        <v>30</v>
      </c>
      <c r="C516" t="s">
        <v>28</v>
      </c>
      <c r="D516" t="s">
        <v>28</v>
      </c>
      <c r="E516" t="s">
        <v>28</v>
      </c>
      <c r="F516" s="14">
        <v>137.89447701628444</v>
      </c>
      <c r="G516" s="14">
        <v>151.98877071190523</v>
      </c>
      <c r="H516" s="14">
        <v>167.59171950674099</v>
      </c>
      <c r="I516" s="14">
        <v>185.23928449313138</v>
      </c>
      <c r="J516" s="14">
        <v>205.06808650099006</v>
      </c>
      <c r="K516" s="14">
        <v>227.25984000303211</v>
      </c>
      <c r="L516" s="14">
        <v>251.9176931374233</v>
      </c>
      <c r="M516" s="14">
        <v>279.12551660032136</v>
      </c>
      <c r="N516" s="14">
        <v>309.10579799318168</v>
      </c>
      <c r="O516" s="14">
        <v>342.74736864663754</v>
      </c>
      <c r="P516" s="14">
        <v>380.50615360872791</v>
      </c>
      <c r="Q516" s="14">
        <v>422.43650373756077</v>
      </c>
      <c r="R516" s="14">
        <v>468.68823560045325</v>
      </c>
      <c r="S516" s="14"/>
      <c r="T516" s="14"/>
    </row>
    <row r="517" spans="1:20" x14ac:dyDescent="0.35">
      <c r="A517" s="21" t="s">
        <v>34</v>
      </c>
      <c r="B517" s="17" t="s">
        <v>30</v>
      </c>
      <c r="C517" t="s">
        <v>40</v>
      </c>
      <c r="D517" t="s">
        <v>40</v>
      </c>
      <c r="E517" t="s">
        <v>40</v>
      </c>
      <c r="F517" s="14">
        <v>257.66872932652876</v>
      </c>
      <c r="G517" s="14">
        <v>275.44641175016807</v>
      </c>
      <c r="H517" s="14">
        <v>294.68725245654633</v>
      </c>
      <c r="I517" s="14">
        <v>315.79492826408938</v>
      </c>
      <c r="J517" s="14">
        <v>338.68849863564003</v>
      </c>
      <c r="K517" s="14">
        <v>363.31041917424005</v>
      </c>
      <c r="L517" s="14">
        <v>389.84973820056143</v>
      </c>
      <c r="M517" s="14">
        <v>418.47980918545562</v>
      </c>
      <c r="N517" s="14">
        <v>449.50172672285476</v>
      </c>
      <c r="O517" s="14">
        <v>483.59709028965443</v>
      </c>
      <c r="P517" s="14">
        <v>520.86543384660581</v>
      </c>
      <c r="Q517" s="14">
        <v>560.87980252914281</v>
      </c>
      <c r="R517" s="14">
        <v>603.46684711999524</v>
      </c>
      <c r="S517" s="14"/>
      <c r="T517" s="14"/>
    </row>
    <row r="518" spans="1:20" x14ac:dyDescent="0.35">
      <c r="A518" s="21" t="s">
        <v>34</v>
      </c>
      <c r="B518" s="17" t="s">
        <v>30</v>
      </c>
      <c r="C518" t="s">
        <v>43</v>
      </c>
      <c r="D518" t="s">
        <v>43</v>
      </c>
      <c r="E518" t="s">
        <v>43</v>
      </c>
      <c r="F518" s="14">
        <v>162.78106721687411</v>
      </c>
      <c r="G518" s="14">
        <v>176.96269389636115</v>
      </c>
      <c r="H518" s="14">
        <v>192.59298237987343</v>
      </c>
      <c r="I518" s="14">
        <v>209.90045259662043</v>
      </c>
      <c r="J518" s="14">
        <v>229.11280790057998</v>
      </c>
      <c r="K518" s="14">
        <v>250.50072019658802</v>
      </c>
      <c r="L518" s="14">
        <v>274.3184626551872</v>
      </c>
      <c r="M518" s="14">
        <v>300.6672774669612</v>
      </c>
      <c r="N518" s="14">
        <v>329.5936787910174</v>
      </c>
      <c r="O518" s="14">
        <v>361.18720154306243</v>
      </c>
      <c r="P518" s="14">
        <v>395.5041486718859</v>
      </c>
      <c r="Q518" s="14">
        <v>432.82688098777629</v>
      </c>
      <c r="R518" s="14">
        <v>473.26873776937498</v>
      </c>
      <c r="S518" s="22"/>
      <c r="T518" s="22"/>
    </row>
    <row r="519" spans="1:20" x14ac:dyDescent="0.35">
      <c r="A519" s="21" t="s">
        <v>34</v>
      </c>
      <c r="B519" s="17" t="s">
        <v>30</v>
      </c>
      <c r="C519" t="s">
        <v>42</v>
      </c>
      <c r="D519" t="s">
        <v>42</v>
      </c>
      <c r="E519" t="s">
        <v>42</v>
      </c>
      <c r="F519" s="14">
        <v>180.16470741049142</v>
      </c>
      <c r="G519" s="14">
        <v>196.84722349318037</v>
      </c>
      <c r="H519" s="14">
        <v>215.34016105824799</v>
      </c>
      <c r="I519" s="14">
        <v>235.9754189502105</v>
      </c>
      <c r="J519" s="14">
        <v>258.99708719195996</v>
      </c>
      <c r="K519" s="14">
        <v>284.79569247028547</v>
      </c>
      <c r="L519" s="14">
        <v>313.62502528306254</v>
      </c>
      <c r="M519" s="14">
        <v>345.79956853373977</v>
      </c>
      <c r="N519" s="14">
        <v>381.39592343689071</v>
      </c>
      <c r="O519" s="14">
        <v>420.72114057224064</v>
      </c>
      <c r="P519" s="14">
        <v>463.85790520629843</v>
      </c>
      <c r="Q519" s="14">
        <v>510.80323633128222</v>
      </c>
      <c r="R519" s="14">
        <v>561.89316018287309</v>
      </c>
      <c r="S519" s="22"/>
      <c r="T519" s="22"/>
    </row>
    <row r="520" spans="1:20" x14ac:dyDescent="0.35">
      <c r="A520" s="21" t="s">
        <v>34</v>
      </c>
      <c r="B520" s="17" t="s">
        <v>30</v>
      </c>
      <c r="C520" t="s">
        <v>41</v>
      </c>
      <c r="D520" t="s">
        <v>41</v>
      </c>
      <c r="E520" t="s">
        <v>41</v>
      </c>
      <c r="F520" s="14">
        <v>72.063547061725203</v>
      </c>
      <c r="G520" s="14">
        <v>77.490264700351318</v>
      </c>
      <c r="H520" s="14">
        <v>83.420094536822347</v>
      </c>
      <c r="I520" s="14">
        <v>89.813396228172337</v>
      </c>
      <c r="J520" s="14">
        <v>96.684623527105174</v>
      </c>
      <c r="K520" s="14">
        <v>104.02100696719545</v>
      </c>
      <c r="L520" s="14">
        <v>112.04647950340342</v>
      </c>
      <c r="M520" s="14">
        <v>120.89038154593439</v>
      </c>
      <c r="N520" s="14">
        <v>130.67125058751023</v>
      </c>
      <c r="O520" s="14">
        <v>141.42331085825469</v>
      </c>
      <c r="P520" s="14">
        <v>153.06287466536554</v>
      </c>
      <c r="Q520" s="14">
        <v>165.54945624371186</v>
      </c>
      <c r="R520" s="14">
        <v>178.89528319181449</v>
      </c>
      <c r="S520" s="22"/>
      <c r="T520" s="22"/>
    </row>
    <row r="521" spans="1:20" x14ac:dyDescent="0.35">
      <c r="A521" s="21" t="s">
        <v>34</v>
      </c>
      <c r="B521" s="17" t="s">
        <v>30</v>
      </c>
      <c r="C521" t="s">
        <v>44</v>
      </c>
      <c r="D521" t="s">
        <v>44</v>
      </c>
      <c r="E521" t="s">
        <v>44</v>
      </c>
      <c r="F521" s="14">
        <v>125.19159581785789</v>
      </c>
      <c r="G521" s="14">
        <v>135.68775595606746</v>
      </c>
      <c r="H521" s="14">
        <v>147.20338767020834</v>
      </c>
      <c r="I521" s="14">
        <v>159.63450359228204</v>
      </c>
      <c r="J521" s="14">
        <v>172.87563473634975</v>
      </c>
      <c r="K521" s="14">
        <v>187.21210296099497</v>
      </c>
      <c r="L521" s="14">
        <v>202.90512931314856</v>
      </c>
      <c r="M521" s="14">
        <v>220.43747442700305</v>
      </c>
      <c r="N521" s="14">
        <v>240.01909913366308</v>
      </c>
      <c r="O521" s="14">
        <v>261.53094285044864</v>
      </c>
      <c r="P521" s="14">
        <v>285.07682755413589</v>
      </c>
      <c r="Q521" s="14">
        <v>310.49268486712197</v>
      </c>
      <c r="R521" s="14">
        <v>337.85249384321435</v>
      </c>
      <c r="S521" s="22"/>
      <c r="T521" s="22"/>
    </row>
    <row r="522" spans="1:20" x14ac:dyDescent="0.35">
      <c r="A522" t="s">
        <v>39</v>
      </c>
      <c r="B522" s="17" t="s">
        <v>54</v>
      </c>
      <c r="C522" s="13" t="s">
        <v>55</v>
      </c>
      <c r="D522" s="13" t="s">
        <v>55</v>
      </c>
      <c r="E522" s="13" t="s">
        <v>55</v>
      </c>
      <c r="F522" s="14">
        <v>40.768500277162303</v>
      </c>
      <c r="G522" s="14">
        <v>46.593390263975941</v>
      </c>
      <c r="H522" s="14">
        <v>53.34371111995987</v>
      </c>
      <c r="I522" s="14">
        <v>61.054218459230064</v>
      </c>
      <c r="J522" s="14">
        <v>69.797826873567004</v>
      </c>
      <c r="K522" s="14">
        <v>79.60748474950303</v>
      </c>
      <c r="L522" s="14">
        <v>90.822365899319891</v>
      </c>
      <c r="M522" s="14">
        <v>103.79881306095427</v>
      </c>
      <c r="N522" s="14">
        <v>118.97529496321609</v>
      </c>
      <c r="O522" s="14">
        <v>136.68800613665246</v>
      </c>
      <c r="P522" s="14">
        <v>157.08329917854817</v>
      </c>
      <c r="Q522" s="14">
        <v>180.31234078353864</v>
      </c>
      <c r="R522" s="14">
        <v>206.74105694709374</v>
      </c>
      <c r="S522" s="22"/>
      <c r="T522" s="22"/>
    </row>
    <row r="523" spans="1:20" x14ac:dyDescent="0.35">
      <c r="A523" t="s">
        <v>39</v>
      </c>
      <c r="B523" s="17" t="s">
        <v>54</v>
      </c>
      <c r="C523" s="13" t="s">
        <v>56</v>
      </c>
      <c r="D523" s="13" t="s">
        <v>56</v>
      </c>
      <c r="E523" s="13" t="s">
        <v>56</v>
      </c>
      <c r="F523" s="14">
        <v>116.03697620632497</v>
      </c>
      <c r="G523" s="14">
        <v>129.59905541289655</v>
      </c>
      <c r="H523" s="14">
        <v>145.00543084658986</v>
      </c>
      <c r="I523" s="14">
        <v>162.19493821987825</v>
      </c>
      <c r="J523" s="14">
        <v>181.20589669099127</v>
      </c>
      <c r="K523" s="14">
        <v>201.96192440109016</v>
      </c>
      <c r="L523" s="14">
        <v>225.16274884018679</v>
      </c>
      <c r="M523" s="14">
        <v>251.47914499230873</v>
      </c>
      <c r="N523" s="14">
        <v>281.70959218610233</v>
      </c>
      <c r="O523" s="14">
        <v>316.32528374644056</v>
      </c>
      <c r="P523" s="14">
        <v>355.29989701843306</v>
      </c>
      <c r="Q523" s="14">
        <v>398.60286076507901</v>
      </c>
      <c r="R523" s="14">
        <v>446.66315128611336</v>
      </c>
      <c r="S523" s="22"/>
      <c r="T523" s="22"/>
    </row>
    <row r="524" spans="1:20" x14ac:dyDescent="0.35">
      <c r="A524" t="s">
        <v>39</v>
      </c>
      <c r="B524" s="17" t="s">
        <v>54</v>
      </c>
      <c r="C524" s="13" t="s">
        <v>57</v>
      </c>
      <c r="D524" s="13" t="s">
        <v>57</v>
      </c>
      <c r="E524" s="13" t="s">
        <v>57</v>
      </c>
      <c r="F524" s="14">
        <v>284.36533541650959</v>
      </c>
      <c r="G524" s="14">
        <v>312.7772048829753</v>
      </c>
      <c r="H524" s="14">
        <v>344.54909236924868</v>
      </c>
      <c r="I524" s="14">
        <v>380.12261454192981</v>
      </c>
      <c r="J524" s="14">
        <v>420.12922714281677</v>
      </c>
      <c r="K524" s="14">
        <v>465.46674428604831</v>
      </c>
      <c r="L524" s="14">
        <v>516.78287005735012</v>
      </c>
      <c r="M524" s="14">
        <v>574.78998993825235</v>
      </c>
      <c r="N524" s="14">
        <v>639.49980844005336</v>
      </c>
      <c r="O524" s="14">
        <v>711.06832076146486</v>
      </c>
      <c r="P524" s="14">
        <v>789.22416241507187</v>
      </c>
      <c r="Q524" s="14">
        <v>874.12884485480947</v>
      </c>
      <c r="R524" s="14">
        <v>966.79687434796654</v>
      </c>
      <c r="S524" s="22"/>
      <c r="T524" s="22"/>
    </row>
    <row r="525" spans="1:20" x14ac:dyDescent="0.35">
      <c r="A525" t="s">
        <v>39</v>
      </c>
      <c r="B525" s="17" t="s">
        <v>59</v>
      </c>
      <c r="C525" s="18" t="s">
        <v>60</v>
      </c>
      <c r="D525" s="38" t="s">
        <v>61</v>
      </c>
      <c r="E525" s="39" t="s">
        <v>62</v>
      </c>
      <c r="F525" s="22">
        <v>15.923980943936334</v>
      </c>
      <c r="G525" s="22">
        <v>18.161527118381471</v>
      </c>
      <c r="H525" s="22">
        <v>20.71680992948469</v>
      </c>
      <c r="I525" s="22">
        <v>23.688271882032051</v>
      </c>
      <c r="J525" s="22">
        <v>27.132945476979668</v>
      </c>
      <c r="K525" s="22">
        <v>31.112491673966492</v>
      </c>
      <c r="L525" s="22">
        <v>35.681979155604864</v>
      </c>
      <c r="M525" s="22">
        <v>40.892850076647036</v>
      </c>
      <c r="N525" s="22">
        <v>46.82484268451325</v>
      </c>
      <c r="O525" s="22">
        <v>53.679011087799495</v>
      </c>
      <c r="P525" s="22">
        <v>61.61222746679524</v>
      </c>
      <c r="Q525" s="22">
        <v>70.724894145177146</v>
      </c>
      <c r="R525" s="22">
        <v>81.127346896244944</v>
      </c>
      <c r="S525" s="22"/>
      <c r="T525" s="22"/>
    </row>
    <row r="526" spans="1:20" x14ac:dyDescent="0.35">
      <c r="A526" t="s">
        <v>39</v>
      </c>
      <c r="B526" s="17" t="s">
        <v>59</v>
      </c>
      <c r="C526" s="18" t="s">
        <v>60</v>
      </c>
      <c r="D526" s="38" t="s">
        <v>61</v>
      </c>
      <c r="E526" s="39" t="s">
        <v>63</v>
      </c>
      <c r="F526" s="22">
        <v>31.604007611763073</v>
      </c>
      <c r="G526" s="22">
        <v>35.130291671539254</v>
      </c>
      <c r="H526" s="22">
        <v>39.108578827084195</v>
      </c>
      <c r="I526" s="22">
        <v>43.602563237952772</v>
      </c>
      <c r="J526" s="22">
        <v>48.700158548425058</v>
      </c>
      <c r="K526" s="22">
        <v>54.523583112499985</v>
      </c>
      <c r="L526" s="22">
        <v>61.170577691829365</v>
      </c>
      <c r="M526" s="22">
        <v>68.750251530083233</v>
      </c>
      <c r="N526" s="22">
        <v>77.292042918678447</v>
      </c>
      <c r="O526" s="22">
        <v>86.843570761371552</v>
      </c>
      <c r="P526" s="22">
        <v>97.401761737740742</v>
      </c>
      <c r="Q526" s="22">
        <v>109.01631635797104</v>
      </c>
      <c r="R526" s="22">
        <v>121.84488948153067</v>
      </c>
      <c r="S526" s="22"/>
      <c r="T526" s="22"/>
    </row>
    <row r="527" spans="1:20" x14ac:dyDescent="0.35">
      <c r="A527" t="s">
        <v>39</v>
      </c>
      <c r="B527" s="17" t="s">
        <v>59</v>
      </c>
      <c r="C527" s="18" t="s">
        <v>60</v>
      </c>
      <c r="D527" s="38" t="s">
        <v>61</v>
      </c>
      <c r="E527" s="39" t="s">
        <v>64</v>
      </c>
      <c r="F527" s="22">
        <v>41.987537968863393</v>
      </c>
      <c r="G527" s="22">
        <v>45.70978761198127</v>
      </c>
      <c r="H527" s="22">
        <v>50.699068342399812</v>
      </c>
      <c r="I527" s="22">
        <v>56.643014763000963</v>
      </c>
      <c r="J527" s="22">
        <v>63.310206112952542</v>
      </c>
      <c r="K527" s="22">
        <v>70.165493653328411</v>
      </c>
      <c r="L527" s="22">
        <v>77.437178509140054</v>
      </c>
      <c r="M527" s="22">
        <v>85.668089060333855</v>
      </c>
      <c r="N527" s="22">
        <v>95.430503232663341</v>
      </c>
      <c r="O527" s="22">
        <v>106.76561966561417</v>
      </c>
      <c r="P527" s="22">
        <v>118.17996829358523</v>
      </c>
      <c r="Q527" s="22">
        <v>128.78374266094181</v>
      </c>
      <c r="R527" s="22">
        <v>139.30878628731477</v>
      </c>
      <c r="S527" s="22"/>
      <c r="T527" s="22"/>
    </row>
    <row r="528" spans="1:20" x14ac:dyDescent="0.35">
      <c r="A528" t="s">
        <v>39</v>
      </c>
      <c r="B528" s="17" t="s">
        <v>59</v>
      </c>
      <c r="C528" s="18" t="s">
        <v>60</v>
      </c>
      <c r="D528" s="38" t="s">
        <v>65</v>
      </c>
      <c r="E528" s="38" t="s">
        <v>65</v>
      </c>
      <c r="F528" s="41">
        <v>80.293174349062497</v>
      </c>
      <c r="G528" s="41">
        <v>89.13279411953134</v>
      </c>
      <c r="H528" s="41">
        <v>99.056999499119939</v>
      </c>
      <c r="I528" s="41">
        <v>110.01189097990061</v>
      </c>
      <c r="J528" s="41">
        <v>121.9582798025442</v>
      </c>
      <c r="K528" s="41">
        <v>135.14096930322782</v>
      </c>
      <c r="L528" s="41">
        <v>149.81616987277593</v>
      </c>
      <c r="M528" s="41">
        <v>166.53442533842048</v>
      </c>
      <c r="N528" s="41">
        <v>185.65953783977955</v>
      </c>
      <c r="O528" s="41">
        <v>207.12025726283835</v>
      </c>
      <c r="P528" s="41">
        <v>231.21699998036482</v>
      </c>
      <c r="Q528" s="41">
        <v>257.88598402336964</v>
      </c>
      <c r="R528" s="41">
        <v>287.24418760730157</v>
      </c>
      <c r="S528" s="22"/>
      <c r="T528" s="22"/>
    </row>
    <row r="529" spans="1:20" x14ac:dyDescent="0.35">
      <c r="A529" t="s">
        <v>39</v>
      </c>
      <c r="B529" s="17" t="s">
        <v>59</v>
      </c>
      <c r="C529" s="18" t="s">
        <v>60</v>
      </c>
      <c r="D529" s="38" t="s">
        <v>66</v>
      </c>
      <c r="E529" s="38" t="s">
        <v>66</v>
      </c>
      <c r="F529" s="41">
        <v>50.869621499797219</v>
      </c>
      <c r="G529" s="41">
        <v>56.093244060278892</v>
      </c>
      <c r="H529" s="41">
        <v>61.641388224402533</v>
      </c>
      <c r="I529" s="41">
        <v>67.630325592371449</v>
      </c>
      <c r="J529" s="41">
        <v>74.283679516095106</v>
      </c>
      <c r="K529" s="41">
        <v>81.845109973930661</v>
      </c>
      <c r="L529" s="41">
        <v>90.531761576293022</v>
      </c>
      <c r="M529" s="41">
        <v>100.33819567353805</v>
      </c>
      <c r="N529" s="41">
        <v>111.1356379531489</v>
      </c>
      <c r="O529" s="41">
        <v>122.98337474101477</v>
      </c>
      <c r="P529" s="41">
        <v>136.08264406820453</v>
      </c>
      <c r="Q529" s="41">
        <v>150.67549522027448</v>
      </c>
      <c r="R529" s="41">
        <v>166.78004211458642</v>
      </c>
      <c r="S529" s="22"/>
      <c r="T529" s="22"/>
    </row>
    <row r="530" spans="1:20" x14ac:dyDescent="0.35">
      <c r="A530" t="s">
        <v>39</v>
      </c>
      <c r="B530" s="17" t="s">
        <v>59</v>
      </c>
      <c r="C530" s="18" t="s">
        <v>60</v>
      </c>
      <c r="D530" s="38" t="s">
        <v>67</v>
      </c>
      <c r="E530" s="38" t="s">
        <v>67</v>
      </c>
      <c r="F530" s="41">
        <v>33.161274983338437</v>
      </c>
      <c r="G530" s="41">
        <v>36.119955199346187</v>
      </c>
      <c r="H530" s="41">
        <v>39.402811578782995</v>
      </c>
      <c r="I530" s="41">
        <v>43.049710279157402</v>
      </c>
      <c r="J530" s="41">
        <v>47.120244469164803</v>
      </c>
      <c r="K530" s="41">
        <v>51.701319057934001</v>
      </c>
      <c r="L530" s="41">
        <v>56.848406448056387</v>
      </c>
      <c r="M530" s="41">
        <v>62.621605210012362</v>
      </c>
      <c r="N530" s="41">
        <v>69.00197086118844</v>
      </c>
      <c r="O530" s="41">
        <v>75.986415401706111</v>
      </c>
      <c r="P530" s="41">
        <v>83.52585917222865</v>
      </c>
      <c r="Q530" s="41">
        <v>91.618479989889835</v>
      </c>
      <c r="R530" s="41">
        <v>100.35151153620804</v>
      </c>
      <c r="S530" s="22"/>
      <c r="T530" s="22"/>
    </row>
    <row r="531" spans="1:20" x14ac:dyDescent="0.35">
      <c r="A531" t="s">
        <v>39</v>
      </c>
      <c r="B531" s="17" t="s">
        <v>59</v>
      </c>
      <c r="C531" s="18" t="s">
        <v>60</v>
      </c>
      <c r="D531" s="38" t="s">
        <v>68</v>
      </c>
      <c r="E531" s="38" t="s">
        <v>68</v>
      </c>
      <c r="F531" s="41">
        <v>54.09125647861265</v>
      </c>
      <c r="G531" s="41">
        <v>60.624892275366832</v>
      </c>
      <c r="H531" s="41">
        <v>68.011232045975845</v>
      </c>
      <c r="I531" s="41">
        <v>76.393848685096771</v>
      </c>
      <c r="J531" s="41">
        <v>85.925151679065223</v>
      </c>
      <c r="K531" s="41">
        <v>96.78270181847931</v>
      </c>
      <c r="L531" s="41">
        <v>109.15969645820712</v>
      </c>
      <c r="M531" s="41">
        <v>123.19566711665468</v>
      </c>
      <c r="N531" s="41">
        <v>139.03435750911768</v>
      </c>
      <c r="O531" s="41">
        <v>156.84546460612219</v>
      </c>
      <c r="P531" s="41">
        <v>176.80832009205176</v>
      </c>
      <c r="Q531" s="41">
        <v>199.21727368402156</v>
      </c>
      <c r="R531" s="41">
        <v>224.27313358757635</v>
      </c>
      <c r="S531" s="22"/>
      <c r="T531" s="22"/>
    </row>
    <row r="532" spans="1:20" x14ac:dyDescent="0.35">
      <c r="A532" t="s">
        <v>39</v>
      </c>
      <c r="B532" s="17" t="s">
        <v>59</v>
      </c>
      <c r="C532" s="18" t="s">
        <v>60</v>
      </c>
      <c r="D532" s="38" t="s">
        <v>69</v>
      </c>
      <c r="E532" s="38" t="s">
        <v>69</v>
      </c>
      <c r="F532" s="41">
        <v>61.94846092511078</v>
      </c>
      <c r="G532" s="41">
        <v>67.439395211069524</v>
      </c>
      <c r="H532" s="41">
        <v>73.162300004046756</v>
      </c>
      <c r="I532" s="41">
        <v>79.242700570680796</v>
      </c>
      <c r="J532" s="41">
        <v>85.925151679065223</v>
      </c>
      <c r="K532" s="41">
        <v>93.464390278098733</v>
      </c>
      <c r="L532" s="41">
        <v>102.07114363298521</v>
      </c>
      <c r="M532" s="41">
        <v>111.69349511199319</v>
      </c>
      <c r="N532" s="41">
        <v>122.14366619671584</v>
      </c>
      <c r="O532" s="41">
        <v>133.44888734674907</v>
      </c>
      <c r="P532" s="41">
        <v>145.7879952661855</v>
      </c>
      <c r="Q532" s="41">
        <v>159.3733758745621</v>
      </c>
      <c r="R532" s="41">
        <v>174.1684808130413</v>
      </c>
      <c r="S532" s="22"/>
      <c r="T532" s="22"/>
    </row>
    <row r="533" spans="1:20" x14ac:dyDescent="0.35">
      <c r="A533" t="s">
        <v>39</v>
      </c>
      <c r="B533" s="17" t="s">
        <v>59</v>
      </c>
      <c r="C533" s="18" t="s">
        <v>70</v>
      </c>
      <c r="D533" s="19" t="s">
        <v>71</v>
      </c>
      <c r="E533" s="19" t="s">
        <v>71</v>
      </c>
      <c r="F533" s="22">
        <v>10.453272339602467</v>
      </c>
      <c r="G533" s="22">
        <v>11.971939032907184</v>
      </c>
      <c r="H533" s="22">
        <v>13.713434640566639</v>
      </c>
      <c r="I533" s="22">
        <v>15.745760517912926</v>
      </c>
      <c r="J533" s="22">
        <v>18.110522674838517</v>
      </c>
      <c r="K533" s="22">
        <v>20.853101173898533</v>
      </c>
      <c r="L533" s="22">
        <v>24.01520459739713</v>
      </c>
      <c r="M533" s="22">
        <v>27.63678641677836</v>
      </c>
      <c r="N533" s="22">
        <v>31.777580412277857</v>
      </c>
      <c r="O533" s="22">
        <v>36.580637904369041</v>
      </c>
      <c r="P533" s="22">
        <v>42.161275021032019</v>
      </c>
      <c r="Q533" s="22">
        <v>48.598068864393731</v>
      </c>
      <c r="R533" s="22">
        <v>55.977712050408286</v>
      </c>
      <c r="S533" s="22"/>
      <c r="T533" s="22"/>
    </row>
    <row r="534" spans="1:20" x14ac:dyDescent="0.35">
      <c r="A534" t="s">
        <v>39</v>
      </c>
      <c r="B534" s="17" t="s">
        <v>59</v>
      </c>
      <c r="C534" s="18" t="s">
        <v>70</v>
      </c>
      <c r="D534" s="19" t="s">
        <v>72</v>
      </c>
      <c r="E534" s="19" t="s">
        <v>72</v>
      </c>
      <c r="F534" s="22">
        <v>8.1377715544198317</v>
      </c>
      <c r="G534" s="22">
        <v>9.4418995954612921</v>
      </c>
      <c r="H534" s="22">
        <v>10.973905991028289</v>
      </c>
      <c r="I534" s="22">
        <v>12.750831896682431</v>
      </c>
      <c r="J534" s="22">
        <v>14.798481563097619</v>
      </c>
      <c r="K534" s="22">
        <v>17.135499639691933</v>
      </c>
      <c r="L534" s="22">
        <v>19.847298056091947</v>
      </c>
      <c r="M534" s="22">
        <v>23.027949879599973</v>
      </c>
      <c r="N534" s="22">
        <v>26.795080591691491</v>
      </c>
      <c r="O534" s="22">
        <v>31.24992786615519</v>
      </c>
      <c r="P534" s="22">
        <v>36.45583759585142</v>
      </c>
      <c r="Q534" s="22">
        <v>42.480389419584561</v>
      </c>
      <c r="R534" s="22">
        <v>49.445083588048121</v>
      </c>
      <c r="S534" s="14"/>
      <c r="T534" s="14"/>
    </row>
    <row r="535" spans="1:20" x14ac:dyDescent="0.35">
      <c r="A535" t="s">
        <v>39</v>
      </c>
      <c r="B535" s="17" t="s">
        <v>59</v>
      </c>
      <c r="C535" s="18" t="s">
        <v>70</v>
      </c>
      <c r="D535" s="19" t="s">
        <v>73</v>
      </c>
      <c r="E535" s="19" t="s">
        <v>73</v>
      </c>
      <c r="F535" s="22">
        <v>7.5754499803329702</v>
      </c>
      <c r="G535" s="22">
        <v>8.4999830367917397</v>
      </c>
      <c r="H535" s="22">
        <v>9.5543491418081814</v>
      </c>
      <c r="I535" s="22">
        <v>10.736317534598044</v>
      </c>
      <c r="J535" s="22">
        <v>12.05019212995092</v>
      </c>
      <c r="K535" s="22">
        <v>13.492720453831819</v>
      </c>
      <c r="L535" s="22">
        <v>15.112431395780687</v>
      </c>
      <c r="M535" s="22">
        <v>16.95680267737292</v>
      </c>
      <c r="N535" s="22">
        <v>19.082789826728767</v>
      </c>
      <c r="O535" s="22">
        <v>21.526213566734484</v>
      </c>
      <c r="P535" s="22">
        <v>24.28967679599187</v>
      </c>
      <c r="Q535" s="22">
        <v>27.375517946988289</v>
      </c>
      <c r="R535" s="22">
        <v>30.81765984122675</v>
      </c>
      <c r="S535" s="14"/>
      <c r="T535" s="14"/>
    </row>
    <row r="536" spans="1:20" x14ac:dyDescent="0.35">
      <c r="A536" t="s">
        <v>39</v>
      </c>
      <c r="B536" s="17" t="s">
        <v>59</v>
      </c>
      <c r="C536" s="18" t="s">
        <v>70</v>
      </c>
      <c r="D536" s="19" t="s">
        <v>74</v>
      </c>
      <c r="E536" s="19" t="s">
        <v>74</v>
      </c>
      <c r="F536" s="22">
        <v>8.5975808021925282</v>
      </c>
      <c r="G536" s="22">
        <v>9.7197546433131112</v>
      </c>
      <c r="H536" s="22">
        <v>11.007836419975085</v>
      </c>
      <c r="I536" s="22">
        <v>12.462948150913421</v>
      </c>
      <c r="J536" s="22">
        <v>14.093791964854876</v>
      </c>
      <c r="K536" s="22">
        <v>15.90045702025408</v>
      </c>
      <c r="L536" s="22">
        <v>17.944016296540713</v>
      </c>
      <c r="M536" s="22">
        <v>20.286106025721779</v>
      </c>
      <c r="N536" s="22">
        <v>23.001510452825656</v>
      </c>
      <c r="O536" s="22">
        <v>26.141723732086891</v>
      </c>
      <c r="P536" s="22">
        <v>29.719359262542305</v>
      </c>
      <c r="Q536" s="22">
        <v>33.746987650018987</v>
      </c>
      <c r="R536" s="22">
        <v>38.276396694259681</v>
      </c>
      <c r="S536" s="14"/>
      <c r="T536" s="14"/>
    </row>
    <row r="537" spans="1:20" x14ac:dyDescent="0.35">
      <c r="A537" t="s">
        <v>39</v>
      </c>
      <c r="B537" s="17" t="s">
        <v>59</v>
      </c>
      <c r="C537" s="18" t="s">
        <v>70</v>
      </c>
      <c r="D537" s="19" t="s">
        <v>75</v>
      </c>
      <c r="E537" s="19" t="s">
        <v>75</v>
      </c>
      <c r="F537" s="22">
        <v>6.810856382102604</v>
      </c>
      <c r="G537" s="22">
        <v>7.7368606183882154</v>
      </c>
      <c r="H537" s="22">
        <v>8.7968697007339109</v>
      </c>
      <c r="I537" s="22">
        <v>10.014570367224476</v>
      </c>
      <c r="J537" s="22">
        <v>11.415971491532449</v>
      </c>
      <c r="K537" s="22">
        <v>13.031690584804375</v>
      </c>
      <c r="L537" s="22">
        <v>14.895942571797921</v>
      </c>
      <c r="M537" s="22">
        <v>17.037277319379022</v>
      </c>
      <c r="N537" s="22">
        <v>19.486151164091805</v>
      </c>
      <c r="O537" s="22">
        <v>22.278062528621227</v>
      </c>
      <c r="P537" s="22">
        <v>25.451530764033738</v>
      </c>
      <c r="Q537" s="22">
        <v>29.063418850644069</v>
      </c>
      <c r="R537" s="22">
        <v>33.159687521842962</v>
      </c>
      <c r="S537" s="14"/>
      <c r="T537" s="14"/>
    </row>
    <row r="538" spans="1:20" x14ac:dyDescent="0.35">
      <c r="A538" t="s">
        <v>39</v>
      </c>
      <c r="B538" s="17" t="s">
        <v>59</v>
      </c>
      <c r="C538" s="18" t="s">
        <v>76</v>
      </c>
      <c r="D538" s="19" t="s">
        <v>77</v>
      </c>
      <c r="E538" s="19" t="s">
        <v>77</v>
      </c>
      <c r="F538" s="22">
        <v>8.4570766745490609</v>
      </c>
      <c r="G538" s="22">
        <v>9.4777368998456488</v>
      </c>
      <c r="H538" s="22">
        <v>10.63150672567407</v>
      </c>
      <c r="I538" s="22">
        <v>11.940791721068857</v>
      </c>
      <c r="J538" s="22">
        <v>13.429370343654575</v>
      </c>
      <c r="K538" s="22">
        <v>15.124943148020531</v>
      </c>
      <c r="L538" s="22">
        <v>17.057644045643102</v>
      </c>
      <c r="M538" s="22">
        <v>19.249209758353604</v>
      </c>
      <c r="N538" s="22">
        <v>21.722026963014237</v>
      </c>
      <c r="O538" s="22">
        <v>24.502528662771788</v>
      </c>
      <c r="P538" s="22">
        <v>27.618643013038948</v>
      </c>
      <c r="Q538" s="22">
        <v>31.116254174092717</v>
      </c>
      <c r="R538" s="22">
        <v>35.026618680099745</v>
      </c>
      <c r="S538" s="14"/>
      <c r="T538" s="14"/>
    </row>
    <row r="539" spans="1:20" x14ac:dyDescent="0.35">
      <c r="A539" t="s">
        <v>39</v>
      </c>
      <c r="B539" s="17" t="s">
        <v>59</v>
      </c>
      <c r="C539" s="18" t="s">
        <v>76</v>
      </c>
      <c r="D539" s="19" t="s">
        <v>78</v>
      </c>
      <c r="E539" s="19" t="s">
        <v>78</v>
      </c>
      <c r="F539" s="22">
        <v>8.1180462942014913</v>
      </c>
      <c r="G539" s="22">
        <v>8.9949763532453169</v>
      </c>
      <c r="H539" s="22">
        <v>9.9326588445121011</v>
      </c>
      <c r="I539" s="22">
        <v>10.950692308476484</v>
      </c>
      <c r="J539" s="22">
        <v>12.086433309289118</v>
      </c>
      <c r="K539" s="22">
        <v>13.381217794835374</v>
      </c>
      <c r="L539" s="22">
        <v>14.872836519073475</v>
      </c>
      <c r="M539" s="22">
        <v>16.56322647666649</v>
      </c>
      <c r="N539" s="22">
        <v>18.433981761651843</v>
      </c>
      <c r="O539" s="22">
        <v>20.49751704137595</v>
      </c>
      <c r="P539" s="22">
        <v>22.790130315457013</v>
      </c>
      <c r="Q539" s="22">
        <v>25.355638789110156</v>
      </c>
      <c r="R539" s="22">
        <v>28.201001468766389</v>
      </c>
      <c r="S539" s="14"/>
      <c r="T539" s="14"/>
    </row>
    <row r="540" spans="1:20" x14ac:dyDescent="0.35">
      <c r="A540" t="s">
        <v>39</v>
      </c>
      <c r="B540" s="17" t="s">
        <v>59</v>
      </c>
      <c r="C540" s="18" t="s">
        <v>76</v>
      </c>
      <c r="D540" s="19" t="s">
        <v>79</v>
      </c>
      <c r="E540" s="19" t="s">
        <v>79</v>
      </c>
      <c r="F540" s="22">
        <v>4.6959480731337422</v>
      </c>
      <c r="G540" s="22">
        <v>5.3651875716745936</v>
      </c>
      <c r="H540" s="22">
        <v>6.1307868238062175</v>
      </c>
      <c r="I540" s="22">
        <v>7.0224019199375878</v>
      </c>
      <c r="J540" s="22">
        <v>8.0576222061927449</v>
      </c>
      <c r="K540" s="22">
        <v>9.2555361548636217</v>
      </c>
      <c r="L540" s="22">
        <v>10.633406581566991</v>
      </c>
      <c r="M540" s="22">
        <v>12.20753874745825</v>
      </c>
      <c r="N540" s="22">
        <v>14.002802016615828</v>
      </c>
      <c r="O540" s="22">
        <v>16.080522208830786</v>
      </c>
      <c r="P540" s="22">
        <v>18.489222231607091</v>
      </c>
      <c r="Q540" s="22">
        <v>21.260822134610599</v>
      </c>
      <c r="R540" s="22">
        <v>24.430456238746615</v>
      </c>
      <c r="S540" s="14"/>
      <c r="T540" s="14"/>
    </row>
    <row r="541" spans="1:20" x14ac:dyDescent="0.35">
      <c r="A541" t="s">
        <v>39</v>
      </c>
      <c r="B541" s="17" t="s">
        <v>59</v>
      </c>
      <c r="C541" s="18" t="s">
        <v>76</v>
      </c>
      <c r="D541" s="19" t="s">
        <v>80</v>
      </c>
      <c r="E541" s="19" t="s">
        <v>80</v>
      </c>
      <c r="F541" s="22">
        <v>4.1190676442308725</v>
      </c>
      <c r="G541" s="22">
        <v>4.520735419467937</v>
      </c>
      <c r="H541" s="22">
        <v>4.962400303992907</v>
      </c>
      <c r="I541" s="22">
        <v>5.4607861203622798</v>
      </c>
      <c r="J541" s="22">
        <v>6.0200625678451543</v>
      </c>
      <c r="K541" s="22">
        <v>6.6441529323335846</v>
      </c>
      <c r="L541" s="22">
        <v>7.3342802067903836</v>
      </c>
      <c r="M541" s="22">
        <v>8.0899786813611563</v>
      </c>
      <c r="N541" s="22">
        <v>8.9156568965678851</v>
      </c>
      <c r="O541" s="22">
        <v>9.8373475923916782</v>
      </c>
      <c r="P541" s="22">
        <v>10.86820239082317</v>
      </c>
      <c r="Q541" s="22">
        <v>12.00831531776943</v>
      </c>
      <c r="R541" s="22">
        <v>13.258180730844337</v>
      </c>
      <c r="S541" s="22"/>
      <c r="T541" s="22"/>
    </row>
    <row r="542" spans="1:20" x14ac:dyDescent="0.35">
      <c r="A542" t="s">
        <v>39</v>
      </c>
      <c r="B542" s="17" t="s">
        <v>59</v>
      </c>
      <c r="C542" s="18" t="s">
        <v>76</v>
      </c>
      <c r="D542" s="19" t="s">
        <v>81</v>
      </c>
      <c r="E542" s="19" t="s">
        <v>81</v>
      </c>
      <c r="F542" s="22">
        <v>4.3264273947468803</v>
      </c>
      <c r="G542" s="22">
        <v>4.8286901212579938</v>
      </c>
      <c r="H542" s="22">
        <v>5.3952972924042077</v>
      </c>
      <c r="I542" s="22">
        <v>6.0243446936687617</v>
      </c>
      <c r="J542" s="22">
        <v>6.7146851718272869</v>
      </c>
      <c r="K542" s="22">
        <v>7.4807756626422002</v>
      </c>
      <c r="L542" s="22">
        <v>8.3380111812824982</v>
      </c>
      <c r="M542" s="22">
        <v>9.3184928911409131</v>
      </c>
      <c r="N542" s="22">
        <v>10.444556308100976</v>
      </c>
      <c r="O542" s="22">
        <v>11.714528668005213</v>
      </c>
      <c r="P542" s="22">
        <v>13.14770514451903</v>
      </c>
      <c r="Q542" s="22">
        <v>14.743071300007115</v>
      </c>
      <c r="R542" s="22">
        <v>16.509907443126536</v>
      </c>
      <c r="S542" s="22"/>
      <c r="T542" s="22"/>
    </row>
    <row r="543" spans="1:20" x14ac:dyDescent="0.35">
      <c r="A543" t="s">
        <v>39</v>
      </c>
      <c r="B543" s="17" t="s">
        <v>47</v>
      </c>
      <c r="C543" s="13" t="s">
        <v>82</v>
      </c>
      <c r="D543" s="13" t="s">
        <v>82</v>
      </c>
      <c r="E543" s="13" t="s">
        <v>82</v>
      </c>
      <c r="F543" s="14">
        <v>156.80547648348727</v>
      </c>
      <c r="G543" s="14">
        <v>176.1924456768725</v>
      </c>
      <c r="H543" s="14">
        <v>198.34914196654972</v>
      </c>
      <c r="I543" s="14">
        <v>223.24915667910832</v>
      </c>
      <c r="J543" s="14">
        <v>251.00372356455827</v>
      </c>
      <c r="K543" s="14">
        <v>281.56940915059317</v>
      </c>
      <c r="L543" s="14">
        <v>315.98511473950668</v>
      </c>
      <c r="M543" s="14">
        <v>355.27795805326298</v>
      </c>
      <c r="N543" s="14">
        <v>400.6848871493184</v>
      </c>
      <c r="O543" s="14">
        <v>453.01328988309302</v>
      </c>
      <c r="P543" s="14">
        <v>512.3831961969812</v>
      </c>
      <c r="Q543" s="14">
        <v>578.91520154861769</v>
      </c>
      <c r="R543" s="14">
        <v>653.4042082332071</v>
      </c>
      <c r="S543" s="22"/>
      <c r="T543" s="22"/>
    </row>
    <row r="544" spans="1:20" x14ac:dyDescent="0.35">
      <c r="A544" t="s">
        <v>39</v>
      </c>
      <c r="B544" s="17" t="s">
        <v>47</v>
      </c>
      <c r="C544" s="13" t="s">
        <v>83</v>
      </c>
      <c r="D544" s="13" t="s">
        <v>83</v>
      </c>
      <c r="E544" s="13" t="s">
        <v>83</v>
      </c>
      <c r="F544" s="14">
        <v>284.36533541650959</v>
      </c>
      <c r="G544" s="14">
        <v>312.7772048829753</v>
      </c>
      <c r="H544" s="14">
        <v>344.54909236924868</v>
      </c>
      <c r="I544" s="14">
        <v>380.12261454192981</v>
      </c>
      <c r="J544" s="14">
        <v>420.12922714281677</v>
      </c>
      <c r="K544" s="14">
        <v>465.46674428604831</v>
      </c>
      <c r="L544" s="14">
        <v>516.78287005735012</v>
      </c>
      <c r="M544" s="14">
        <v>574.78998993825235</v>
      </c>
      <c r="N544" s="14">
        <v>639.49980844005336</v>
      </c>
      <c r="O544" s="14">
        <v>711.06832076146486</v>
      </c>
      <c r="P544" s="14">
        <v>789.22416241507187</v>
      </c>
      <c r="Q544" s="14">
        <v>874.12884485480947</v>
      </c>
      <c r="R544" s="14">
        <v>966.79687434796654</v>
      </c>
      <c r="S544" s="22"/>
      <c r="T544" s="22"/>
    </row>
    <row r="545" spans="1:20" x14ac:dyDescent="0.35">
      <c r="A545" t="s">
        <v>39</v>
      </c>
      <c r="B545" s="17" t="s">
        <v>84</v>
      </c>
      <c r="C545" s="13" t="s">
        <v>85</v>
      </c>
      <c r="D545" s="13" t="s">
        <v>85</v>
      </c>
      <c r="E545" s="13" t="s">
        <v>85</v>
      </c>
      <c r="F545" s="14">
        <v>27.039854753233907</v>
      </c>
      <c r="G545" s="14">
        <v>29.588254925398353</v>
      </c>
      <c r="H545" s="14">
        <v>32.429136457296103</v>
      </c>
      <c r="I545" s="14">
        <v>35.556309428959707</v>
      </c>
      <c r="J545" s="14">
        <v>38.925711141027755</v>
      </c>
      <c r="K545" s="14">
        <v>42.593675998144583</v>
      </c>
      <c r="L545" s="14">
        <v>46.611444789237424</v>
      </c>
      <c r="M545" s="14">
        <v>51.075346473265995</v>
      </c>
      <c r="N545" s="14">
        <v>56.044436613656821</v>
      </c>
      <c r="O545" s="14">
        <v>61.563409729176513</v>
      </c>
      <c r="P545" s="14">
        <v>67.601598739420211</v>
      </c>
      <c r="Q545" s="14">
        <v>74.125101646416724</v>
      </c>
      <c r="R545" s="14">
        <v>81.218853699224397</v>
      </c>
      <c r="S545" s="22"/>
      <c r="T545" s="22"/>
    </row>
    <row r="546" spans="1:20" x14ac:dyDescent="0.35">
      <c r="A546" t="s">
        <v>39</v>
      </c>
      <c r="B546" s="17" t="s">
        <v>84</v>
      </c>
      <c r="C546" s="13" t="s">
        <v>86</v>
      </c>
      <c r="D546" s="13" t="s">
        <v>86</v>
      </c>
      <c r="E546" s="13" t="s">
        <v>86</v>
      </c>
      <c r="F546" s="14">
        <v>81.17681753579906</v>
      </c>
      <c r="G546" s="14">
        <v>88.564825320971451</v>
      </c>
      <c r="H546" s="14">
        <v>96.772833349600418</v>
      </c>
      <c r="I546" s="14">
        <v>105.90283093752839</v>
      </c>
      <c r="J546" s="14">
        <v>116.10600047237587</v>
      </c>
      <c r="K546" s="14">
        <v>127.6018066476409</v>
      </c>
      <c r="L546" s="14">
        <v>140.53356509865171</v>
      </c>
      <c r="M546" s="14">
        <v>155.05695501298931</v>
      </c>
      <c r="N546" s="14">
        <v>171.13294500080042</v>
      </c>
      <c r="O546" s="14">
        <v>188.76157233079681</v>
      </c>
      <c r="P546" s="14">
        <v>207.82862435445369</v>
      </c>
      <c r="Q546" s="14">
        <v>228.33673065482353</v>
      </c>
      <c r="R546" s="14">
        <v>250.51048781371074</v>
      </c>
      <c r="S546" s="22"/>
      <c r="T546" s="22"/>
    </row>
    <row r="547" spans="1:20" x14ac:dyDescent="0.35">
      <c r="A547" t="s">
        <v>39</v>
      </c>
      <c r="B547" s="17" t="s">
        <v>84</v>
      </c>
      <c r="C547" s="40" t="s">
        <v>87</v>
      </c>
      <c r="D547" s="40" t="s">
        <v>87</v>
      </c>
      <c r="E547" s="40" t="s">
        <v>87</v>
      </c>
      <c r="F547" s="42">
        <v>145.43172765536684</v>
      </c>
      <c r="G547" s="42">
        <v>162.80200767036519</v>
      </c>
      <c r="H547" s="42">
        <v>182.72559771225684</v>
      </c>
      <c r="I547" s="42">
        <v>205.1178588882193</v>
      </c>
      <c r="J547" s="42">
        <v>230.1986020926297</v>
      </c>
      <c r="K547" s="42">
        <v>258.06559366687645</v>
      </c>
      <c r="L547" s="42">
        <v>289.70000165193994</v>
      </c>
      <c r="M547" s="42">
        <v>326.27627224225841</v>
      </c>
      <c r="N547" s="42">
        <v>368.7115311818427</v>
      </c>
      <c r="O547" s="42">
        <v>417.54525259150864</v>
      </c>
      <c r="P547" s="42">
        <v>472.37946099451574</v>
      </c>
      <c r="Q547" s="42">
        <v>532.79458249462607</v>
      </c>
      <c r="R547" s="42">
        <v>599.88021990916877</v>
      </c>
      <c r="S547" s="22"/>
      <c r="T547" s="22"/>
    </row>
    <row r="548" spans="1:20" x14ac:dyDescent="0.35">
      <c r="A548" t="s">
        <v>39</v>
      </c>
      <c r="B548" s="17" t="s">
        <v>84</v>
      </c>
      <c r="C548" s="13" t="s">
        <v>88</v>
      </c>
      <c r="D548" s="13" t="s">
        <v>88</v>
      </c>
      <c r="E548" s="13" t="s">
        <v>88</v>
      </c>
      <c r="F548" s="14">
        <v>98.905802421022699</v>
      </c>
      <c r="G548" s="14">
        <v>110.24247037182388</v>
      </c>
      <c r="H548" s="14">
        <v>122.99404904367337</v>
      </c>
      <c r="I548" s="14">
        <v>137.39482497200606</v>
      </c>
      <c r="J548" s="14">
        <v>153.6894457119889</v>
      </c>
      <c r="K548" s="14">
        <v>172.16173163906501</v>
      </c>
      <c r="L548" s="14">
        <v>193.11658553923638</v>
      </c>
      <c r="M548" s="14">
        <v>216.75670426228234</v>
      </c>
      <c r="N548" s="14">
        <v>243.28708513675107</v>
      </c>
      <c r="O548" s="14">
        <v>272.95291012135937</v>
      </c>
      <c r="P548" s="14">
        <v>306.0099513939499</v>
      </c>
      <c r="Q548" s="14">
        <v>342.90656243506936</v>
      </c>
      <c r="R548" s="14">
        <v>383.91930220875014</v>
      </c>
      <c r="S548" s="22"/>
      <c r="T548" s="22"/>
    </row>
    <row r="549" spans="1:20" x14ac:dyDescent="0.35">
      <c r="A549" t="s">
        <v>39</v>
      </c>
      <c r="B549" s="17" t="s">
        <v>84</v>
      </c>
      <c r="C549" s="13" t="s">
        <v>89</v>
      </c>
      <c r="D549" s="13" t="s">
        <v>89</v>
      </c>
      <c r="E549" s="13" t="s">
        <v>89</v>
      </c>
      <c r="F549" s="14">
        <v>28.812458772022616</v>
      </c>
      <c r="G549" s="14">
        <v>31.906750127080517</v>
      </c>
      <c r="H549" s="14">
        <v>35.366776588405102</v>
      </c>
      <c r="I549" s="14">
        <v>39.252117594108007</v>
      </c>
      <c r="J549" s="14">
        <v>43.623641795979374</v>
      </c>
      <c r="K549" s="14">
        <v>48.551614510396867</v>
      </c>
      <c r="L549" s="14">
        <v>54.110262240262756</v>
      </c>
      <c r="M549" s="14">
        <v>60.34306485114552</v>
      </c>
      <c r="N549" s="14">
        <v>67.292800020272367</v>
      </c>
      <c r="O549" s="14">
        <v>75.012016354040256</v>
      </c>
      <c r="P549" s="14">
        <v>83.554557975771615</v>
      </c>
      <c r="Q549" s="14">
        <v>93.025182591381551</v>
      </c>
      <c r="R549" s="14">
        <v>103.47903696680707</v>
      </c>
      <c r="S549" s="22"/>
      <c r="T549" s="22"/>
    </row>
    <row r="550" spans="1:20" x14ac:dyDescent="0.35">
      <c r="A550" t="s">
        <v>39</v>
      </c>
      <c r="B550" s="17" t="s">
        <v>84</v>
      </c>
      <c r="C550" s="13" t="s">
        <v>90</v>
      </c>
      <c r="D550" s="13" t="s">
        <v>90</v>
      </c>
      <c r="E550" s="13" t="s">
        <v>90</v>
      </c>
      <c r="F550" s="14">
        <v>59.804150762551735</v>
      </c>
      <c r="G550" s="14">
        <v>65.865342144208384</v>
      </c>
      <c r="H550" s="14">
        <v>72.609841184566577</v>
      </c>
      <c r="I550" s="14">
        <v>80.147829400216636</v>
      </c>
      <c r="J550" s="14">
        <v>88.589549493373426</v>
      </c>
      <c r="K550" s="14">
        <v>98.061730974517658</v>
      </c>
      <c r="L550" s="14">
        <v>108.69612547752865</v>
      </c>
      <c r="M550" s="14">
        <v>120.55960514957367</v>
      </c>
      <c r="N550" s="14">
        <v>133.7158976360484</v>
      </c>
      <c r="O550" s="14">
        <v>148.24644951767647</v>
      </c>
      <c r="P550" s="14">
        <v>164.23316515394183</v>
      </c>
      <c r="Q550" s="14">
        <v>181.85588658111007</v>
      </c>
      <c r="R550" s="14">
        <v>201.19318198351249</v>
      </c>
      <c r="S550" s="14"/>
      <c r="T550" s="14"/>
    </row>
    <row r="551" spans="1:20" x14ac:dyDescent="0.35">
      <c r="A551" t="s">
        <v>39</v>
      </c>
      <c r="B551" s="17" t="s">
        <v>91</v>
      </c>
      <c r="C551" s="13" t="s">
        <v>92</v>
      </c>
      <c r="D551" s="13" t="s">
        <v>92</v>
      </c>
      <c r="E551" s="13" t="s">
        <v>92</v>
      </c>
      <c r="F551" s="14">
        <v>177.7963080578412</v>
      </c>
      <c r="G551" s="14">
        <v>199.15483857787268</v>
      </c>
      <c r="H551" s="14">
        <v>222.32691048028408</v>
      </c>
      <c r="I551" s="14">
        <v>247.80567652847407</v>
      </c>
      <c r="J551" s="14">
        <v>276.50677569143852</v>
      </c>
      <c r="K551" s="14">
        <v>309.47578573131676</v>
      </c>
      <c r="L551" s="14">
        <v>347.72017938303185</v>
      </c>
      <c r="M551" s="14">
        <v>391.45054745683245</v>
      </c>
      <c r="N551" s="14">
        <v>440.40269803248668</v>
      </c>
      <c r="O551" s="14">
        <v>495.03413645272042</v>
      </c>
      <c r="P551" s="14">
        <v>556.39621678492324</v>
      </c>
      <c r="Q551" s="14">
        <v>625.76655135560827</v>
      </c>
      <c r="R551" s="14">
        <v>703.56501019229756</v>
      </c>
      <c r="S551" s="14"/>
      <c r="T551" s="14"/>
    </row>
    <row r="552" spans="1:20" x14ac:dyDescent="0.35">
      <c r="A552" t="s">
        <v>39</v>
      </c>
      <c r="B552" s="17" t="s">
        <v>91</v>
      </c>
      <c r="C552" s="13" t="s">
        <v>93</v>
      </c>
      <c r="D552" s="13" t="s">
        <v>93</v>
      </c>
      <c r="E552" s="13" t="s">
        <v>93</v>
      </c>
      <c r="F552" s="14">
        <v>263.37450384215566</v>
      </c>
      <c r="G552" s="14">
        <v>289.81481198197508</v>
      </c>
      <c r="H552" s="14">
        <v>320.57132385551432</v>
      </c>
      <c r="I552" s="14">
        <v>355.56609469256404</v>
      </c>
      <c r="J552" s="14">
        <v>394.6261750159365</v>
      </c>
      <c r="K552" s="14">
        <v>437.56036770532472</v>
      </c>
      <c r="L552" s="14">
        <v>485.04780541382496</v>
      </c>
      <c r="M552" s="14">
        <v>538.61740053468293</v>
      </c>
      <c r="N552" s="14">
        <v>599.78199755688513</v>
      </c>
      <c r="O552" s="14">
        <v>669.04747419183752</v>
      </c>
      <c r="P552" s="14">
        <v>745.21114182712984</v>
      </c>
      <c r="Q552" s="14">
        <v>827.277495047819</v>
      </c>
      <c r="R552" s="14">
        <v>916.63607238887596</v>
      </c>
      <c r="S552" s="14"/>
      <c r="T552" s="14"/>
    </row>
    <row r="553" spans="1:20" x14ac:dyDescent="0.35">
      <c r="A553" t="s">
        <v>39</v>
      </c>
      <c r="B553" s="17" t="s">
        <v>94</v>
      </c>
      <c r="C553" s="13" t="s">
        <v>95</v>
      </c>
      <c r="D553" s="13" t="s">
        <v>95</v>
      </c>
      <c r="E553" s="13" t="s">
        <v>95</v>
      </c>
      <c r="F553" s="14">
        <v>38.414848594556361</v>
      </c>
      <c r="G553" s="14">
        <v>43.484516096797165</v>
      </c>
      <c r="H553" s="14">
        <v>49.277591173909869</v>
      </c>
      <c r="I553" s="14">
        <v>55.805470557525084</v>
      </c>
      <c r="J553" s="14">
        <v>63.086497366493255</v>
      </c>
      <c r="K553" s="14">
        <v>71.285947854093422</v>
      </c>
      <c r="L553" s="14">
        <v>80.586736687928862</v>
      </c>
      <c r="M553" s="14">
        <v>91.342774161674782</v>
      </c>
      <c r="N553" s="14">
        <v>103.8313007541804</v>
      </c>
      <c r="O553" s="14">
        <v>118.10515166204846</v>
      </c>
      <c r="P553" s="14">
        <v>134.42982998742434</v>
      </c>
      <c r="Q553" s="14">
        <v>152.87650099001689</v>
      </c>
      <c r="R553" s="14">
        <v>173.62513821581376</v>
      </c>
      <c r="S553" s="14"/>
      <c r="T553" s="14"/>
    </row>
    <row r="554" spans="1:20" x14ac:dyDescent="0.35">
      <c r="A554" t="s">
        <v>39</v>
      </c>
      <c r="B554" s="17" t="s">
        <v>94</v>
      </c>
      <c r="C554" s="40" t="s">
        <v>96</v>
      </c>
      <c r="D554" s="40" t="s">
        <v>96</v>
      </c>
      <c r="E554" s="40" t="s">
        <v>96</v>
      </c>
      <c r="F554" s="42">
        <v>68.949978345274474</v>
      </c>
      <c r="G554" s="42">
        <v>76.081410377004431</v>
      </c>
      <c r="H554" s="42">
        <v>84.600860903052251</v>
      </c>
      <c r="I554" s="42">
        <v>94.487236668081607</v>
      </c>
      <c r="J554" s="42">
        <v>106.03900621176524</v>
      </c>
      <c r="K554" s="42">
        <v>119.64317899826142</v>
      </c>
      <c r="L554" s="42">
        <v>135.52299992298686</v>
      </c>
      <c r="M554" s="42">
        <v>154.14333476787692</v>
      </c>
      <c r="N554" s="42">
        <v>175.43242130114777</v>
      </c>
      <c r="O554" s="42">
        <v>199.0810025084927</v>
      </c>
      <c r="P554" s="42">
        <v>224.22319905940549</v>
      </c>
      <c r="Q554" s="42">
        <v>250.75798354625044</v>
      </c>
      <c r="R554" s="42">
        <v>279.69169845914507</v>
      </c>
      <c r="S554" s="14"/>
      <c r="T554" s="14"/>
    </row>
    <row r="555" spans="1:20" x14ac:dyDescent="0.35">
      <c r="A555" t="s">
        <v>39</v>
      </c>
      <c r="B555" s="17" t="s">
        <v>94</v>
      </c>
      <c r="C555" s="13" t="s">
        <v>97</v>
      </c>
      <c r="D555" s="13" t="s">
        <v>97</v>
      </c>
      <c r="E555" s="13" t="s">
        <v>97</v>
      </c>
      <c r="F555" s="14">
        <v>53.324410449904271</v>
      </c>
      <c r="G555" s="14">
        <v>58.922840497538694</v>
      </c>
      <c r="H555" s="14">
        <v>64.886477535693714</v>
      </c>
      <c r="I555" s="14">
        <v>71.340046026419117</v>
      </c>
      <c r="J555" s="14">
        <v>78.522555232762883</v>
      </c>
      <c r="K555" s="14">
        <v>86.696197270367364</v>
      </c>
      <c r="L555" s="14">
        <v>96.097264093686718</v>
      </c>
      <c r="M555" s="14">
        <v>106.72773724366945</v>
      </c>
      <c r="N555" s="14">
        <v>118.45841053522632</v>
      </c>
      <c r="O555" s="14">
        <v>131.35944870107173</v>
      </c>
      <c r="P555" s="14">
        <v>145.65321755099208</v>
      </c>
      <c r="Q555" s="14">
        <v>161.60761311926663</v>
      </c>
      <c r="R555" s="14">
        <v>179.25257345669718</v>
      </c>
      <c r="S555" s="14"/>
      <c r="T555" s="14"/>
    </row>
    <row r="556" spans="1:20" x14ac:dyDescent="0.35">
      <c r="A556" t="s">
        <v>39</v>
      </c>
      <c r="B556" s="17" t="s">
        <v>94</v>
      </c>
      <c r="C556" s="13" t="s">
        <v>98</v>
      </c>
      <c r="D556" s="13" t="s">
        <v>98</v>
      </c>
      <c r="E556" s="13" t="s">
        <v>98</v>
      </c>
      <c r="F556" s="14">
        <v>159.64873842578481</v>
      </c>
      <c r="G556" s="14">
        <v>177.64645137840705</v>
      </c>
      <c r="H556" s="14">
        <v>198.02839698438464</v>
      </c>
      <c r="I556" s="14">
        <v>220.68281893999091</v>
      </c>
      <c r="J556" s="14">
        <v>245.63465995889925</v>
      </c>
      <c r="K556" s="14">
        <v>272.75269335000104</v>
      </c>
      <c r="L556" s="14">
        <v>302.95547154118788</v>
      </c>
      <c r="M556" s="14">
        <v>337.10861091447077</v>
      </c>
      <c r="N556" s="14">
        <v>376.23563830497886</v>
      </c>
      <c r="O556" s="14">
        <v>420.90729910931515</v>
      </c>
      <c r="P556" s="14">
        <v>471.02327152563777</v>
      </c>
      <c r="Q556" s="14">
        <v>526.47834794880873</v>
      </c>
      <c r="R556" s="14">
        <v>587.77508698278302</v>
      </c>
      <c r="S556" s="14"/>
      <c r="T556" s="14"/>
    </row>
    <row r="557" spans="1:20" x14ac:dyDescent="0.35">
      <c r="A557" t="s">
        <v>39</v>
      </c>
      <c r="B557" s="17" t="s">
        <v>94</v>
      </c>
      <c r="C557" s="13" t="s">
        <v>48</v>
      </c>
      <c r="D557" s="13" t="s">
        <v>48</v>
      </c>
      <c r="E557" s="13" t="s">
        <v>48</v>
      </c>
      <c r="F557" s="14">
        <v>38.316354998350363</v>
      </c>
      <c r="G557" s="14">
        <v>42.74250434358671</v>
      </c>
      <c r="H557" s="14">
        <v>47.724722304221366</v>
      </c>
      <c r="I557" s="14">
        <v>53.355295290980578</v>
      </c>
      <c r="J557" s="14">
        <v>59.730832612956377</v>
      </c>
      <c r="K557" s="14">
        <v>66.963481302263318</v>
      </c>
      <c r="L557" s="14">
        <v>75.173951900479139</v>
      </c>
      <c r="M557" s="14">
        <v>84.443560662239932</v>
      </c>
      <c r="N557" s="14">
        <v>94.854786236168167</v>
      </c>
      <c r="O557" s="14">
        <v>106.50604584519205</v>
      </c>
      <c r="P557" s="14">
        <v>119.50021204874048</v>
      </c>
      <c r="Q557" s="14">
        <v>134.01570085057935</v>
      </c>
      <c r="R557" s="14">
        <v>150.16436795466234</v>
      </c>
      <c r="S557" s="14"/>
      <c r="T557" s="14"/>
    </row>
    <row r="558" spans="1:20" x14ac:dyDescent="0.35">
      <c r="A558" t="s">
        <v>39</v>
      </c>
      <c r="B558" s="17" t="s">
        <v>94</v>
      </c>
      <c r="C558" s="13" t="s">
        <v>99</v>
      </c>
      <c r="D558" s="13" t="s">
        <v>99</v>
      </c>
      <c r="E558" s="13" t="s">
        <v>99</v>
      </c>
      <c r="F558" s="14">
        <v>51.10038274494628</v>
      </c>
      <c r="G558" s="14">
        <v>55.664704296164395</v>
      </c>
      <c r="H558" s="14">
        <v>60.646919126840871</v>
      </c>
      <c r="I558" s="14">
        <v>66.240921507394035</v>
      </c>
      <c r="J558" s="14">
        <v>72.482358676396501</v>
      </c>
      <c r="K558" s="14">
        <v>79.402602045053527</v>
      </c>
      <c r="L558" s="14">
        <v>86.999550178902567</v>
      </c>
      <c r="M558" s="14">
        <v>95.250842786881989</v>
      </c>
      <c r="N558" s="14">
        <v>104.1918773934083</v>
      </c>
      <c r="O558" s="14">
        <v>114.109416057956</v>
      </c>
      <c r="P558" s="14">
        <v>125.13197019294554</v>
      </c>
      <c r="Q558" s="14">
        <v>137.23348155675532</v>
      </c>
      <c r="R558" s="14">
        <v>150.39276900549595</v>
      </c>
      <c r="S558" s="14"/>
      <c r="T558" s="14"/>
    </row>
    <row r="559" spans="1:20" x14ac:dyDescent="0.35">
      <c r="A559" t="s">
        <v>39</v>
      </c>
      <c r="B559" s="17" t="s">
        <v>94</v>
      </c>
      <c r="C559" s="13" t="s">
        <v>100</v>
      </c>
      <c r="D559" s="13" t="s">
        <v>100</v>
      </c>
      <c r="E559" s="13" t="s">
        <v>100</v>
      </c>
      <c r="F559" s="14">
        <v>31.416098341180334</v>
      </c>
      <c r="G559" s="14">
        <v>34.427223570349298</v>
      </c>
      <c r="H559" s="14">
        <v>37.733266307695729</v>
      </c>
      <c r="I559" s="14">
        <v>41.459982230646801</v>
      </c>
      <c r="J559" s="14">
        <v>45.637040648101539</v>
      </c>
      <c r="K559" s="14">
        <v>50.292052616601353</v>
      </c>
      <c r="L559" s="14">
        <v>55.432010471684713</v>
      </c>
      <c r="M559" s="14">
        <v>61.051087454701516</v>
      </c>
      <c r="N559" s="14">
        <v>67.180261064262055</v>
      </c>
      <c r="O559" s="14">
        <v>74.01324676048192</v>
      </c>
      <c r="P559" s="14">
        <v>81.645658246907558</v>
      </c>
      <c r="Q559" s="14">
        <v>90.074418391750044</v>
      </c>
      <c r="R559" s="14">
        <v>99.29944850657624</v>
      </c>
      <c r="S559" s="14"/>
      <c r="T559" s="14"/>
    </row>
    <row r="560" spans="1:20" x14ac:dyDescent="0.35">
      <c r="A560" t="s">
        <v>28</v>
      </c>
      <c r="B560" s="17" t="s">
        <v>54</v>
      </c>
      <c r="C560" s="13" t="s">
        <v>55</v>
      </c>
      <c r="D560" s="13" t="s">
        <v>55</v>
      </c>
      <c r="E560" s="13" t="s">
        <v>55</v>
      </c>
      <c r="F560" s="14">
        <v>12.410570238768951</v>
      </c>
      <c r="G560" s="14">
        <v>14.091969338036797</v>
      </c>
      <c r="H560" s="14">
        <v>16.026077508436341</v>
      </c>
      <c r="I560" s="14">
        <v>18.232325159867205</v>
      </c>
      <c r="J560" s="14">
        <v>20.711876736599997</v>
      </c>
      <c r="K560" s="14">
        <v>23.517611355187547</v>
      </c>
      <c r="L560" s="14">
        <v>26.705728405333879</v>
      </c>
      <c r="M560" s="14">
        <v>30.364506631279895</v>
      </c>
      <c r="N560" s="14">
        <v>34.57073606006756</v>
      </c>
      <c r="O560" s="14">
        <v>39.400616629952495</v>
      </c>
      <c r="P560" s="14">
        <v>44.889750810905163</v>
      </c>
      <c r="Q560" s="14">
        <v>51.07261269405052</v>
      </c>
      <c r="R560" s="14">
        <v>58.066234029797634</v>
      </c>
      <c r="S560" s="14"/>
      <c r="T560" s="14"/>
    </row>
    <row r="561" spans="1:20" x14ac:dyDescent="0.35">
      <c r="A561" t="s">
        <v>28</v>
      </c>
      <c r="B561" s="17" t="s">
        <v>54</v>
      </c>
      <c r="C561" s="13" t="s">
        <v>56</v>
      </c>
      <c r="D561" s="13" t="s">
        <v>56</v>
      </c>
      <c r="E561" s="13" t="s">
        <v>56</v>
      </c>
      <c r="F561" s="14">
        <v>41.557966973413969</v>
      </c>
      <c r="G561" s="14">
        <v>45.946837165366759</v>
      </c>
      <c r="H561" s="14">
        <v>50.807632253147773</v>
      </c>
      <c r="I561" s="14">
        <v>56.321609700127738</v>
      </c>
      <c r="J561" s="14">
        <v>62.545766382801979</v>
      </c>
      <c r="K561" s="14">
        <v>69.536041813021626</v>
      </c>
      <c r="L561" s="14">
        <v>77.32157624439094</v>
      </c>
      <c r="M561" s="14">
        <v>85.914372273528841</v>
      </c>
      <c r="N561" s="14">
        <v>95.378356047659096</v>
      </c>
      <c r="O561" s="14">
        <v>106.01047106930781</v>
      </c>
      <c r="P561" s="14">
        <v>117.97736366809114</v>
      </c>
      <c r="Q561" s="14">
        <v>131.30853337362953</v>
      </c>
      <c r="R561" s="14">
        <v>146.03839327037309</v>
      </c>
      <c r="S561" s="14"/>
      <c r="T561" s="14"/>
    </row>
    <row r="562" spans="1:20" x14ac:dyDescent="0.35">
      <c r="A562" t="s">
        <v>28</v>
      </c>
      <c r="B562" s="17" t="s">
        <v>54</v>
      </c>
      <c r="C562" s="13" t="s">
        <v>57</v>
      </c>
      <c r="D562" s="13" t="s">
        <v>57</v>
      </c>
      <c r="E562" s="13" t="s">
        <v>57</v>
      </c>
      <c r="F562" s="14">
        <v>83.925939804101503</v>
      </c>
      <c r="G562" s="14">
        <v>91.949964208501669</v>
      </c>
      <c r="H562" s="14">
        <v>100.75800974515687</v>
      </c>
      <c r="I562" s="14">
        <v>110.68534963313645</v>
      </c>
      <c r="J562" s="14">
        <v>121.81044338158809</v>
      </c>
      <c r="K562" s="14">
        <v>134.20618683482294</v>
      </c>
      <c r="L562" s="14">
        <v>147.89038848769849</v>
      </c>
      <c r="M562" s="14">
        <v>162.84663769551264</v>
      </c>
      <c r="N562" s="14">
        <v>179.15670588545504</v>
      </c>
      <c r="O562" s="14">
        <v>197.33628094737725</v>
      </c>
      <c r="P562" s="14">
        <v>217.6390391297316</v>
      </c>
      <c r="Q562" s="14">
        <v>240.05535766988069</v>
      </c>
      <c r="R562" s="14">
        <v>264.58360830028249</v>
      </c>
      <c r="S562" s="14"/>
      <c r="T562" s="14"/>
    </row>
    <row r="563" spans="1:20" x14ac:dyDescent="0.35">
      <c r="A563" t="s">
        <v>28</v>
      </c>
      <c r="B563" s="17" t="s">
        <v>59</v>
      </c>
      <c r="C563" s="18" t="s">
        <v>60</v>
      </c>
      <c r="D563" s="38" t="s">
        <v>61</v>
      </c>
      <c r="E563" s="39" t="s">
        <v>62</v>
      </c>
      <c r="F563" s="22">
        <v>4.864634480384443</v>
      </c>
      <c r="G563" s="22">
        <v>5.4908174121491617</v>
      </c>
      <c r="H563" s="22">
        <v>6.2067548976510158</v>
      </c>
      <c r="I563" s="22">
        <v>7.0263867338328243</v>
      </c>
      <c r="J563" s="22">
        <v>7.9683076695432815</v>
      </c>
      <c r="K563" s="22">
        <v>9.0577464573914597</v>
      </c>
      <c r="L563" s="22">
        <v>10.317269666339552</v>
      </c>
      <c r="M563" s="22">
        <v>11.772570174614929</v>
      </c>
      <c r="N563" s="22">
        <v>13.437072009039687</v>
      </c>
      <c r="O563" s="22">
        <v>15.327956618720407</v>
      </c>
      <c r="P563" s="22">
        <v>17.454273388869183</v>
      </c>
      <c r="Q563" s="22">
        <v>19.834829322455182</v>
      </c>
      <c r="R563" s="22">
        <v>22.508962508755587</v>
      </c>
      <c r="S563" s="14"/>
      <c r="T563" s="14"/>
    </row>
    <row r="564" spans="1:20" x14ac:dyDescent="0.35">
      <c r="A564" t="s">
        <v>28</v>
      </c>
      <c r="B564" s="17" t="s">
        <v>59</v>
      </c>
      <c r="C564" s="18" t="s">
        <v>60</v>
      </c>
      <c r="D564" s="38" t="s">
        <v>61</v>
      </c>
      <c r="E564" s="39" t="s">
        <v>63</v>
      </c>
      <c r="F564" s="22">
        <v>11.132511525365102</v>
      </c>
      <c r="G564" s="22">
        <v>12.331022186650534</v>
      </c>
      <c r="H564" s="22">
        <v>13.660823460088977</v>
      </c>
      <c r="I564" s="22">
        <v>15.17139316634824</v>
      </c>
      <c r="J564" s="22">
        <v>16.879103343011035</v>
      </c>
      <c r="K564" s="22">
        <v>18.800160974614467</v>
      </c>
      <c r="L564" s="22">
        <v>20.943646759104745</v>
      </c>
      <c r="M564" s="22">
        <v>23.314066440917227</v>
      </c>
      <c r="N564" s="22">
        <v>25.930049525746679</v>
      </c>
      <c r="O564" s="22">
        <v>28.873712945687526</v>
      </c>
      <c r="P564" s="22">
        <v>32.192292126274417</v>
      </c>
      <c r="Q564" s="22">
        <v>35.89594777003942</v>
      </c>
      <c r="R564" s="22">
        <v>39.996258833718002</v>
      </c>
      <c r="S564" s="14"/>
      <c r="T564" s="14"/>
    </row>
    <row r="565" spans="1:20" x14ac:dyDescent="0.35">
      <c r="A565" t="s">
        <v>28</v>
      </c>
      <c r="B565" s="17" t="s">
        <v>59</v>
      </c>
      <c r="C565" s="18" t="s">
        <v>60</v>
      </c>
      <c r="D565" s="38" t="s">
        <v>61</v>
      </c>
      <c r="E565" s="39" t="s">
        <v>64</v>
      </c>
      <c r="F565" s="22">
        <v>11.656494970619345</v>
      </c>
      <c r="G565" s="22">
        <v>12.882942754378892</v>
      </c>
      <c r="H565" s="22">
        <v>14.200144793158962</v>
      </c>
      <c r="I565" s="22">
        <v>15.928641862200291</v>
      </c>
      <c r="J565" s="22">
        <v>17.992952802194509</v>
      </c>
      <c r="K565" s="22">
        <v>20.218235731402306</v>
      </c>
      <c r="L565" s="22">
        <v>22.374058903754158</v>
      </c>
      <c r="M565" s="22">
        <v>24.266331203710692</v>
      </c>
      <c r="N565" s="22">
        <v>25.982729001674144</v>
      </c>
      <c r="O565" s="22">
        <v>28.143083727637062</v>
      </c>
      <c r="P565" s="22">
        <v>31.019591301181983</v>
      </c>
      <c r="Q565" s="22">
        <v>34.439243571610831</v>
      </c>
      <c r="R565" s="22">
        <v>38.231114679900998</v>
      </c>
      <c r="S565" s="22"/>
      <c r="T565" s="22"/>
    </row>
    <row r="566" spans="1:20" x14ac:dyDescent="0.35">
      <c r="A566" t="s">
        <v>28</v>
      </c>
      <c r="B566" s="17" t="s">
        <v>59</v>
      </c>
      <c r="C566" s="18" t="s">
        <v>60</v>
      </c>
      <c r="D566" s="38" t="s">
        <v>65</v>
      </c>
      <c r="E566" s="38" t="s">
        <v>65</v>
      </c>
      <c r="F566" s="41">
        <v>25.10740856408832</v>
      </c>
      <c r="G566" s="41">
        <v>27.595662945377885</v>
      </c>
      <c r="H566" s="41">
        <v>30.359423998555627</v>
      </c>
      <c r="I566" s="41">
        <v>33.442990454549523</v>
      </c>
      <c r="J566" s="41">
        <v>36.890313284922605</v>
      </c>
      <c r="K566" s="41">
        <v>40.751836982863857</v>
      </c>
      <c r="L566" s="41">
        <v>45.079666867677069</v>
      </c>
      <c r="M566" s="41">
        <v>49.898559105996476</v>
      </c>
      <c r="N566" s="41">
        <v>55.231746010664985</v>
      </c>
      <c r="O566" s="41">
        <v>61.109566719012747</v>
      </c>
      <c r="P566" s="41">
        <v>67.562277670270404</v>
      </c>
      <c r="Q566" s="41">
        <v>74.660152322634616</v>
      </c>
      <c r="R566" s="41">
        <v>82.431287323493152</v>
      </c>
      <c r="S566" s="22"/>
      <c r="T566" s="22"/>
    </row>
    <row r="567" spans="1:20" x14ac:dyDescent="0.35">
      <c r="A567" t="s">
        <v>28</v>
      </c>
      <c r="B567" s="17" t="s">
        <v>59</v>
      </c>
      <c r="C567" s="18" t="s">
        <v>60</v>
      </c>
      <c r="D567" s="38" t="s">
        <v>66</v>
      </c>
      <c r="E567" s="38" t="s">
        <v>66</v>
      </c>
      <c r="F567" s="41">
        <v>16.293536730824464</v>
      </c>
      <c r="G567" s="41">
        <v>17.838666551762284</v>
      </c>
      <c r="H567" s="41">
        <v>19.462942624545704</v>
      </c>
      <c r="I567" s="41">
        <v>21.201024065472719</v>
      </c>
      <c r="J567" s="41">
        <v>23.120196344467626</v>
      </c>
      <c r="K567" s="41">
        <v>25.292006651260422</v>
      </c>
      <c r="L567" s="41">
        <v>27.777695300172685</v>
      </c>
      <c r="M567" s="41">
        <v>30.568373990893114</v>
      </c>
      <c r="N567" s="41">
        <v>33.617717488396998</v>
      </c>
      <c r="O567" s="41">
        <v>36.937482480463174</v>
      </c>
      <c r="P567" s="41">
        <v>40.581619273649501</v>
      </c>
      <c r="Q567" s="41">
        <v>44.614603181624418</v>
      </c>
      <c r="R567" s="41">
        <v>49.032639292122724</v>
      </c>
      <c r="S567" s="22"/>
      <c r="T567" s="22"/>
    </row>
    <row r="568" spans="1:20" x14ac:dyDescent="0.35">
      <c r="A568" t="s">
        <v>28</v>
      </c>
      <c r="B568" s="17" t="s">
        <v>59</v>
      </c>
      <c r="C568" s="18" t="s">
        <v>60</v>
      </c>
      <c r="D568" s="38" t="s">
        <v>67</v>
      </c>
      <c r="E568" s="38" t="s">
        <v>67</v>
      </c>
      <c r="F568" s="41">
        <v>10.221126902575806</v>
      </c>
      <c r="G568" s="41">
        <v>11.052771978052158</v>
      </c>
      <c r="H568" s="41">
        <v>11.970505392740614</v>
      </c>
      <c r="I568" s="41">
        <v>12.984390861727553</v>
      </c>
      <c r="J568" s="41">
        <v>14.110119827873625</v>
      </c>
      <c r="K568" s="41">
        <v>15.371074945156664</v>
      </c>
      <c r="L568" s="41">
        <v>16.780581538629171</v>
      </c>
      <c r="M568" s="41">
        <v>18.352899126054847</v>
      </c>
      <c r="N568" s="41">
        <v>20.078658358508484</v>
      </c>
      <c r="O568" s="41">
        <v>21.953308356502959</v>
      </c>
      <c r="P568" s="41">
        <v>23.959079000673807</v>
      </c>
      <c r="Q568" s="41">
        <v>26.092202967483928</v>
      </c>
      <c r="R568" s="41">
        <v>28.374328825993597</v>
      </c>
      <c r="S568" s="22"/>
      <c r="T568" s="22"/>
    </row>
    <row r="569" spans="1:20" x14ac:dyDescent="0.35">
      <c r="A569" t="s">
        <v>28</v>
      </c>
      <c r="B569" s="17" t="s">
        <v>59</v>
      </c>
      <c r="C569" s="18" t="s">
        <v>60</v>
      </c>
      <c r="D569" s="38" t="s">
        <v>68</v>
      </c>
      <c r="E569" s="38" t="s">
        <v>68</v>
      </c>
      <c r="F569" s="41">
        <v>17.336108719842702</v>
      </c>
      <c r="G569" s="41">
        <v>19.235289420151663</v>
      </c>
      <c r="H569" s="41">
        <v>21.374585276295473</v>
      </c>
      <c r="I569" s="41">
        <v>23.787432028150977</v>
      </c>
      <c r="J569" s="41">
        <v>26.520225218654041</v>
      </c>
      <c r="K569" s="41">
        <v>29.637692975566416</v>
      </c>
      <c r="L569" s="41">
        <v>33.190775480708758</v>
      </c>
      <c r="M569" s="41">
        <v>37.236196958625214</v>
      </c>
      <c r="N569" s="41">
        <v>41.787102287862822</v>
      </c>
      <c r="O569" s="41">
        <v>46.866348651053563</v>
      </c>
      <c r="P569" s="41">
        <v>52.469247639338178</v>
      </c>
      <c r="Q569" s="41">
        <v>58.619548185888959</v>
      </c>
      <c r="R569" s="41">
        <v>65.398850600343238</v>
      </c>
      <c r="S569" s="22"/>
      <c r="T569" s="22"/>
    </row>
    <row r="570" spans="1:20" x14ac:dyDescent="0.35">
      <c r="A570" t="s">
        <v>28</v>
      </c>
      <c r="B570" s="17" t="s">
        <v>59</v>
      </c>
      <c r="C570" s="18" t="s">
        <v>60</v>
      </c>
      <c r="D570" s="38" t="s">
        <v>69</v>
      </c>
      <c r="E570" s="38" t="s">
        <v>69</v>
      </c>
      <c r="F570" s="41">
        <v>19.213379351844992</v>
      </c>
      <c r="G570" s="41">
        <v>20.80412167540716</v>
      </c>
      <c r="H570" s="41">
        <v>22.563343566283237</v>
      </c>
      <c r="I570" s="41">
        <v>24.480739511006501</v>
      </c>
      <c r="J570" s="41">
        <v>26.520225218654041</v>
      </c>
      <c r="K570" s="41">
        <v>28.715497010619426</v>
      </c>
      <c r="L570" s="41">
        <v>31.09530009856919</v>
      </c>
      <c r="M570" s="41">
        <v>33.717123812969469</v>
      </c>
      <c r="N570" s="41">
        <v>36.611293841233184</v>
      </c>
      <c r="O570" s="41">
        <v>39.797294464035396</v>
      </c>
      <c r="P570" s="41">
        <v>43.244862555748931</v>
      </c>
      <c r="Q570" s="41">
        <v>46.922692559256113</v>
      </c>
      <c r="R570" s="41">
        <v>50.875794357545168</v>
      </c>
      <c r="S570" s="22"/>
      <c r="T570" s="22"/>
    </row>
    <row r="571" spans="1:20" x14ac:dyDescent="0.35">
      <c r="A571" t="s">
        <v>28</v>
      </c>
      <c r="B571" s="17" t="s">
        <v>59</v>
      </c>
      <c r="C571" s="18" t="s">
        <v>70</v>
      </c>
      <c r="D571" s="19" t="s">
        <v>71</v>
      </c>
      <c r="E571" s="19" t="s">
        <v>71</v>
      </c>
      <c r="F571" s="22">
        <v>3.0403341668258443</v>
      </c>
      <c r="G571" s="22">
        <v>3.4581545876243025</v>
      </c>
      <c r="H571" s="22">
        <v>3.9340283008875918</v>
      </c>
      <c r="I571" s="22">
        <v>4.4861455079793293</v>
      </c>
      <c r="J571" s="22">
        <v>5.1246514816597442</v>
      </c>
      <c r="K571" s="22">
        <v>5.860448910509394</v>
      </c>
      <c r="L571" s="22">
        <v>6.7030727034281128</v>
      </c>
      <c r="M571" s="22">
        <v>7.6612639670775593</v>
      </c>
      <c r="N571" s="22">
        <v>8.7489598806778215</v>
      </c>
      <c r="O571" s="22">
        <v>10.002602398682377</v>
      </c>
      <c r="P571" s="22">
        <v>11.449993856428152</v>
      </c>
      <c r="Q571" s="22">
        <v>13.108126065103956</v>
      </c>
      <c r="R571" s="22">
        <v>14.995629405467614</v>
      </c>
      <c r="S571" s="22"/>
      <c r="T571" s="22"/>
    </row>
    <row r="572" spans="1:20" x14ac:dyDescent="0.35">
      <c r="A572" t="s">
        <v>28</v>
      </c>
      <c r="B572" s="17" t="s">
        <v>59</v>
      </c>
      <c r="C572" s="18" t="s">
        <v>70</v>
      </c>
      <c r="D572" s="19" t="s">
        <v>72</v>
      </c>
      <c r="E572" s="19" t="s">
        <v>72</v>
      </c>
      <c r="F572" s="22">
        <v>2.235242308688302</v>
      </c>
      <c r="G572" s="22">
        <v>2.5678899076289734</v>
      </c>
      <c r="H572" s="22">
        <v>2.9527321197787693</v>
      </c>
      <c r="I572" s="22">
        <v>3.3994325551770421</v>
      </c>
      <c r="J572" s="22">
        <v>3.9188511330339204</v>
      </c>
      <c r="K572" s="22">
        <v>4.5238861215754893</v>
      </c>
      <c r="L572" s="22">
        <v>5.2292265527124577</v>
      </c>
      <c r="M572" s="22">
        <v>6.0481879466589197</v>
      </c>
      <c r="N572" s="22">
        <v>6.9953079957338975</v>
      </c>
      <c r="O572" s="22">
        <v>8.0875284337123503</v>
      </c>
      <c r="P572" s="22">
        <v>9.3435828676331578</v>
      </c>
      <c r="Q572" s="22">
        <v>10.789706579730133</v>
      </c>
      <c r="R572" s="22">
        <v>12.449183667026986</v>
      </c>
      <c r="S572" s="22"/>
      <c r="T572" s="22"/>
    </row>
    <row r="573" spans="1:20" x14ac:dyDescent="0.35">
      <c r="A573" t="s">
        <v>28</v>
      </c>
      <c r="B573" s="17" t="s">
        <v>59</v>
      </c>
      <c r="C573" s="18" t="s">
        <v>70</v>
      </c>
      <c r="D573" s="19" t="s">
        <v>73</v>
      </c>
      <c r="E573" s="19" t="s">
        <v>73</v>
      </c>
      <c r="F573" s="22">
        <v>2.2591273017081779</v>
      </c>
      <c r="G573" s="22">
        <v>2.5160768327888205</v>
      </c>
      <c r="H573" s="22">
        <v>2.8053964891828769</v>
      </c>
      <c r="I573" s="22">
        <v>3.1258805034054453</v>
      </c>
      <c r="J573" s="22">
        <v>3.4767243385377853</v>
      </c>
      <c r="K573" s="22">
        <v>3.8652079631980403</v>
      </c>
      <c r="L573" s="22">
        <v>4.2990327315841297</v>
      </c>
      <c r="M573" s="22">
        <v>4.7944463972757054</v>
      </c>
      <c r="N573" s="22">
        <v>5.362532693331719</v>
      </c>
      <c r="O573" s="22">
        <v>6.0019525267956881</v>
      </c>
      <c r="P573" s="22">
        <v>6.7221172243333243</v>
      </c>
      <c r="Q573" s="22">
        <v>7.5219712164770298</v>
      </c>
      <c r="R573" s="22">
        <v>8.4057156008165244</v>
      </c>
      <c r="S573" s="22"/>
      <c r="T573" s="22"/>
    </row>
    <row r="574" spans="1:20" x14ac:dyDescent="0.35">
      <c r="A574" t="s">
        <v>28</v>
      </c>
      <c r="B574" s="17" t="s">
        <v>59</v>
      </c>
      <c r="C574" s="18" t="s">
        <v>70</v>
      </c>
      <c r="D574" s="19" t="s">
        <v>74</v>
      </c>
      <c r="E574" s="19" t="s">
        <v>74</v>
      </c>
      <c r="F574" s="22">
        <v>2.5628120718411007</v>
      </c>
      <c r="G574" s="22">
        <v>2.8793511355289705</v>
      </c>
      <c r="H574" s="22">
        <v>3.240076671762937</v>
      </c>
      <c r="I574" s="22">
        <v>3.647345526860895</v>
      </c>
      <c r="J574" s="22">
        <v>4.0997211853277928</v>
      </c>
      <c r="K574" s="22">
        <v>4.6060211601352492</v>
      </c>
      <c r="L574" s="22">
        <v>5.1752984179416401</v>
      </c>
      <c r="M574" s="22">
        <v>5.8223902210922178</v>
      </c>
      <c r="N574" s="22">
        <v>6.5592470617875733</v>
      </c>
      <c r="O574" s="22">
        <v>7.3971336332781013</v>
      </c>
      <c r="P574" s="22">
        <v>8.3391373832053599</v>
      </c>
      <c r="Q574" s="22">
        <v>9.3879136909669434</v>
      </c>
      <c r="R574" s="22">
        <v>10.561084189437475</v>
      </c>
      <c r="S574" s="22"/>
      <c r="T574" s="22"/>
    </row>
    <row r="575" spans="1:20" x14ac:dyDescent="0.35">
      <c r="A575" t="s">
        <v>28</v>
      </c>
      <c r="B575" s="17" t="s">
        <v>59</v>
      </c>
      <c r="C575" s="18" t="s">
        <v>70</v>
      </c>
      <c r="D575" s="19" t="s">
        <v>75</v>
      </c>
      <c r="E575" s="19" t="s">
        <v>75</v>
      </c>
      <c r="F575" s="22">
        <v>2.1121924707219244</v>
      </c>
      <c r="G575" s="22">
        <v>2.3903374446991128</v>
      </c>
      <c r="H575" s="22">
        <v>2.7098907340961702</v>
      </c>
      <c r="I575" s="22">
        <v>3.0712603455172274</v>
      </c>
      <c r="J575" s="22">
        <v>3.4767243385377853</v>
      </c>
      <c r="K575" s="22">
        <v>3.9264459216339986</v>
      </c>
      <c r="L575" s="22">
        <v>4.4356487497755905</v>
      </c>
      <c r="M575" s="22">
        <v>5.0197590631963163</v>
      </c>
      <c r="N575" s="22">
        <v>5.6975207246808273</v>
      </c>
      <c r="O575" s="22">
        <v>6.4819863162058411</v>
      </c>
      <c r="P575" s="22">
        <v>7.3766220522100436</v>
      </c>
      <c r="Q575" s="22">
        <v>8.3848988101580595</v>
      </c>
      <c r="R575" s="22">
        <v>9.5200470443946923</v>
      </c>
      <c r="S575" s="22"/>
      <c r="T575" s="22"/>
    </row>
    <row r="576" spans="1:20" x14ac:dyDescent="0.35">
      <c r="A576" t="s">
        <v>28</v>
      </c>
      <c r="B576" s="17" t="s">
        <v>59</v>
      </c>
      <c r="C576" s="18" t="s">
        <v>76</v>
      </c>
      <c r="D576" s="19" t="s">
        <v>77</v>
      </c>
      <c r="E576" s="19" t="s">
        <v>77</v>
      </c>
      <c r="F576" s="22">
        <v>2.9486047270615403</v>
      </c>
      <c r="G576" s="22">
        <v>3.2884212213823569</v>
      </c>
      <c r="H576" s="22">
        <v>3.654979458626519</v>
      </c>
      <c r="I576" s="22">
        <v>4.0559957166287068</v>
      </c>
      <c r="J576" s="22">
        <v>4.5059610646862556</v>
      </c>
      <c r="K576" s="22">
        <v>5.0212237141789835</v>
      </c>
      <c r="L576" s="22">
        <v>5.617219427850431</v>
      </c>
      <c r="M576" s="22">
        <v>6.2962313215541608</v>
      </c>
      <c r="N576" s="22">
        <v>7.0528528748482344</v>
      </c>
      <c r="O576" s="22">
        <v>7.8933142375246055</v>
      </c>
      <c r="P576" s="22">
        <v>8.8331915142626745</v>
      </c>
      <c r="Q576" s="22">
        <v>9.8913660642725105</v>
      </c>
      <c r="R576" s="22">
        <v>11.072814363376619</v>
      </c>
      <c r="S576" s="22"/>
      <c r="T576" s="22"/>
    </row>
    <row r="577" spans="1:20" x14ac:dyDescent="0.35">
      <c r="A577" t="s">
        <v>28</v>
      </c>
      <c r="B577" s="17" t="s">
        <v>59</v>
      </c>
      <c r="C577" s="18" t="s">
        <v>76</v>
      </c>
      <c r="D577" s="19" t="s">
        <v>78</v>
      </c>
      <c r="E577" s="19" t="s">
        <v>78</v>
      </c>
      <c r="F577" s="22">
        <v>2.6620710925996725</v>
      </c>
      <c r="G577" s="22">
        <v>2.9222928030299204</v>
      </c>
      <c r="H577" s="22">
        <v>3.2110130517900433</v>
      </c>
      <c r="I577" s="22">
        <v>3.5328075710044406</v>
      </c>
      <c r="J577" s="22">
        <v>3.8921922817887915</v>
      </c>
      <c r="K577" s="22">
        <v>4.294345378779072</v>
      </c>
      <c r="L577" s="22">
        <v>4.7445939163606488</v>
      </c>
      <c r="M577" s="22">
        <v>5.2453595088608891</v>
      </c>
      <c r="N577" s="22">
        <v>5.7988907116603086</v>
      </c>
      <c r="O577" s="22">
        <v>6.4081701112773164</v>
      </c>
      <c r="P577" s="22">
        <v>7.0761558150795407</v>
      </c>
      <c r="Q577" s="22">
        <v>7.8099813477668381</v>
      </c>
      <c r="R577" s="22">
        <v>8.6123319235992462</v>
      </c>
      <c r="S577" s="22"/>
      <c r="T577" s="22"/>
    </row>
    <row r="578" spans="1:20" x14ac:dyDescent="0.35">
      <c r="A578" t="s">
        <v>28</v>
      </c>
      <c r="B578" s="17" t="s">
        <v>59</v>
      </c>
      <c r="C578" s="18" t="s">
        <v>76</v>
      </c>
      <c r="D578" s="19" t="s">
        <v>79</v>
      </c>
      <c r="E578" s="19" t="s">
        <v>79</v>
      </c>
      <c r="F578" s="22">
        <v>1.5927349818451881</v>
      </c>
      <c r="G578" s="22">
        <v>1.8113158068510262</v>
      </c>
      <c r="H578" s="22">
        <v>2.0621579686183829</v>
      </c>
      <c r="I578" s="22">
        <v>2.3461916784300603</v>
      </c>
      <c r="J578" s="22">
        <v>2.6646547159938647</v>
      </c>
      <c r="K578" s="22">
        <v>3.0250123744608772</v>
      </c>
      <c r="L578" s="22">
        <v>3.4356159233079735</v>
      </c>
      <c r="M578" s="22">
        <v>3.9122600669169803</v>
      </c>
      <c r="N578" s="22">
        <v>4.4677468315799507</v>
      </c>
      <c r="O578" s="22">
        <v>5.1054558362914824</v>
      </c>
      <c r="P578" s="22">
        <v>5.8380180642870609</v>
      </c>
      <c r="Q578" s="22">
        <v>6.6698548116868297</v>
      </c>
      <c r="R578" s="22">
        <v>7.6102119966791104</v>
      </c>
      <c r="S578" s="22"/>
      <c r="T578" s="22"/>
    </row>
    <row r="579" spans="1:20" x14ac:dyDescent="0.35">
      <c r="A579" t="s">
        <v>28</v>
      </c>
      <c r="B579" s="17" t="s">
        <v>59</v>
      </c>
      <c r="C579" s="18" t="s">
        <v>76</v>
      </c>
      <c r="D579" s="19" t="s">
        <v>80</v>
      </c>
      <c r="E579" s="19" t="s">
        <v>80</v>
      </c>
      <c r="F579" s="22">
        <v>1.2869357601288032</v>
      </c>
      <c r="G579" s="22">
        <v>1.4062159545772761</v>
      </c>
      <c r="H579" s="22">
        <v>1.5393641170606862</v>
      </c>
      <c r="I579" s="22">
        <v>1.6846063492045298</v>
      </c>
      <c r="J579" s="22">
        <v>1.8413063486923897</v>
      </c>
      <c r="K579" s="22">
        <v>2.007672238100636</v>
      </c>
      <c r="L579" s="22">
        <v>2.1897388585280106</v>
      </c>
      <c r="M579" s="22">
        <v>2.3926957464541467</v>
      </c>
      <c r="N579" s="22">
        <v>2.6224394333192103</v>
      </c>
      <c r="O579" s="22">
        <v>2.8812359967276175</v>
      </c>
      <c r="P579" s="22">
        <v>3.1665324223052784</v>
      </c>
      <c r="Q579" s="22">
        <v>3.475856503928036</v>
      </c>
      <c r="R579" s="22">
        <v>3.8108598163105607</v>
      </c>
      <c r="S579" s="22"/>
      <c r="T579" s="22"/>
    </row>
    <row r="580" spans="1:20" x14ac:dyDescent="0.35">
      <c r="A580" t="s">
        <v>28</v>
      </c>
      <c r="B580" s="17" t="s">
        <v>59</v>
      </c>
      <c r="C580" s="18" t="s">
        <v>76</v>
      </c>
      <c r="D580" s="19" t="s">
        <v>81</v>
      </c>
      <c r="E580" s="19" t="s">
        <v>81</v>
      </c>
      <c r="F580" s="22">
        <v>1.3692208893187108</v>
      </c>
      <c r="G580" s="22">
        <v>1.5174200938647266</v>
      </c>
      <c r="H580" s="22">
        <v>1.6835565856173973</v>
      </c>
      <c r="I580" s="22">
        <v>1.8666200556350891</v>
      </c>
      <c r="J580" s="22">
        <v>2.065855903410974</v>
      </c>
      <c r="K580" s="22">
        <v>2.2853244915853579</v>
      </c>
      <c r="L580" s="22">
        <v>2.5292512409789762</v>
      </c>
      <c r="M580" s="22">
        <v>2.8068015474524808</v>
      </c>
      <c r="N580" s="22">
        <v>3.1239312624351556</v>
      </c>
      <c r="O580" s="22">
        <v>3.4792351930293317</v>
      </c>
      <c r="P580" s="22">
        <v>3.8775594529769011</v>
      </c>
      <c r="Q580" s="22">
        <v>4.3176087664769787</v>
      </c>
      <c r="R580" s="22">
        <v>4.8011211714720021</v>
      </c>
      <c r="S580" s="22"/>
      <c r="T580" s="22"/>
    </row>
    <row r="581" spans="1:20" x14ac:dyDescent="0.35">
      <c r="A581" t="s">
        <v>28</v>
      </c>
      <c r="B581" s="17" t="s">
        <v>47</v>
      </c>
      <c r="C581" s="13" t="s">
        <v>82</v>
      </c>
      <c r="D581" s="13" t="s">
        <v>82</v>
      </c>
      <c r="E581" s="13" t="s">
        <v>82</v>
      </c>
      <c r="F581" s="14">
        <v>53.968537212182923</v>
      </c>
      <c r="G581" s="14">
        <v>60.038806503403556</v>
      </c>
      <c r="H581" s="14">
        <v>66.833709761584117</v>
      </c>
      <c r="I581" s="14">
        <v>74.553934859994939</v>
      </c>
      <c r="J581" s="14">
        <v>83.257643119401976</v>
      </c>
      <c r="K581" s="14">
        <v>93.053653168209166</v>
      </c>
      <c r="L581" s="14">
        <v>104.02730464972481</v>
      </c>
      <c r="M581" s="14">
        <v>116.27887890480874</v>
      </c>
      <c r="N581" s="14">
        <v>129.94909210772664</v>
      </c>
      <c r="O581" s="14">
        <v>145.41108769926029</v>
      </c>
      <c r="P581" s="14">
        <v>162.86711447899631</v>
      </c>
      <c r="Q581" s="14">
        <v>182.38114606768005</v>
      </c>
      <c r="R581" s="14">
        <v>204.10462730017073</v>
      </c>
      <c r="S581" s="14"/>
      <c r="T581" s="14"/>
    </row>
    <row r="582" spans="1:20" x14ac:dyDescent="0.35">
      <c r="A582" t="s">
        <v>28</v>
      </c>
      <c r="B582" s="17" t="s">
        <v>47</v>
      </c>
      <c r="C582" s="13" t="s">
        <v>83</v>
      </c>
      <c r="D582" s="13" t="s">
        <v>83</v>
      </c>
      <c r="E582" s="13" t="s">
        <v>83</v>
      </c>
      <c r="F582" s="14">
        <v>83.925939804101503</v>
      </c>
      <c r="G582" s="14">
        <v>91.949964208501669</v>
      </c>
      <c r="H582" s="14">
        <v>100.75800974515687</v>
      </c>
      <c r="I582" s="14">
        <v>110.68534963313645</v>
      </c>
      <c r="J582" s="14">
        <v>121.81044338158809</v>
      </c>
      <c r="K582" s="14">
        <v>134.20618683482294</v>
      </c>
      <c r="L582" s="14">
        <v>147.89038848769849</v>
      </c>
      <c r="M582" s="14">
        <v>162.84663769551264</v>
      </c>
      <c r="N582" s="14">
        <v>179.15670588545504</v>
      </c>
      <c r="O582" s="14">
        <v>197.33628094737725</v>
      </c>
      <c r="P582" s="14">
        <v>217.6390391297316</v>
      </c>
      <c r="Q582" s="14">
        <v>240.05535766988069</v>
      </c>
      <c r="R582" s="14">
        <v>264.58360830028249</v>
      </c>
      <c r="S582" s="14"/>
      <c r="T582" s="14"/>
    </row>
    <row r="583" spans="1:20" x14ac:dyDescent="0.35">
      <c r="A583" t="s">
        <v>28</v>
      </c>
      <c r="B583" s="17" t="s">
        <v>84</v>
      </c>
      <c r="C583" s="13" t="s">
        <v>85</v>
      </c>
      <c r="D583" s="13" t="s">
        <v>85</v>
      </c>
      <c r="E583" s="13" t="s">
        <v>85</v>
      </c>
      <c r="F583" s="14">
        <v>8.2629538811897056</v>
      </c>
      <c r="G583" s="14">
        <v>8.9100103401632555</v>
      </c>
      <c r="H583" s="14">
        <v>9.6225865970710487</v>
      </c>
      <c r="I583" s="14">
        <v>10.408188638895627</v>
      </c>
      <c r="J583" s="14">
        <v>11.278744757554454</v>
      </c>
      <c r="K583" s="14">
        <v>12.252192115763188</v>
      </c>
      <c r="L583" s="14">
        <v>13.338244342470793</v>
      </c>
      <c r="M583" s="14">
        <v>14.547242315477984</v>
      </c>
      <c r="N583" s="14">
        <v>15.870674713565121</v>
      </c>
      <c r="O583" s="14">
        <v>17.303925653921812</v>
      </c>
      <c r="P583" s="14">
        <v>18.832002953872703</v>
      </c>
      <c r="Q583" s="14">
        <v>20.451080561020884</v>
      </c>
      <c r="R583" s="14">
        <v>22.177289361015216</v>
      </c>
      <c r="S583" s="14"/>
      <c r="T583" s="14"/>
    </row>
    <row r="584" spans="1:20" x14ac:dyDescent="0.35">
      <c r="A584" t="s">
        <v>28</v>
      </c>
      <c r="B584" s="17" t="s">
        <v>84</v>
      </c>
      <c r="C584" s="13" t="s">
        <v>86</v>
      </c>
      <c r="D584" s="13" t="s">
        <v>86</v>
      </c>
      <c r="E584" s="13" t="s">
        <v>86</v>
      </c>
      <c r="F584" s="14">
        <v>25.832273684727266</v>
      </c>
      <c r="G584" s="14">
        <v>28.175086468852946</v>
      </c>
      <c r="H584" s="14">
        <v>30.780183069711775</v>
      </c>
      <c r="I584" s="14">
        <v>33.638989191542628</v>
      </c>
      <c r="J584" s="14">
        <v>36.707187483677217</v>
      </c>
      <c r="K584" s="14">
        <v>40.035686830815905</v>
      </c>
      <c r="L584" s="14">
        <v>43.669926179607771</v>
      </c>
      <c r="M584" s="14">
        <v>47.696971731981066</v>
      </c>
      <c r="N584" s="14">
        <v>52.167922686224536</v>
      </c>
      <c r="O584" s="14">
        <v>57.119812654568705</v>
      </c>
      <c r="P584" s="14">
        <v>62.519233229036423</v>
      </c>
      <c r="Q584" s="14">
        <v>68.330171675195288</v>
      </c>
      <c r="R584" s="14">
        <v>74.626585193803862</v>
      </c>
      <c r="S584" s="14"/>
      <c r="T584" s="14"/>
    </row>
    <row r="585" spans="1:20" x14ac:dyDescent="0.35">
      <c r="A585" t="s">
        <v>28</v>
      </c>
      <c r="B585" s="17" t="s">
        <v>84</v>
      </c>
      <c r="C585" s="40" t="s">
        <v>87</v>
      </c>
      <c r="D585" s="40" t="s">
        <v>87</v>
      </c>
      <c r="E585" s="40" t="s">
        <v>87</v>
      </c>
      <c r="F585" s="42">
        <v>46.912750268248274</v>
      </c>
      <c r="G585" s="42">
        <v>52.150172505522463</v>
      </c>
      <c r="H585" s="42">
        <v>57.862101699292737</v>
      </c>
      <c r="I585" s="42">
        <v>64.566696355326243</v>
      </c>
      <c r="J585" s="42">
        <v>72.389034534849458</v>
      </c>
      <c r="K585" s="42">
        <v>81.421433502132658</v>
      </c>
      <c r="L585" s="42">
        <v>91.492493967473735</v>
      </c>
      <c r="M585" s="42">
        <v>102.40983476808108</v>
      </c>
      <c r="N585" s="42">
        <v>114.14836821660026</v>
      </c>
      <c r="O585" s="42">
        <v>127.4389687283531</v>
      </c>
      <c r="P585" s="42">
        <v>142.78701642569138</v>
      </c>
      <c r="Q585" s="42">
        <v>160.24814028611121</v>
      </c>
      <c r="R585" s="42">
        <v>179.7742787160214</v>
      </c>
      <c r="S585" s="14"/>
      <c r="T585" s="14"/>
    </row>
    <row r="586" spans="1:20" x14ac:dyDescent="0.35">
      <c r="A586" t="s">
        <v>28</v>
      </c>
      <c r="B586" s="17" t="s">
        <v>84</v>
      </c>
      <c r="C586" s="13" t="s">
        <v>88</v>
      </c>
      <c r="D586" s="13" t="s">
        <v>88</v>
      </c>
      <c r="E586" s="13" t="s">
        <v>88</v>
      </c>
      <c r="F586" s="14">
        <v>30.411318084732041</v>
      </c>
      <c r="G586" s="14">
        <v>33.758810459537536</v>
      </c>
      <c r="H586" s="14">
        <v>37.542291994975031</v>
      </c>
      <c r="I586" s="14">
        <v>41.737288962976585</v>
      </c>
      <c r="J586" s="14">
        <v>46.345387549223759</v>
      </c>
      <c r="K586" s="14">
        <v>51.338665849519565</v>
      </c>
      <c r="L586" s="14">
        <v>56.887035670236898</v>
      </c>
      <c r="M586" s="14">
        <v>63.148813525469379</v>
      </c>
      <c r="N586" s="14">
        <v>70.310345732997064</v>
      </c>
      <c r="O586" s="14">
        <v>78.47154174732411</v>
      </c>
      <c r="P586" s="14">
        <v>87.606196789350108</v>
      </c>
      <c r="Q586" s="14">
        <v>97.687383486606436</v>
      </c>
      <c r="R586" s="14">
        <v>108.80113497697963</v>
      </c>
      <c r="S586" s="14"/>
      <c r="T586" s="14"/>
    </row>
    <row r="587" spans="1:20" x14ac:dyDescent="0.35">
      <c r="A587" t="s">
        <v>28</v>
      </c>
      <c r="B587" s="17" t="s">
        <v>84</v>
      </c>
      <c r="C587" s="13" t="s">
        <v>89</v>
      </c>
      <c r="D587" s="13" t="s">
        <v>89</v>
      </c>
      <c r="E587" s="13" t="s">
        <v>89</v>
      </c>
      <c r="F587" s="14">
        <v>8.5086790572002879</v>
      </c>
      <c r="G587" s="14">
        <v>9.3533034127891845</v>
      </c>
      <c r="H587" s="14">
        <v>10.291569129167344</v>
      </c>
      <c r="I587" s="14">
        <v>11.33853559884375</v>
      </c>
      <c r="J587" s="14">
        <v>12.509153276560394</v>
      </c>
      <c r="K587" s="14">
        <v>13.820583415815669</v>
      </c>
      <c r="L587" s="14">
        <v>15.290560735814831</v>
      </c>
      <c r="M587" s="14">
        <v>16.927553964437418</v>
      </c>
      <c r="N587" s="14">
        <v>18.739520041576256</v>
      </c>
      <c r="O587" s="14">
        <v>20.736832068683814</v>
      </c>
      <c r="P587" s="14">
        <v>22.929841418527918</v>
      </c>
      <c r="Q587" s="14">
        <v>25.342487113555947</v>
      </c>
      <c r="R587" s="14">
        <v>27.984406095921134</v>
      </c>
      <c r="S587" s="14"/>
      <c r="T587" s="14"/>
    </row>
    <row r="588" spans="1:20" x14ac:dyDescent="0.35">
      <c r="A588" t="s">
        <v>28</v>
      </c>
      <c r="B588" s="17" t="s">
        <v>84</v>
      </c>
      <c r="C588" s="13" t="s">
        <v>90</v>
      </c>
      <c r="D588" s="13" t="s">
        <v>90</v>
      </c>
      <c r="E588" s="13" t="s">
        <v>90</v>
      </c>
      <c r="F588" s="14">
        <v>17.966502040186867</v>
      </c>
      <c r="G588" s="14">
        <v>19.641387525039843</v>
      </c>
      <c r="H588" s="14">
        <v>21.492987016523067</v>
      </c>
      <c r="I588" s="14">
        <v>23.549585745546537</v>
      </c>
      <c r="J588" s="14">
        <v>25.838578899124769</v>
      </c>
      <c r="K588" s="14">
        <v>28.391278288985109</v>
      </c>
      <c r="L588" s="14">
        <v>31.239432241819244</v>
      </c>
      <c r="M588" s="14">
        <v>34.395100294874432</v>
      </c>
      <c r="N588" s="14">
        <v>37.868966602218457</v>
      </c>
      <c r="O588" s="14">
        <v>41.676287793786003</v>
      </c>
      <c r="P588" s="14">
        <v>45.831862792249339</v>
      </c>
      <c r="Q588" s="14">
        <v>50.37724061507101</v>
      </c>
      <c r="R588" s="14">
        <v>55.324541256711989</v>
      </c>
      <c r="S588" s="22"/>
      <c r="T588" s="22"/>
    </row>
    <row r="589" spans="1:20" x14ac:dyDescent="0.35">
      <c r="A589" t="s">
        <v>28</v>
      </c>
      <c r="B589" s="17" t="s">
        <v>91</v>
      </c>
      <c r="C589" s="13" t="s">
        <v>92</v>
      </c>
      <c r="D589" s="13" t="s">
        <v>92</v>
      </c>
      <c r="E589" s="13" t="s">
        <v>92</v>
      </c>
      <c r="F589" s="14">
        <v>59.309073892815526</v>
      </c>
      <c r="G589" s="14">
        <v>65.976927413389475</v>
      </c>
      <c r="H589" s="14">
        <v>73.476888997899763</v>
      </c>
      <c r="I589" s="14">
        <v>81.774304954761902</v>
      </c>
      <c r="J589" s="14">
        <v>90.845162319938595</v>
      </c>
      <c r="K589" s="14">
        <v>100.87678668129134</v>
      </c>
      <c r="L589" s="14">
        <v>112.06659678055853</v>
      </c>
      <c r="M589" s="14">
        <v>124.83384218308329</v>
      </c>
      <c r="N589" s="14">
        <v>139.46131265436895</v>
      </c>
      <c r="O589" s="14">
        <v>155.90736058060699</v>
      </c>
      <c r="P589" s="14">
        <v>174.40974779408623</v>
      </c>
      <c r="Q589" s="14">
        <v>194.93350569837696</v>
      </c>
      <c r="R589" s="14">
        <v>217.58000724428356</v>
      </c>
      <c r="S589" s="22"/>
      <c r="T589" s="22"/>
    </row>
    <row r="590" spans="1:20" x14ac:dyDescent="0.35">
      <c r="A590" t="s">
        <v>28</v>
      </c>
      <c r="B590" s="17" t="s">
        <v>91</v>
      </c>
      <c r="C590" s="13" t="s">
        <v>93</v>
      </c>
      <c r="D590" s="13" t="s">
        <v>93</v>
      </c>
      <c r="E590" s="13" t="s">
        <v>93</v>
      </c>
      <c r="F590" s="14">
        <v>78.585403123468922</v>
      </c>
      <c r="G590" s="14">
        <v>86.011843298515757</v>
      </c>
      <c r="H590" s="14">
        <v>94.114830508841223</v>
      </c>
      <c r="I590" s="14">
        <v>103.46497953836948</v>
      </c>
      <c r="J590" s="14">
        <v>114.22292418105147</v>
      </c>
      <c r="K590" s="14">
        <v>126.38305332174077</v>
      </c>
      <c r="L590" s="14">
        <v>139.85109635686479</v>
      </c>
      <c r="M590" s="14">
        <v>154.29167441723808</v>
      </c>
      <c r="N590" s="14">
        <v>169.64448533881273</v>
      </c>
      <c r="O590" s="14">
        <v>186.84000806603055</v>
      </c>
      <c r="P590" s="14">
        <v>206.09640581464168</v>
      </c>
      <c r="Q590" s="14">
        <v>227.50299803918381</v>
      </c>
      <c r="R590" s="14">
        <v>251.10822835616969</v>
      </c>
      <c r="S590" s="22"/>
      <c r="T590" s="22"/>
    </row>
    <row r="591" spans="1:20" x14ac:dyDescent="0.35">
      <c r="A591" t="s">
        <v>28</v>
      </c>
      <c r="B591" s="17" t="s">
        <v>94</v>
      </c>
      <c r="C591" s="13" t="s">
        <v>95</v>
      </c>
      <c r="D591" s="13" t="s">
        <v>95</v>
      </c>
      <c r="E591" s="13" t="s">
        <v>95</v>
      </c>
      <c r="F591" s="14">
        <v>19.129416236008844</v>
      </c>
      <c r="G591" s="14">
        <v>21.430975445146572</v>
      </c>
      <c r="H591" s="14">
        <v>24.01337607687887</v>
      </c>
      <c r="I591" s="14">
        <v>26.972624751085508</v>
      </c>
      <c r="J591" s="14">
        <v>30.350076802146528</v>
      </c>
      <c r="K591" s="14">
        <v>34.188431441502466</v>
      </c>
      <c r="L591" s="14">
        <v>38.519107495831861</v>
      </c>
      <c r="M591" s="14">
        <v>43.36625278758023</v>
      </c>
      <c r="N591" s="14">
        <v>48.781084093595702</v>
      </c>
      <c r="O591" s="14">
        <v>54.936272736659411</v>
      </c>
      <c r="P591" s="14">
        <v>61.94563845837488</v>
      </c>
      <c r="Q591" s="14">
        <v>69.85637393492847</v>
      </c>
      <c r="R591" s="14">
        <v>78.72004852908546</v>
      </c>
      <c r="S591" s="22"/>
      <c r="T591" s="22"/>
    </row>
    <row r="592" spans="1:20" x14ac:dyDescent="0.35">
      <c r="A592" t="s">
        <v>28</v>
      </c>
      <c r="B592" s="17" t="s">
        <v>94</v>
      </c>
      <c r="C592" s="40" t="s">
        <v>96</v>
      </c>
      <c r="D592" s="40" t="s">
        <v>96</v>
      </c>
      <c r="E592" s="40" t="s">
        <v>96</v>
      </c>
      <c r="F592" s="42">
        <v>19.438808790866915</v>
      </c>
      <c r="G592" s="42">
        <v>21.532509035609394</v>
      </c>
      <c r="H592" s="42">
        <v>23.770017119035487</v>
      </c>
      <c r="I592" s="42">
        <v>26.535534640687558</v>
      </c>
      <c r="J592" s="42">
        <v>29.939940629144559</v>
      </c>
      <c r="K592" s="42">
        <v>33.949909156782837</v>
      </c>
      <c r="L592" s="42">
        <v>38.422064622132012</v>
      </c>
      <c r="M592" s="42">
        <v>43.069641377029313</v>
      </c>
      <c r="N592" s="42">
        <v>47.802582567118293</v>
      </c>
      <c r="O592" s="42">
        <v>53.202049771866712</v>
      </c>
      <c r="P592" s="42">
        <v>59.456267387335231</v>
      </c>
      <c r="Q592" s="42">
        <v>66.625056330856182</v>
      </c>
      <c r="R592" s="42">
        <v>74.687030972992773</v>
      </c>
      <c r="S592" s="22"/>
      <c r="T592" s="22"/>
    </row>
    <row r="593" spans="1:20" x14ac:dyDescent="0.35">
      <c r="A593" t="s">
        <v>28</v>
      </c>
      <c r="B593" s="17" t="s">
        <v>94</v>
      </c>
      <c r="C593" s="13" t="s">
        <v>97</v>
      </c>
      <c r="D593" s="13" t="s">
        <v>97</v>
      </c>
      <c r="E593" s="13" t="s">
        <v>97</v>
      </c>
      <c r="F593" s="14">
        <v>19.751279621563732</v>
      </c>
      <c r="G593" s="14">
        <v>21.608856961943193</v>
      </c>
      <c r="H593" s="14">
        <v>23.645098098563032</v>
      </c>
      <c r="I593" s="14">
        <v>25.937883301694608</v>
      </c>
      <c r="J593" s="14">
        <v>28.50446402363762</v>
      </c>
      <c r="K593" s="14">
        <v>31.360686221922297</v>
      </c>
      <c r="L593" s="14">
        <v>34.509426926552152</v>
      </c>
      <c r="M593" s="14">
        <v>37.945554635032977</v>
      </c>
      <c r="N593" s="14">
        <v>41.686836911330559</v>
      </c>
      <c r="O593" s="14">
        <v>45.851897911006063</v>
      </c>
      <c r="P593" s="14">
        <v>50.497801230574289</v>
      </c>
      <c r="Q593" s="14">
        <v>55.620184645904757</v>
      </c>
      <c r="R593" s="14">
        <v>61.21655061727477</v>
      </c>
      <c r="S593" s="22"/>
      <c r="T593" s="22"/>
    </row>
    <row r="594" spans="1:20" x14ac:dyDescent="0.35">
      <c r="A594" t="s">
        <v>28</v>
      </c>
      <c r="B594" s="17" t="s">
        <v>94</v>
      </c>
      <c r="C594" s="13" t="s">
        <v>98</v>
      </c>
      <c r="D594" s="13" t="s">
        <v>98</v>
      </c>
      <c r="E594" s="13" t="s">
        <v>98</v>
      </c>
      <c r="F594" s="14">
        <v>37.648203195834157</v>
      </c>
      <c r="G594" s="14">
        <v>41.533689632478982</v>
      </c>
      <c r="H594" s="14">
        <v>45.872095183061312</v>
      </c>
      <c r="I594" s="14">
        <v>50.629265231865091</v>
      </c>
      <c r="J594" s="14">
        <v>55.7785195282693</v>
      </c>
      <c r="K594" s="14">
        <v>61.42358996903895</v>
      </c>
      <c r="L594" s="14">
        <v>67.670682102415995</v>
      </c>
      <c r="M594" s="14">
        <v>74.756147389169627</v>
      </c>
      <c r="N594" s="14">
        <v>82.826454480173766</v>
      </c>
      <c r="O594" s="14">
        <v>91.830112191281586</v>
      </c>
      <c r="P594" s="14">
        <v>101.88138596514206</v>
      </c>
      <c r="Q594" s="14">
        <v>112.93094149197218</v>
      </c>
      <c r="R594" s="14">
        <v>125.00948121538603</v>
      </c>
      <c r="S594" s="22"/>
      <c r="T594" s="22"/>
    </row>
    <row r="595" spans="1:20" x14ac:dyDescent="0.35">
      <c r="A595" t="s">
        <v>28</v>
      </c>
      <c r="B595" s="17" t="s">
        <v>94</v>
      </c>
      <c r="C595" s="13" t="s">
        <v>48</v>
      </c>
      <c r="D595" s="13" t="s">
        <v>48</v>
      </c>
      <c r="E595" s="13" t="s">
        <v>48</v>
      </c>
      <c r="F595" s="14">
        <v>16.765580232960602</v>
      </c>
      <c r="G595" s="14">
        <v>18.624281782535956</v>
      </c>
      <c r="H595" s="14">
        <v>20.721969751323321</v>
      </c>
      <c r="I595" s="14">
        <v>23.064568263471521</v>
      </c>
      <c r="J595" s="14">
        <v>25.633510812623758</v>
      </c>
      <c r="K595" s="14">
        <v>28.474932533417878</v>
      </c>
      <c r="L595" s="14">
        <v>31.634109113262483</v>
      </c>
      <c r="M595" s="14">
        <v>35.189353433361333</v>
      </c>
      <c r="N595" s="14">
        <v>39.197683534894068</v>
      </c>
      <c r="O595" s="14">
        <v>43.709062941791963</v>
      </c>
      <c r="P595" s="14">
        <v>48.722443020763421</v>
      </c>
      <c r="Q595" s="14">
        <v>54.233794239220224</v>
      </c>
      <c r="R595" s="14">
        <v>60.325214045195203</v>
      </c>
      <c r="S595" s="22"/>
      <c r="T595" s="22"/>
    </row>
    <row r="596" spans="1:20" x14ac:dyDescent="0.35">
      <c r="A596" t="s">
        <v>28</v>
      </c>
      <c r="B596" s="17" t="s">
        <v>94</v>
      </c>
      <c r="C596" s="13" t="s">
        <v>99</v>
      </c>
      <c r="D596" s="13" t="s">
        <v>99</v>
      </c>
      <c r="E596" s="13" t="s">
        <v>99</v>
      </c>
      <c r="F596" s="14">
        <v>16.035465732203171</v>
      </c>
      <c r="G596" s="14">
        <v>17.313294288699375</v>
      </c>
      <c r="H596" s="14">
        <v>18.711087734898445</v>
      </c>
      <c r="I596" s="14">
        <v>20.248239783217191</v>
      </c>
      <c r="J596" s="14">
        <v>21.942285255605935</v>
      </c>
      <c r="K596" s="14">
        <v>23.813064244919016</v>
      </c>
      <c r="L596" s="14">
        <v>25.879630698317417</v>
      </c>
      <c r="M596" s="14">
        <v>28.143593877163749</v>
      </c>
      <c r="N596" s="14">
        <v>30.605140639711294</v>
      </c>
      <c r="O596" s="14">
        <v>33.267919941066012</v>
      </c>
      <c r="P596" s="14">
        <v>36.134807683973193</v>
      </c>
      <c r="Q596" s="14">
        <v>39.229393677596583</v>
      </c>
      <c r="R596" s="14">
        <v>42.550948074564985</v>
      </c>
      <c r="S596" s="22"/>
      <c r="T596" s="22"/>
    </row>
    <row r="597" spans="1:20" x14ac:dyDescent="0.35">
      <c r="A597" t="s">
        <v>28</v>
      </c>
      <c r="B597" s="17" t="s">
        <v>94</v>
      </c>
      <c r="C597" s="13" t="s">
        <v>100</v>
      </c>
      <c r="D597" s="13" t="s">
        <v>100</v>
      </c>
      <c r="E597" s="13" t="s">
        <v>100</v>
      </c>
      <c r="F597" s="14">
        <v>9.1257232068470255</v>
      </c>
      <c r="G597" s="14">
        <v>9.9451635654917485</v>
      </c>
      <c r="H597" s="14">
        <v>10.858075542980529</v>
      </c>
      <c r="I597" s="14">
        <v>11.851168521109885</v>
      </c>
      <c r="J597" s="14">
        <v>12.919289449562363</v>
      </c>
      <c r="K597" s="14">
        <v>14.049226435448661</v>
      </c>
      <c r="L597" s="14">
        <v>15.282672178911392</v>
      </c>
      <c r="M597" s="14">
        <v>16.654973100984144</v>
      </c>
      <c r="N597" s="14">
        <v>18.206015766358011</v>
      </c>
      <c r="O597" s="14">
        <v>19.950053152965801</v>
      </c>
      <c r="P597" s="14">
        <v>21.867809862564847</v>
      </c>
      <c r="Q597" s="14">
        <v>23.940759417082326</v>
      </c>
      <c r="R597" s="14">
        <v>26.178962145954017</v>
      </c>
      <c r="S597" s="14"/>
      <c r="T597" s="14"/>
    </row>
    <row r="598" spans="1:20" x14ac:dyDescent="0.35">
      <c r="A598" t="s">
        <v>40</v>
      </c>
      <c r="B598" s="17" t="s">
        <v>54</v>
      </c>
      <c r="C598" s="13" t="s">
        <v>55</v>
      </c>
      <c r="D598" s="13" t="s">
        <v>55</v>
      </c>
      <c r="E598" s="13" t="s">
        <v>55</v>
      </c>
      <c r="F598" s="14">
        <v>26.078323928036532</v>
      </c>
      <c r="G598" s="14">
        <v>28.701526751866147</v>
      </c>
      <c r="H598" s="14">
        <v>31.624472868874751</v>
      </c>
      <c r="I598" s="14">
        <v>34.821371695102201</v>
      </c>
      <c r="J598" s="14">
        <v>38.271800345827323</v>
      </c>
      <c r="K598" s="14">
        <v>42.044993983512562</v>
      </c>
      <c r="L598" s="14">
        <v>46.211206995755333</v>
      </c>
      <c r="M598" s="14">
        <v>50.92888115537739</v>
      </c>
      <c r="N598" s="14">
        <v>56.293698679027919</v>
      </c>
      <c r="O598" s="14">
        <v>62.26586310835787</v>
      </c>
      <c r="P598" s="14">
        <v>68.918310245547616</v>
      </c>
      <c r="Q598" s="14">
        <v>76.212582499208466</v>
      </c>
      <c r="R598" s="14">
        <v>84.164557240656492</v>
      </c>
      <c r="S598" s="14"/>
      <c r="T598" s="14"/>
    </row>
    <row r="599" spans="1:20" x14ac:dyDescent="0.35">
      <c r="A599" t="s">
        <v>40</v>
      </c>
      <c r="B599" s="17" t="s">
        <v>54</v>
      </c>
      <c r="C599" s="13" t="s">
        <v>56</v>
      </c>
      <c r="D599" s="13" t="s">
        <v>56</v>
      </c>
      <c r="E599" s="13" t="s">
        <v>56</v>
      </c>
      <c r="F599" s="14">
        <v>60.884468249513731</v>
      </c>
      <c r="G599" s="14">
        <v>65.453157764606331</v>
      </c>
      <c r="H599" s="14">
        <v>70.495581979632789</v>
      </c>
      <c r="I599" s="14">
        <v>75.902969321936553</v>
      </c>
      <c r="J599" s="14">
        <v>81.623928171189277</v>
      </c>
      <c r="K599" s="14">
        <v>87.558423340876686</v>
      </c>
      <c r="L599" s="14">
        <v>93.953574120350922</v>
      </c>
      <c r="M599" s="14">
        <v>101.00372535481705</v>
      </c>
      <c r="N599" s="14">
        <v>108.91958964503672</v>
      </c>
      <c r="O599" s="14">
        <v>117.74628831606798</v>
      </c>
      <c r="P599" s="14">
        <v>127.32753966979139</v>
      </c>
      <c r="Q599" s="14">
        <v>137.51866658676894</v>
      </c>
      <c r="R599" s="14">
        <v>148.34596712613234</v>
      </c>
      <c r="S599" s="14"/>
      <c r="T599" s="14"/>
    </row>
    <row r="600" spans="1:20" x14ac:dyDescent="0.35">
      <c r="A600" t="s">
        <v>40</v>
      </c>
      <c r="B600" s="17" t="s">
        <v>54</v>
      </c>
      <c r="C600" s="13" t="s">
        <v>57</v>
      </c>
      <c r="D600" s="13" t="s">
        <v>57</v>
      </c>
      <c r="E600" s="13" t="s">
        <v>57</v>
      </c>
      <c r="F600" s="14">
        <v>170.70593714897851</v>
      </c>
      <c r="G600" s="14">
        <v>181.29172723369555</v>
      </c>
      <c r="H600" s="14">
        <v>192.56719760803878</v>
      </c>
      <c r="I600" s="14">
        <v>205.07058724705061</v>
      </c>
      <c r="J600" s="14">
        <v>218.79277011862342</v>
      </c>
      <c r="K600" s="14">
        <v>233.7070018498508</v>
      </c>
      <c r="L600" s="14">
        <v>249.68495708445514</v>
      </c>
      <c r="M600" s="14">
        <v>266.54720267526119</v>
      </c>
      <c r="N600" s="14">
        <v>284.28843839879011</v>
      </c>
      <c r="O600" s="14">
        <v>303.58493886522859</v>
      </c>
      <c r="P600" s="14">
        <v>324.61958393126685</v>
      </c>
      <c r="Q600" s="14">
        <v>347.14855344316538</v>
      </c>
      <c r="R600" s="14">
        <v>370.95632275320639</v>
      </c>
      <c r="S600" s="14"/>
      <c r="T600" s="14"/>
    </row>
    <row r="601" spans="1:20" x14ac:dyDescent="0.35">
      <c r="A601" t="s">
        <v>40</v>
      </c>
      <c r="B601" s="17" t="s">
        <v>59</v>
      </c>
      <c r="C601" s="18" t="s">
        <v>60</v>
      </c>
      <c r="D601" s="38" t="s">
        <v>61</v>
      </c>
      <c r="E601" s="39" t="s">
        <v>62</v>
      </c>
      <c r="F601" s="22">
        <v>10.295663138971637</v>
      </c>
      <c r="G601" s="22">
        <v>11.267661815166427</v>
      </c>
      <c r="H601" s="22">
        <v>12.350204917868757</v>
      </c>
      <c r="I601" s="22">
        <v>13.557337263619695</v>
      </c>
      <c r="J601" s="22">
        <v>14.909571678426842</v>
      </c>
      <c r="K601" s="22">
        <v>16.436439364582689</v>
      </c>
      <c r="L601" s="22">
        <v>18.158023055482285</v>
      </c>
      <c r="M601" s="22">
        <v>20.09624471861256</v>
      </c>
      <c r="N601" s="22">
        <v>22.248054569650382</v>
      </c>
      <c r="O601" s="22">
        <v>24.615437900356664</v>
      </c>
      <c r="P601" s="22">
        <v>27.185500193803861</v>
      </c>
      <c r="Q601" s="22">
        <v>29.960466142905069</v>
      </c>
      <c r="R601" s="22">
        <v>32.971707323749939</v>
      </c>
      <c r="S601" s="14"/>
      <c r="T601" s="14"/>
    </row>
    <row r="602" spans="1:20" x14ac:dyDescent="0.35">
      <c r="A602" t="s">
        <v>40</v>
      </c>
      <c r="B602" s="17" t="s">
        <v>59</v>
      </c>
      <c r="C602" s="18" t="s">
        <v>60</v>
      </c>
      <c r="D602" s="38" t="s">
        <v>61</v>
      </c>
      <c r="E602" s="39" t="s">
        <v>63</v>
      </c>
      <c r="F602" s="22">
        <v>16.192323908973737</v>
      </c>
      <c r="G602" s="22">
        <v>17.41009238624579</v>
      </c>
      <c r="H602" s="22">
        <v>18.653684090756055</v>
      </c>
      <c r="I602" s="22">
        <v>19.953431302619205</v>
      </c>
      <c r="J602" s="22">
        <v>21.368095815625569</v>
      </c>
      <c r="K602" s="22">
        <v>22.955987229220735</v>
      </c>
      <c r="L602" s="22">
        <v>24.761597292944955</v>
      </c>
      <c r="M602" s="22">
        <v>26.76333515132383</v>
      </c>
      <c r="N602" s="22">
        <v>28.907895489326283</v>
      </c>
      <c r="O602" s="22">
        <v>31.195265788814218</v>
      </c>
      <c r="P602" s="22">
        <v>33.660707709644086</v>
      </c>
      <c r="Q602" s="22">
        <v>36.345326103726791</v>
      </c>
      <c r="R602" s="22">
        <v>39.231231058066463</v>
      </c>
      <c r="S602" s="14"/>
      <c r="T602" s="14"/>
    </row>
    <row r="603" spans="1:20" x14ac:dyDescent="0.35">
      <c r="A603" t="s">
        <v>40</v>
      </c>
      <c r="B603" s="17" t="s">
        <v>59</v>
      </c>
      <c r="C603" s="18" t="s">
        <v>60</v>
      </c>
      <c r="D603" s="38" t="s">
        <v>61</v>
      </c>
      <c r="E603" s="39" t="s">
        <v>64</v>
      </c>
      <c r="F603" s="22">
        <v>23.655306149789261</v>
      </c>
      <c r="G603" s="22">
        <v>25.422865967750152</v>
      </c>
      <c r="H603" s="22">
        <v>27.40333852974689</v>
      </c>
      <c r="I603" s="22">
        <v>29.831184401873465</v>
      </c>
      <c r="J603" s="22">
        <v>32.430036093168056</v>
      </c>
      <c r="K603" s="22">
        <v>34.782345423917477</v>
      </c>
      <c r="L603" s="22">
        <v>36.768441187030263</v>
      </c>
      <c r="M603" s="22">
        <v>38.411100555401312</v>
      </c>
      <c r="N603" s="22">
        <v>40.068651667311421</v>
      </c>
      <c r="O603" s="22">
        <v>42.458817483332581</v>
      </c>
      <c r="P603" s="22">
        <v>45.597594466126026</v>
      </c>
      <c r="Q603" s="22">
        <v>48.980137446953535</v>
      </c>
      <c r="R603" s="22">
        <v>52.471636761881314</v>
      </c>
      <c r="S603" s="14"/>
      <c r="T603" s="14"/>
    </row>
    <row r="604" spans="1:20" x14ac:dyDescent="0.35">
      <c r="A604" t="s">
        <v>40</v>
      </c>
      <c r="B604" s="17" t="s">
        <v>59</v>
      </c>
      <c r="C604" s="18" t="s">
        <v>60</v>
      </c>
      <c r="D604" s="38" t="s">
        <v>65</v>
      </c>
      <c r="E604" s="38" t="s">
        <v>65</v>
      </c>
      <c r="F604" s="41">
        <v>47.511497021253433</v>
      </c>
      <c r="G604" s="41">
        <v>50.589836624440331</v>
      </c>
      <c r="H604" s="41">
        <v>53.920625243671033</v>
      </c>
      <c r="I604" s="41">
        <v>57.547097494666424</v>
      </c>
      <c r="J604" s="41">
        <v>61.504476598237687</v>
      </c>
      <c r="K604" s="41">
        <v>65.832109677587979</v>
      </c>
      <c r="L604" s="41">
        <v>70.5645631481473</v>
      </c>
      <c r="M604" s="41">
        <v>75.686444290237446</v>
      </c>
      <c r="N604" s="41">
        <v>81.178832273901634</v>
      </c>
      <c r="O604" s="41">
        <v>87.032486382597199</v>
      </c>
      <c r="P604" s="41">
        <v>93.236123934082386</v>
      </c>
      <c r="Q604" s="41">
        <v>99.832006132527667</v>
      </c>
      <c r="R604" s="41">
        <v>106.79767059460946</v>
      </c>
      <c r="S604" s="14"/>
      <c r="T604" s="14"/>
    </row>
    <row r="605" spans="1:20" x14ac:dyDescent="0.35">
      <c r="A605" t="s">
        <v>40</v>
      </c>
      <c r="B605" s="17" t="s">
        <v>59</v>
      </c>
      <c r="C605" s="18" t="s">
        <v>60</v>
      </c>
      <c r="D605" s="38" t="s">
        <v>66</v>
      </c>
      <c r="E605" s="38" t="s">
        <v>66</v>
      </c>
      <c r="F605" s="41">
        <v>29.262496793896688</v>
      </c>
      <c r="G605" s="41">
        <v>31.054374833927298</v>
      </c>
      <c r="H605" s="41">
        <v>32.994795823692407</v>
      </c>
      <c r="I605" s="41">
        <v>35.031717195955586</v>
      </c>
      <c r="J605" s="41">
        <v>37.124323712449772</v>
      </c>
      <c r="K605" s="41">
        <v>39.323369134217252</v>
      </c>
      <c r="L605" s="41">
        <v>41.672335873143481</v>
      </c>
      <c r="M605" s="41">
        <v>44.286634268765845</v>
      </c>
      <c r="N605" s="41">
        <v>47.20887125724078</v>
      </c>
      <c r="O605" s="41">
        <v>50.359337613230508</v>
      </c>
      <c r="P605" s="41">
        <v>53.757818665672325</v>
      </c>
      <c r="Q605" s="41">
        <v>57.331887121431123</v>
      </c>
      <c r="R605" s="41">
        <v>61.057578350236021</v>
      </c>
      <c r="S605" s="14"/>
      <c r="T605" s="14"/>
    </row>
    <row r="606" spans="1:20" x14ac:dyDescent="0.35">
      <c r="A606" t="s">
        <v>40</v>
      </c>
      <c r="B606" s="17" t="s">
        <v>59</v>
      </c>
      <c r="C606" s="18" t="s">
        <v>60</v>
      </c>
      <c r="D606" s="38" t="s">
        <v>67</v>
      </c>
      <c r="E606" s="38" t="s">
        <v>67</v>
      </c>
      <c r="F606" s="41">
        <v>19.871681826068563</v>
      </c>
      <c r="G606" s="41">
        <v>20.921907256104621</v>
      </c>
      <c r="H606" s="41">
        <v>21.948611830735</v>
      </c>
      <c r="I606" s="41">
        <v>22.987255283370075</v>
      </c>
      <c r="J606" s="41">
        <v>24.103105693903956</v>
      </c>
      <c r="K606" s="41">
        <v>25.355386067639156</v>
      </c>
      <c r="L606" s="41">
        <v>26.782872133393834</v>
      </c>
      <c r="M606" s="41">
        <v>28.349248132319346</v>
      </c>
      <c r="N606" s="41">
        <v>29.987107788309487</v>
      </c>
      <c r="O606" s="41">
        <v>31.689474983254616</v>
      </c>
      <c r="P606" s="41">
        <v>33.485520094953237</v>
      </c>
      <c r="Q606" s="41">
        <v>35.407558227807499</v>
      </c>
      <c r="R606" s="41">
        <v>37.427424644520741</v>
      </c>
      <c r="S606" s="14"/>
      <c r="T606" s="14"/>
    </row>
    <row r="607" spans="1:20" x14ac:dyDescent="0.35">
      <c r="A607" t="s">
        <v>40</v>
      </c>
      <c r="B607" s="17" t="s">
        <v>59</v>
      </c>
      <c r="C607" s="18" t="s">
        <v>60</v>
      </c>
      <c r="D607" s="38" t="s">
        <v>68</v>
      </c>
      <c r="E607" s="38" t="s">
        <v>68</v>
      </c>
      <c r="F607" s="41">
        <v>31.303216653894214</v>
      </c>
      <c r="G607" s="41">
        <v>33.764293303930778</v>
      </c>
      <c r="H607" s="41">
        <v>36.454233313030215</v>
      </c>
      <c r="I607" s="41">
        <v>39.410119461093842</v>
      </c>
      <c r="J607" s="41">
        <v>42.665267550128846</v>
      </c>
      <c r="K607" s="41">
        <v>46.257341577371847</v>
      </c>
      <c r="L607" s="41">
        <v>50.222326863743611</v>
      </c>
      <c r="M607" s="41">
        <v>54.562210108949301</v>
      </c>
      <c r="N607" s="41">
        <v>59.276208156664055</v>
      </c>
      <c r="O607" s="41">
        <v>64.37024152263632</v>
      </c>
      <c r="P607" s="41">
        <v>69.848706682576676</v>
      </c>
      <c r="Q607" s="41">
        <v>75.756017734751268</v>
      </c>
      <c r="R607" s="41">
        <v>82.089445087569715</v>
      </c>
      <c r="S607" s="14"/>
      <c r="T607" s="14"/>
    </row>
    <row r="608" spans="1:20" x14ac:dyDescent="0.35">
      <c r="A608" t="s">
        <v>40</v>
      </c>
      <c r="B608" s="17" t="s">
        <v>59</v>
      </c>
      <c r="C608" s="18" t="s">
        <v>60</v>
      </c>
      <c r="D608" s="38" t="s">
        <v>69</v>
      </c>
      <c r="E608" s="38" t="s">
        <v>69</v>
      </c>
      <c r="F608" s="41">
        <v>35.882621278642027</v>
      </c>
      <c r="G608" s="41">
        <v>37.463376832998648</v>
      </c>
      <c r="H608" s="41">
        <v>39.15301757125988</v>
      </c>
      <c r="I608" s="41">
        <v>40.974329795940896</v>
      </c>
      <c r="J608" s="41">
        <v>42.942314742012798</v>
      </c>
      <c r="K608" s="41">
        <v>45.073324639585557</v>
      </c>
      <c r="L608" s="41">
        <v>47.378768942032892</v>
      </c>
      <c r="M608" s="41">
        <v>49.835186174953151</v>
      </c>
      <c r="N608" s="41">
        <v>52.418129140668881</v>
      </c>
      <c r="O608" s="41">
        <v>55.110857898261848</v>
      </c>
      <c r="P608" s="41">
        <v>57.896249336022542</v>
      </c>
      <c r="Q608" s="41">
        <v>60.791403091197871</v>
      </c>
      <c r="R608" s="41">
        <v>63.772364682824268</v>
      </c>
      <c r="S608" s="14"/>
      <c r="T608" s="14"/>
    </row>
    <row r="609" spans="1:20" x14ac:dyDescent="0.35">
      <c r="A609" t="s">
        <v>40</v>
      </c>
      <c r="B609" s="17" t="s">
        <v>59</v>
      </c>
      <c r="C609" s="18" t="s">
        <v>70</v>
      </c>
      <c r="D609" s="19" t="s">
        <v>71</v>
      </c>
      <c r="E609" s="19" t="s">
        <v>71</v>
      </c>
      <c r="F609" s="22">
        <v>6.8082547048485873</v>
      </c>
      <c r="G609" s="22">
        <v>7.5102735913755714</v>
      </c>
      <c r="H609" s="22">
        <v>8.2860565273899152</v>
      </c>
      <c r="I609" s="22">
        <v>9.1646359086887852</v>
      </c>
      <c r="J609" s="22">
        <v>10.15455856609376</v>
      </c>
      <c r="K609" s="22">
        <v>11.264117451860679</v>
      </c>
      <c r="L609" s="22">
        <v>12.497183718708451</v>
      </c>
      <c r="M609" s="22">
        <v>13.854817047581912</v>
      </c>
      <c r="N609" s="22">
        <v>15.346433676751086</v>
      </c>
      <c r="O609" s="22">
        <v>17.018850298526974</v>
      </c>
      <c r="P609" s="22">
        <v>18.897536796319102</v>
      </c>
      <c r="Q609" s="22">
        <v>20.98575611435739</v>
      </c>
      <c r="R609" s="22">
        <v>23.287515424751206</v>
      </c>
      <c r="S609" s="14"/>
      <c r="T609" s="14"/>
    </row>
    <row r="610" spans="1:20" x14ac:dyDescent="0.35">
      <c r="A610" t="s">
        <v>40</v>
      </c>
      <c r="B610" s="17" t="s">
        <v>59</v>
      </c>
      <c r="C610" s="18" t="s">
        <v>70</v>
      </c>
      <c r="D610" s="19" t="s">
        <v>72</v>
      </c>
      <c r="E610" s="19" t="s">
        <v>72</v>
      </c>
      <c r="F610" s="22">
        <v>5.4181101834109331</v>
      </c>
      <c r="G610" s="22">
        <v>6.0554875903415581</v>
      </c>
      <c r="H610" s="22">
        <v>6.7754143673382368</v>
      </c>
      <c r="I610" s="22">
        <v>7.5758504722375584</v>
      </c>
      <c r="J610" s="22">
        <v>8.4556970569373888</v>
      </c>
      <c r="K610" s="22">
        <v>9.4334997017596454</v>
      </c>
      <c r="L610" s="22">
        <v>10.529090556512701</v>
      </c>
      <c r="M610" s="22">
        <v>11.783508769750016</v>
      </c>
      <c r="N610" s="22">
        <v>13.22567267133045</v>
      </c>
      <c r="O610" s="22">
        <v>14.854259851781128</v>
      </c>
      <c r="P610" s="22">
        <v>16.694529224724594</v>
      </c>
      <c r="Q610" s="22">
        <v>18.746091958704167</v>
      </c>
      <c r="R610" s="22">
        <v>21.021648662866173</v>
      </c>
      <c r="S610" s="14"/>
      <c r="T610" s="14"/>
    </row>
    <row r="611" spans="1:20" x14ac:dyDescent="0.35">
      <c r="A611" t="s">
        <v>40</v>
      </c>
      <c r="B611" s="17" t="s">
        <v>59</v>
      </c>
      <c r="C611" s="18" t="s">
        <v>70</v>
      </c>
      <c r="D611" s="19" t="s">
        <v>73</v>
      </c>
      <c r="E611" s="19" t="s">
        <v>73</v>
      </c>
      <c r="F611" s="22">
        <v>4.4925394153730043</v>
      </c>
      <c r="G611" s="22">
        <v>4.849361520378193</v>
      </c>
      <c r="H611" s="22">
        <v>5.240586094686952</v>
      </c>
      <c r="I611" s="22">
        <v>5.6594424602255735</v>
      </c>
      <c r="J611" s="22">
        <v>6.1004572374251484</v>
      </c>
      <c r="K611" s="22">
        <v>6.5727880747482841</v>
      </c>
      <c r="L611" s="22">
        <v>7.0849757484877225</v>
      </c>
      <c r="M611" s="22">
        <v>7.6583308204282101</v>
      </c>
      <c r="N611" s="22">
        <v>8.3029745026468262</v>
      </c>
      <c r="O611" s="22">
        <v>9.0081086079142612</v>
      </c>
      <c r="P611" s="22">
        <v>9.7798826478582814</v>
      </c>
      <c r="Q611" s="22">
        <v>10.607998917426515</v>
      </c>
      <c r="R611" s="22">
        <v>11.490324332257668</v>
      </c>
      <c r="S611" s="14"/>
      <c r="T611" s="14"/>
    </row>
    <row r="612" spans="1:20" x14ac:dyDescent="0.35">
      <c r="A612" t="s">
        <v>40</v>
      </c>
      <c r="B612" s="17" t="s">
        <v>59</v>
      </c>
      <c r="C612" s="18" t="s">
        <v>70</v>
      </c>
      <c r="D612" s="19" t="s">
        <v>74</v>
      </c>
      <c r="E612" s="19" t="s">
        <v>74</v>
      </c>
      <c r="F612" s="22">
        <v>5.6491865859769268</v>
      </c>
      <c r="G612" s="22">
        <v>6.1089712278806125</v>
      </c>
      <c r="H612" s="22">
        <v>6.6163591444673857</v>
      </c>
      <c r="I612" s="22">
        <v>7.1769160369520986</v>
      </c>
      <c r="J612" s="22">
        <v>7.7993187465815188</v>
      </c>
      <c r="K612" s="22">
        <v>8.4964961847475422</v>
      </c>
      <c r="L612" s="22">
        <v>9.2758191442995788</v>
      </c>
      <c r="M612" s="22">
        <v>10.14517547556054</v>
      </c>
      <c r="N612" s="22">
        <v>11.099392096724138</v>
      </c>
      <c r="O612" s="22">
        <v>12.135959109472577</v>
      </c>
      <c r="P612" s="22">
        <v>13.245058710280873</v>
      </c>
      <c r="Q612" s="22">
        <v>14.42461326549442</v>
      </c>
      <c r="R612" s="22">
        <v>15.686595696812404</v>
      </c>
      <c r="S612" s="22"/>
      <c r="T612" s="22"/>
    </row>
    <row r="613" spans="1:20" x14ac:dyDescent="0.35">
      <c r="A613" t="s">
        <v>40</v>
      </c>
      <c r="B613" s="17" t="s">
        <v>59</v>
      </c>
      <c r="C613" s="18" t="s">
        <v>70</v>
      </c>
      <c r="D613" s="19" t="s">
        <v>75</v>
      </c>
      <c r="E613" s="19" t="s">
        <v>75</v>
      </c>
      <c r="F613" s="22">
        <v>4.1767795949664466</v>
      </c>
      <c r="G613" s="22">
        <v>4.5870166239413361</v>
      </c>
      <c r="H613" s="22">
        <v>5.0456552188047423</v>
      </c>
      <c r="I613" s="22">
        <v>5.5522561192610054</v>
      </c>
      <c r="J613" s="22">
        <v>6.1004572374251484</v>
      </c>
      <c r="K613" s="22">
        <v>6.6995361681929007</v>
      </c>
      <c r="L613" s="22">
        <v>7.3581022499872493</v>
      </c>
      <c r="M613" s="22">
        <v>8.0920051598534464</v>
      </c>
      <c r="N613" s="22">
        <v>8.9114164286630757</v>
      </c>
      <c r="O613" s="22">
        <v>9.8243676600807124</v>
      </c>
      <c r="P613" s="22">
        <v>10.826976156457778</v>
      </c>
      <c r="Q613" s="22">
        <v>11.914780487543684</v>
      </c>
      <c r="R613" s="22">
        <v>13.102352318890494</v>
      </c>
      <c r="S613" s="22"/>
      <c r="T613" s="22"/>
    </row>
    <row r="614" spans="1:20" x14ac:dyDescent="0.35">
      <c r="A614" t="s">
        <v>40</v>
      </c>
      <c r="B614" s="17" t="s">
        <v>59</v>
      </c>
      <c r="C614" s="18" t="s">
        <v>76</v>
      </c>
      <c r="D614" s="19" t="s">
        <v>77</v>
      </c>
      <c r="E614" s="19" t="s">
        <v>77</v>
      </c>
      <c r="F614" s="22">
        <v>4.9202100910718292</v>
      </c>
      <c r="G614" s="22">
        <v>5.3241573641276316</v>
      </c>
      <c r="H614" s="22">
        <v>5.7719168608482834</v>
      </c>
      <c r="I614" s="22">
        <v>6.2554087791846831</v>
      </c>
      <c r="J614" s="22">
        <v>6.7710604647237167</v>
      </c>
      <c r="K614" s="22">
        <v>7.3111626692717939</v>
      </c>
      <c r="L614" s="22">
        <v>7.8967838637127814</v>
      </c>
      <c r="M614" s="22">
        <v>8.5451066484341442</v>
      </c>
      <c r="N614" s="22">
        <v>9.2751401623133347</v>
      </c>
      <c r="O614" s="22">
        <v>10.092276286725721</v>
      </c>
      <c r="P614" s="22">
        <v>10.984765867721425</v>
      </c>
      <c r="Q614" s="22">
        <v>11.941534564512818</v>
      </c>
      <c r="R614" s="22">
        <v>12.966049493860954</v>
      </c>
      <c r="S614" s="22"/>
      <c r="T614" s="22"/>
    </row>
    <row r="615" spans="1:20" x14ac:dyDescent="0.35">
      <c r="A615" t="s">
        <v>40</v>
      </c>
      <c r="B615" s="17" t="s">
        <v>59</v>
      </c>
      <c r="C615" s="18" t="s">
        <v>76</v>
      </c>
      <c r="D615" s="19" t="s">
        <v>78</v>
      </c>
      <c r="E615" s="19" t="s">
        <v>78</v>
      </c>
      <c r="F615" s="22">
        <v>4.7264981909307853</v>
      </c>
      <c r="G615" s="22">
        <v>5.0289604946280377</v>
      </c>
      <c r="H615" s="22">
        <v>5.351700187997416</v>
      </c>
      <c r="I615" s="22">
        <v>5.7097881108655439</v>
      </c>
      <c r="J615" s="22">
        <v>6.1031667454142333</v>
      </c>
      <c r="K615" s="22">
        <v>6.5312859959355487</v>
      </c>
      <c r="L615" s="22">
        <v>6.9907522687070296</v>
      </c>
      <c r="M615" s="22">
        <v>7.4767153728281128</v>
      </c>
      <c r="N615" s="22">
        <v>7.9891732005713854</v>
      </c>
      <c r="O615" s="22">
        <v>8.5472771658054523</v>
      </c>
      <c r="P615" s="22">
        <v>9.156429321397491</v>
      </c>
      <c r="Q615" s="22">
        <v>9.8100353120302053</v>
      </c>
      <c r="R615" s="22">
        <v>10.502250794173653</v>
      </c>
      <c r="S615" s="22"/>
      <c r="T615" s="22"/>
    </row>
    <row r="616" spans="1:20" x14ac:dyDescent="0.35">
      <c r="A616" t="s">
        <v>40</v>
      </c>
      <c r="B616" s="17" t="s">
        <v>59</v>
      </c>
      <c r="C616" s="18" t="s">
        <v>76</v>
      </c>
      <c r="D616" s="19" t="s">
        <v>79</v>
      </c>
      <c r="E616" s="19" t="s">
        <v>79</v>
      </c>
      <c r="F616" s="22">
        <v>2.7154745259381801</v>
      </c>
      <c r="G616" s="22">
        <v>2.9984772093323246</v>
      </c>
      <c r="H616" s="22">
        <v>3.3162745670405851</v>
      </c>
      <c r="I616" s="22">
        <v>3.6691374308455731</v>
      </c>
      <c r="J616" s="22">
        <v>4.0534239516713395</v>
      </c>
      <c r="K616" s="22">
        <v>4.4758000496467716</v>
      </c>
      <c r="L616" s="22">
        <v>4.9426271148284613</v>
      </c>
      <c r="M616" s="22">
        <v>5.4652643962184602</v>
      </c>
      <c r="N616" s="22">
        <v>6.0514786689162721</v>
      </c>
      <c r="O616" s="22">
        <v>6.7077456527417993</v>
      </c>
      <c r="P616" s="22">
        <v>7.4325392665522374</v>
      </c>
      <c r="Q616" s="22">
        <v>8.2238941041203013</v>
      </c>
      <c r="R616" s="22">
        <v>9.0929307054137745</v>
      </c>
      <c r="S616" s="22"/>
      <c r="T616" s="22"/>
    </row>
    <row r="617" spans="1:20" x14ac:dyDescent="0.35">
      <c r="A617" t="s">
        <v>40</v>
      </c>
      <c r="B617" s="17" t="s">
        <v>59</v>
      </c>
      <c r="C617" s="18" t="s">
        <v>76</v>
      </c>
      <c r="D617" s="19" t="s">
        <v>80</v>
      </c>
      <c r="E617" s="19" t="s">
        <v>80</v>
      </c>
      <c r="F617" s="22">
        <v>2.202142162296933</v>
      </c>
      <c r="G617" s="22">
        <v>2.3153511080118112</v>
      </c>
      <c r="H617" s="22">
        <v>2.4382388805135875</v>
      </c>
      <c r="I617" s="22">
        <v>2.5717126802064989</v>
      </c>
      <c r="J617" s="22">
        <v>2.7176365130523754</v>
      </c>
      <c r="K617" s="22">
        <v>2.8790873703783153</v>
      </c>
      <c r="L617" s="22">
        <v>3.0568476603171484</v>
      </c>
      <c r="M617" s="22">
        <v>3.2516969014873061</v>
      </c>
      <c r="N617" s="22">
        <v>3.4600501001304687</v>
      </c>
      <c r="O617" s="22">
        <v>3.6794468760236168</v>
      </c>
      <c r="P617" s="22">
        <v>3.9053963906207025</v>
      </c>
      <c r="Q617" s="22">
        <v>4.1361085467567316</v>
      </c>
      <c r="R617" s="22">
        <v>4.3739643774061143</v>
      </c>
      <c r="S617" s="22"/>
      <c r="T617" s="22"/>
    </row>
    <row r="618" spans="1:20" x14ac:dyDescent="0.35">
      <c r="A618" t="s">
        <v>40</v>
      </c>
      <c r="B618" s="17" t="s">
        <v>59</v>
      </c>
      <c r="C618" s="18" t="s">
        <v>76</v>
      </c>
      <c r="D618" s="19" t="s">
        <v>81</v>
      </c>
      <c r="E618" s="19" t="s">
        <v>81</v>
      </c>
      <c r="F618" s="22">
        <v>2.5847271002255616</v>
      </c>
      <c r="G618" s="22">
        <v>2.7739459995869544</v>
      </c>
      <c r="H618" s="22">
        <v>2.9665392866989864</v>
      </c>
      <c r="I618" s="22">
        <v>3.1673080664828999</v>
      </c>
      <c r="J618" s="22">
        <v>3.3855302323618575</v>
      </c>
      <c r="K618" s="22">
        <v>3.6303423935758334</v>
      </c>
      <c r="L618" s="22">
        <v>3.9086273790816728</v>
      </c>
      <c r="M618" s="22">
        <v>4.2167851927506668</v>
      </c>
      <c r="N618" s="22">
        <v>4.5462448717347899</v>
      </c>
      <c r="O618" s="22">
        <v>4.8968792080982269</v>
      </c>
      <c r="P618" s="22">
        <v>5.2740983817922142</v>
      </c>
      <c r="Q618" s="22">
        <v>5.6841872568957932</v>
      </c>
      <c r="R618" s="22">
        <v>6.1241568101049264</v>
      </c>
      <c r="S618" s="22"/>
      <c r="T618" s="22"/>
    </row>
    <row r="619" spans="1:20" x14ac:dyDescent="0.35">
      <c r="A619" t="s">
        <v>40</v>
      </c>
      <c r="B619" s="17" t="s">
        <v>47</v>
      </c>
      <c r="C619" s="13" t="s">
        <v>82</v>
      </c>
      <c r="D619" s="13" t="s">
        <v>82</v>
      </c>
      <c r="E619" s="13" t="s">
        <v>82</v>
      </c>
      <c r="F619" s="14">
        <v>86.962792177550256</v>
      </c>
      <c r="G619" s="14">
        <v>94.154684516472486</v>
      </c>
      <c r="H619" s="14">
        <v>102.12005484850754</v>
      </c>
      <c r="I619" s="14">
        <v>110.72434101703875</v>
      </c>
      <c r="J619" s="14">
        <v>119.89572851701661</v>
      </c>
      <c r="K619" s="14">
        <v>129.60341732438926</v>
      </c>
      <c r="L619" s="14">
        <v>140.16478111610627</v>
      </c>
      <c r="M619" s="14">
        <v>151.93260651019443</v>
      </c>
      <c r="N619" s="14">
        <v>165.21328832406465</v>
      </c>
      <c r="O619" s="14">
        <v>180.01215142442584</v>
      </c>
      <c r="P619" s="14">
        <v>196.24584991533902</v>
      </c>
      <c r="Q619" s="14">
        <v>213.73124908597742</v>
      </c>
      <c r="R619" s="14">
        <v>232.51052436678884</v>
      </c>
      <c r="S619" s="22"/>
      <c r="T619" s="22"/>
    </row>
    <row r="620" spans="1:20" x14ac:dyDescent="0.35">
      <c r="A620" t="s">
        <v>40</v>
      </c>
      <c r="B620" s="17" t="s">
        <v>47</v>
      </c>
      <c r="C620" s="13" t="s">
        <v>83</v>
      </c>
      <c r="D620" s="13" t="s">
        <v>83</v>
      </c>
      <c r="E620" s="13" t="s">
        <v>83</v>
      </c>
      <c r="F620" s="14">
        <v>170.70593714897851</v>
      </c>
      <c r="G620" s="14">
        <v>181.29172723369555</v>
      </c>
      <c r="H620" s="14">
        <v>192.56719760803878</v>
      </c>
      <c r="I620" s="14">
        <v>205.07058724705061</v>
      </c>
      <c r="J620" s="14">
        <v>218.79277011862342</v>
      </c>
      <c r="K620" s="14">
        <v>233.7070018498508</v>
      </c>
      <c r="L620" s="14">
        <v>249.68495708445514</v>
      </c>
      <c r="M620" s="14">
        <v>266.54720267526119</v>
      </c>
      <c r="N620" s="14">
        <v>284.28843839879011</v>
      </c>
      <c r="O620" s="14">
        <v>303.58493886522859</v>
      </c>
      <c r="P620" s="14">
        <v>324.61958393126685</v>
      </c>
      <c r="Q620" s="14">
        <v>347.14855344316538</v>
      </c>
      <c r="R620" s="14">
        <v>370.95632275320639</v>
      </c>
      <c r="S620" s="22"/>
      <c r="T620" s="22"/>
    </row>
    <row r="621" spans="1:20" x14ac:dyDescent="0.35">
      <c r="A621" t="s">
        <v>40</v>
      </c>
      <c r="B621" s="17" t="s">
        <v>84</v>
      </c>
      <c r="C621" s="13" t="s">
        <v>85</v>
      </c>
      <c r="D621" s="13" t="s">
        <v>85</v>
      </c>
      <c r="E621" s="13" t="s">
        <v>85</v>
      </c>
      <c r="F621" s="14">
        <v>19.377409905178734</v>
      </c>
      <c r="G621" s="14">
        <v>20.378433960500267</v>
      </c>
      <c r="H621" s="14">
        <v>21.456643292478947</v>
      </c>
      <c r="I621" s="14">
        <v>22.575807477706963</v>
      </c>
      <c r="J621" s="14">
        <v>23.708194904494803</v>
      </c>
      <c r="K621" s="14">
        <v>24.885528030941238</v>
      </c>
      <c r="L621" s="14">
        <v>26.13376949823056</v>
      </c>
      <c r="M621" s="14">
        <v>27.523023232428773</v>
      </c>
      <c r="N621" s="14">
        <v>29.07557859288827</v>
      </c>
      <c r="O621" s="14">
        <v>30.737519248367814</v>
      </c>
      <c r="P621" s="14">
        <v>32.517508461294376</v>
      </c>
      <c r="Q621" s="14">
        <v>34.368058152390049</v>
      </c>
      <c r="R621" s="14">
        <v>36.272369303366389</v>
      </c>
      <c r="S621" s="22"/>
      <c r="T621" s="22"/>
    </row>
    <row r="622" spans="1:20" x14ac:dyDescent="0.35">
      <c r="A622" t="s">
        <v>40</v>
      </c>
      <c r="B622" s="17" t="s">
        <v>84</v>
      </c>
      <c r="C622" s="13" t="s">
        <v>86</v>
      </c>
      <c r="D622" s="13" t="s">
        <v>86</v>
      </c>
      <c r="E622" s="13" t="s">
        <v>86</v>
      </c>
      <c r="F622" s="14">
        <v>47.609661388778683</v>
      </c>
      <c r="G622" s="14">
        <v>50.286967105075277</v>
      </c>
      <c r="H622" s="14">
        <v>53.177688490530279</v>
      </c>
      <c r="I622" s="14">
        <v>56.194698296028029</v>
      </c>
      <c r="J622" s="14">
        <v>59.270487261237001</v>
      </c>
      <c r="K622" s="14">
        <v>62.484992767687729</v>
      </c>
      <c r="L622" s="14">
        <v>65.905077883788451</v>
      </c>
      <c r="M622" s="14">
        <v>69.710074897623727</v>
      </c>
      <c r="N622" s="14">
        <v>73.961309271989009</v>
      </c>
      <c r="O622" s="14">
        <v>78.527274050024985</v>
      </c>
      <c r="P622" s="14">
        <v>83.434011856608947</v>
      </c>
      <c r="Q622" s="14">
        <v>88.563910731756692</v>
      </c>
      <c r="R622" s="14">
        <v>93.876373031138755</v>
      </c>
      <c r="S622" s="22"/>
      <c r="T622" s="22"/>
    </row>
    <row r="623" spans="1:20" x14ac:dyDescent="0.35">
      <c r="A623" t="s">
        <v>40</v>
      </c>
      <c r="B623" s="17" t="s">
        <v>84</v>
      </c>
      <c r="C623" s="40" t="s">
        <v>87</v>
      </c>
      <c r="D623" s="40" t="s">
        <v>87</v>
      </c>
      <c r="E623" s="40" t="s">
        <v>87</v>
      </c>
      <c r="F623" s="42">
        <v>80.229483933509499</v>
      </c>
      <c r="G623" s="42">
        <v>86.74838297037104</v>
      </c>
      <c r="H623" s="42">
        <v>93.840406697747369</v>
      </c>
      <c r="I623" s="42">
        <v>101.84061381816022</v>
      </c>
      <c r="J623" s="42">
        <v>110.75113905385427</v>
      </c>
      <c r="K623" s="42">
        <v>120.33699431591066</v>
      </c>
      <c r="L623" s="42">
        <v>130.67194780281528</v>
      </c>
      <c r="M623" s="42">
        <v>141.66762607415279</v>
      </c>
      <c r="N623" s="42">
        <v>153.51626164467768</v>
      </c>
      <c r="O623" s="42">
        <v>166.88350887693258</v>
      </c>
      <c r="P623" s="42">
        <v>181.74022019648368</v>
      </c>
      <c r="Q623" s="42">
        <v>197.90653662524039</v>
      </c>
      <c r="R623" s="42">
        <v>215.35773605060967</v>
      </c>
      <c r="S623" s="22"/>
      <c r="T623" s="22"/>
    </row>
    <row r="624" spans="1:20" x14ac:dyDescent="0.35">
      <c r="A624" t="s">
        <v>40</v>
      </c>
      <c r="B624" s="17" t="s">
        <v>84</v>
      </c>
      <c r="C624" s="13" t="s">
        <v>88</v>
      </c>
      <c r="D624" s="13" t="s">
        <v>88</v>
      </c>
      <c r="E624" s="13" t="s">
        <v>88</v>
      </c>
      <c r="F624" s="14">
        <v>56.622465739196059</v>
      </c>
      <c r="G624" s="14">
        <v>60.805937283485953</v>
      </c>
      <c r="H624" s="14">
        <v>65.309646214744888</v>
      </c>
      <c r="I624" s="14">
        <v>70.325542106803425</v>
      </c>
      <c r="J624" s="14">
        <v>75.866223694383365</v>
      </c>
      <c r="K624" s="14">
        <v>81.938387149999556</v>
      </c>
      <c r="L624" s="14">
        <v>88.513059330762857</v>
      </c>
      <c r="M624" s="14">
        <v>95.541513240080135</v>
      </c>
      <c r="N624" s="14">
        <v>103.03494934204814</v>
      </c>
      <c r="O624" s="14">
        <v>111.25180530623807</v>
      </c>
      <c r="P624" s="14">
        <v>120.28092015811761</v>
      </c>
      <c r="Q624" s="14">
        <v>130.05649875393402</v>
      </c>
      <c r="R624" s="14">
        <v>140.51989265380178</v>
      </c>
      <c r="S624" s="22"/>
      <c r="T624" s="22"/>
    </row>
    <row r="625" spans="1:20" x14ac:dyDescent="0.35">
      <c r="A625" t="s">
        <v>40</v>
      </c>
      <c r="B625" s="17" t="s">
        <v>84</v>
      </c>
      <c r="C625" s="13" t="s">
        <v>89</v>
      </c>
      <c r="D625" s="13" t="s">
        <v>89</v>
      </c>
      <c r="E625" s="13" t="s">
        <v>89</v>
      </c>
      <c r="F625" s="14">
        <v>17.875446873382799</v>
      </c>
      <c r="G625" s="14">
        <v>19.113044579884125</v>
      </c>
      <c r="H625" s="14">
        <v>20.4602180560561</v>
      </c>
      <c r="I625" s="14">
        <v>21.887001223592375</v>
      </c>
      <c r="J625" s="14">
        <v>23.369506405859163</v>
      </c>
      <c r="K625" s="14">
        <v>24.940743588821622</v>
      </c>
      <c r="L625" s="14">
        <v>26.630092496983583</v>
      </c>
      <c r="M625" s="14">
        <v>28.513758893811826</v>
      </c>
      <c r="N625" s="14">
        <v>30.62333521621591</v>
      </c>
      <c r="O625" s="14">
        <v>32.911954998891929</v>
      </c>
      <c r="P625" s="14">
        <v>35.396297613201135</v>
      </c>
      <c r="Q625" s="14">
        <v>38.032773301077924</v>
      </c>
      <c r="R625" s="14">
        <v>40.80857641416813</v>
      </c>
      <c r="S625" s="22"/>
      <c r="T625" s="22"/>
    </row>
    <row r="626" spans="1:20" x14ac:dyDescent="0.35">
      <c r="A626" t="s">
        <v>40</v>
      </c>
      <c r="B626" s="17" t="s">
        <v>84</v>
      </c>
      <c r="C626" s="13" t="s">
        <v>90</v>
      </c>
      <c r="D626" s="13" t="s">
        <v>90</v>
      </c>
      <c r="E626" s="13" t="s">
        <v>90</v>
      </c>
      <c r="F626" s="14">
        <v>35.95426148648297</v>
      </c>
      <c r="G626" s="14">
        <v>38.113645850851427</v>
      </c>
      <c r="H626" s="14">
        <v>40.44264970498871</v>
      </c>
      <c r="I626" s="14">
        <v>42.971265341798365</v>
      </c>
      <c r="J626" s="14">
        <v>45.72294731581141</v>
      </c>
      <c r="K626" s="14">
        <v>48.723773320879246</v>
      </c>
      <c r="L626" s="14">
        <v>51.995791187980679</v>
      </c>
      <c r="M626" s="14">
        <v>55.523812847358414</v>
      </c>
      <c r="N626" s="14">
        <v>59.290292655035756</v>
      </c>
      <c r="O626" s="14">
        <v>63.28502780919905</v>
      </c>
      <c r="P626" s="14">
        <v>67.49647556090008</v>
      </c>
      <c r="Q626" s="14">
        <v>71.952024964743686</v>
      </c>
      <c r="R626" s="14">
        <v>76.631899666910513</v>
      </c>
      <c r="S626" s="22"/>
      <c r="T626" s="22"/>
    </row>
    <row r="627" spans="1:20" x14ac:dyDescent="0.35">
      <c r="A627" t="s">
        <v>40</v>
      </c>
      <c r="B627" s="17" t="s">
        <v>91</v>
      </c>
      <c r="C627" s="13" t="s">
        <v>92</v>
      </c>
      <c r="D627" s="13" t="s">
        <v>92</v>
      </c>
      <c r="E627" s="13" t="s">
        <v>92</v>
      </c>
      <c r="F627" s="14">
        <v>96.299819548572302</v>
      </c>
      <c r="G627" s="14">
        <v>103.98609657376045</v>
      </c>
      <c r="H627" s="14">
        <v>112.49383452743207</v>
      </c>
      <c r="I627" s="14">
        <v>121.66014456363264</v>
      </c>
      <c r="J627" s="14">
        <v>131.41113747062835</v>
      </c>
      <c r="K627" s="14">
        <v>141.59323733470143</v>
      </c>
      <c r="L627" s="14">
        <v>152.61147231803167</v>
      </c>
      <c r="M627" s="14">
        <v>164.79232643548482</v>
      </c>
      <c r="N627" s="14">
        <v>178.49471670429773</v>
      </c>
      <c r="O627" s="14">
        <v>193.81243901250701</v>
      </c>
      <c r="P627" s="14">
        <v>210.50927281519068</v>
      </c>
      <c r="Q627" s="14">
        <v>228.36385053107355</v>
      </c>
      <c r="R627" s="14">
        <v>247.43468828352184</v>
      </c>
      <c r="S627" s="22"/>
      <c r="T627" s="22"/>
    </row>
    <row r="628" spans="1:20" x14ac:dyDescent="0.35">
      <c r="A628" t="s">
        <v>40</v>
      </c>
      <c r="B628" s="17" t="s">
        <v>91</v>
      </c>
      <c r="C628" s="13" t="s">
        <v>93</v>
      </c>
      <c r="D628" s="13" t="s">
        <v>93</v>
      </c>
      <c r="E628" s="13" t="s">
        <v>93</v>
      </c>
      <c r="F628" s="14">
        <v>161.36890977795645</v>
      </c>
      <c r="G628" s="14">
        <v>171.46031517640762</v>
      </c>
      <c r="H628" s="14">
        <v>182.19341792911428</v>
      </c>
      <c r="I628" s="14">
        <v>194.13478370045675</v>
      </c>
      <c r="J628" s="14">
        <v>207.27736116501168</v>
      </c>
      <c r="K628" s="14">
        <v>221.71718183953863</v>
      </c>
      <c r="L628" s="14">
        <v>237.23826588252976</v>
      </c>
      <c r="M628" s="14">
        <v>253.6874827499708</v>
      </c>
      <c r="N628" s="14">
        <v>271.00701001855703</v>
      </c>
      <c r="O628" s="14">
        <v>289.78465127714742</v>
      </c>
      <c r="P628" s="14">
        <v>310.35616103141513</v>
      </c>
      <c r="Q628" s="14">
        <v>332.51595199806923</v>
      </c>
      <c r="R628" s="14">
        <v>356.0321588364734</v>
      </c>
      <c r="S628" s="14"/>
      <c r="T628" s="14"/>
    </row>
    <row r="629" spans="1:20" x14ac:dyDescent="0.35">
      <c r="A629" t="s">
        <v>40</v>
      </c>
      <c r="B629" s="17" t="s">
        <v>94</v>
      </c>
      <c r="C629" s="13" t="s">
        <v>95</v>
      </c>
      <c r="D629" s="13" t="s">
        <v>95</v>
      </c>
      <c r="E629" s="13" t="s">
        <v>95</v>
      </c>
      <c r="F629" s="14">
        <v>7.5158973603893777</v>
      </c>
      <c r="G629" s="14">
        <v>8.1966133380987927</v>
      </c>
      <c r="H629" s="14">
        <v>8.9080218482204501</v>
      </c>
      <c r="I629" s="14">
        <v>9.6655724975100572</v>
      </c>
      <c r="J629" s="14">
        <v>10.499343457704841</v>
      </c>
      <c r="K629" s="14">
        <v>11.440871503680572</v>
      </c>
      <c r="L629" s="14">
        <v>12.516529938897206</v>
      </c>
      <c r="M629" s="14">
        <v>13.720670708862572</v>
      </c>
      <c r="N629" s="14">
        <v>15.0309146130946</v>
      </c>
      <c r="O629" s="14">
        <v>16.451182254842529</v>
      </c>
      <c r="P629" s="14">
        <v>18.004111199236227</v>
      </c>
      <c r="Q629" s="14">
        <v>19.716642119473693</v>
      </c>
      <c r="R629" s="14">
        <v>21.58510927718541</v>
      </c>
      <c r="S629" s="14"/>
      <c r="T629" s="14"/>
    </row>
    <row r="630" spans="1:20" x14ac:dyDescent="0.35">
      <c r="A630" t="s">
        <v>40</v>
      </c>
      <c r="B630" s="17" t="s">
        <v>94</v>
      </c>
      <c r="C630" s="40" t="s">
        <v>96</v>
      </c>
      <c r="D630" s="40" t="s">
        <v>96</v>
      </c>
      <c r="E630" s="40" t="s">
        <v>96</v>
      </c>
      <c r="F630" s="42">
        <v>52.564756376857588</v>
      </c>
      <c r="G630" s="42">
        <v>56.844564550213931</v>
      </c>
      <c r="H630" s="42">
        <v>62.143900029963135</v>
      </c>
      <c r="I630" s="42">
        <v>68.673403881059812</v>
      </c>
      <c r="J630" s="42">
        <v>75.866223694383336</v>
      </c>
      <c r="K630" s="42">
        <v>83.214076761414333</v>
      </c>
      <c r="L630" s="42">
        <v>90.379467801188298</v>
      </c>
      <c r="M630" s="42">
        <v>97.626010713573123</v>
      </c>
      <c r="N630" s="42">
        <v>105.6456475627898</v>
      </c>
      <c r="O630" s="42">
        <v>115.14823094954295</v>
      </c>
      <c r="P630" s="42">
        <v>126.10901645423428</v>
      </c>
      <c r="Q630" s="42">
        <v>137.89772207715674</v>
      </c>
      <c r="R630" s="42">
        <v>150.48624843814707</v>
      </c>
      <c r="S630" s="14"/>
      <c r="T630" s="14"/>
    </row>
    <row r="631" spans="1:20" x14ac:dyDescent="0.35">
      <c r="A631" t="s">
        <v>40</v>
      </c>
      <c r="B631" s="17" t="s">
        <v>94</v>
      </c>
      <c r="C631" s="13" t="s">
        <v>97</v>
      </c>
      <c r="D631" s="13" t="s">
        <v>97</v>
      </c>
      <c r="E631" s="13" t="s">
        <v>97</v>
      </c>
      <c r="F631" s="14">
        <v>22.993472879962408</v>
      </c>
      <c r="G631" s="14">
        <v>24.472031966707778</v>
      </c>
      <c r="H631" s="14">
        <v>25.953232395286268</v>
      </c>
      <c r="I631" s="14">
        <v>27.478625135140632</v>
      </c>
      <c r="J631" s="14">
        <v>29.12721088266504</v>
      </c>
      <c r="K631" s="14">
        <v>30.974115408242344</v>
      </c>
      <c r="L631" s="14">
        <v>33.072679786524418</v>
      </c>
      <c r="M631" s="14">
        <v>35.385694195600081</v>
      </c>
      <c r="N631" s="14">
        <v>37.835354908225696</v>
      </c>
      <c r="O631" s="14">
        <v>40.416597884064473</v>
      </c>
      <c r="P631" s="14">
        <v>43.170159027716203</v>
      </c>
      <c r="Q631" s="14">
        <v>46.142517475389027</v>
      </c>
      <c r="R631" s="14">
        <v>49.303246013514972</v>
      </c>
      <c r="S631" s="14"/>
      <c r="T631" s="14"/>
    </row>
    <row r="632" spans="1:20" x14ac:dyDescent="0.35">
      <c r="A632" t="s">
        <v>40</v>
      </c>
      <c r="B632" s="17" t="s">
        <v>94</v>
      </c>
      <c r="C632" s="13" t="s">
        <v>98</v>
      </c>
      <c r="D632" s="13" t="s">
        <v>98</v>
      </c>
      <c r="E632" s="13" t="s">
        <v>98</v>
      </c>
      <c r="F632" s="14">
        <v>88.944837629109415</v>
      </c>
      <c r="G632" s="14">
        <v>95.249471599604618</v>
      </c>
      <c r="H632" s="14">
        <v>101.64122026034384</v>
      </c>
      <c r="I632" s="14">
        <v>108.28385653680358</v>
      </c>
      <c r="J632" s="14">
        <v>115.49277803475326</v>
      </c>
      <c r="K632" s="14">
        <v>123.57580671353584</v>
      </c>
      <c r="L632" s="14">
        <v>132.76135560979955</v>
      </c>
      <c r="M632" s="14">
        <v>142.9197773156435</v>
      </c>
      <c r="N632" s="14">
        <v>153.7540285742889</v>
      </c>
      <c r="O632" s="14">
        <v>165.25515771843243</v>
      </c>
      <c r="P632" s="14">
        <v>177.60113170392617</v>
      </c>
      <c r="Q632" s="14">
        <v>190.99780619559306</v>
      </c>
      <c r="R632" s="14">
        <v>205.3376074786469</v>
      </c>
      <c r="S632" s="14"/>
      <c r="T632" s="14"/>
    </row>
    <row r="633" spans="1:20" x14ac:dyDescent="0.35">
      <c r="A633" t="s">
        <v>40</v>
      </c>
      <c r="B633" s="17" t="s">
        <v>94</v>
      </c>
      <c r="C633" s="13" t="s">
        <v>48</v>
      </c>
      <c r="D633" s="13" t="s">
        <v>48</v>
      </c>
      <c r="E633" s="13" t="s">
        <v>48</v>
      </c>
      <c r="F633" s="14">
        <v>18.3259954574152</v>
      </c>
      <c r="G633" s="14">
        <v>19.635356941345886</v>
      </c>
      <c r="H633" s="14">
        <v>21.070995691059942</v>
      </c>
      <c r="I633" s="14">
        <v>22.646719466835386</v>
      </c>
      <c r="J633" s="14">
        <v>24.385571901766081</v>
      </c>
      <c r="K633" s="14">
        <v>26.322964483439709</v>
      </c>
      <c r="L633" s="14">
        <v>28.475699890392477</v>
      </c>
      <c r="M633" s="14">
        <v>30.861440945699119</v>
      </c>
      <c r="N633" s="14">
        <v>33.457350464509609</v>
      </c>
      <c r="O633" s="14">
        <v>36.249309962865453</v>
      </c>
      <c r="P633" s="14">
        <v>39.201755155123045</v>
      </c>
      <c r="Q633" s="14">
        <v>42.303201269425855</v>
      </c>
      <c r="R633" s="14">
        <v>45.583683961289921</v>
      </c>
      <c r="S633" s="14"/>
      <c r="T633" s="14"/>
    </row>
    <row r="634" spans="1:20" x14ac:dyDescent="0.35">
      <c r="A634" t="s">
        <v>40</v>
      </c>
      <c r="B634" s="17" t="s">
        <v>94</v>
      </c>
      <c r="C634" s="13" t="s">
        <v>99</v>
      </c>
      <c r="D634" s="13" t="s">
        <v>99</v>
      </c>
      <c r="E634" s="13" t="s">
        <v>99</v>
      </c>
      <c r="F634" s="14">
        <v>25.075656362439094</v>
      </c>
      <c r="G634" s="14">
        <v>26.341897656487891</v>
      </c>
      <c r="H634" s="14">
        <v>27.572582251264038</v>
      </c>
      <c r="I634" s="14">
        <v>28.812468390458829</v>
      </c>
      <c r="J634" s="14">
        <v>30.143276378571962</v>
      </c>
      <c r="K634" s="14">
        <v>31.638431926051187</v>
      </c>
      <c r="L634" s="14">
        <v>33.345186327244903</v>
      </c>
      <c r="M634" s="14">
        <v>35.216875771612877</v>
      </c>
      <c r="N634" s="14">
        <v>37.16862462790646</v>
      </c>
      <c r="O634" s="14">
        <v>39.191209248225526</v>
      </c>
      <c r="P634" s="14">
        <v>41.320188334918072</v>
      </c>
      <c r="Q634" s="14">
        <v>43.594681385987663</v>
      </c>
      <c r="R634" s="14">
        <v>45.97899110052419</v>
      </c>
      <c r="S634" s="14"/>
      <c r="T634" s="14"/>
    </row>
    <row r="635" spans="1:20" x14ac:dyDescent="0.35">
      <c r="A635" t="s">
        <v>40</v>
      </c>
      <c r="B635" s="17" t="s">
        <v>94</v>
      </c>
      <c r="C635" s="13" t="s">
        <v>100</v>
      </c>
      <c r="D635" s="13" t="s">
        <v>100</v>
      </c>
      <c r="E635" s="13" t="s">
        <v>100</v>
      </c>
      <c r="F635" s="14">
        <v>42.248113260355659</v>
      </c>
      <c r="G635" s="14">
        <v>44.706475697709166</v>
      </c>
      <c r="H635" s="14">
        <v>47.397299980408626</v>
      </c>
      <c r="I635" s="14">
        <v>50.234282356281071</v>
      </c>
      <c r="J635" s="14">
        <v>53.174094285795533</v>
      </c>
      <c r="K635" s="14">
        <v>56.14415237787604</v>
      </c>
      <c r="L635" s="14">
        <v>59.298818846514592</v>
      </c>
      <c r="M635" s="14">
        <v>62.749339534464355</v>
      </c>
      <c r="N635" s="14">
        <v>66.609805972039666</v>
      </c>
      <c r="O635" s="14">
        <v>70.88540227168113</v>
      </c>
      <c r="P635" s="14">
        <v>75.459071971451763</v>
      </c>
      <c r="Q635" s="14">
        <v>80.227232006116751</v>
      </c>
      <c r="R635" s="14">
        <v>85.191960850686769</v>
      </c>
      <c r="S635" s="14"/>
      <c r="T635" s="14"/>
    </row>
    <row r="636" spans="1:20" x14ac:dyDescent="0.35">
      <c r="A636" t="s">
        <v>43</v>
      </c>
      <c r="B636" s="17" t="s">
        <v>54</v>
      </c>
      <c r="C636" s="13" t="s">
        <v>55</v>
      </c>
      <c r="D636" s="13" t="s">
        <v>55</v>
      </c>
      <c r="E636" s="13" t="s">
        <v>55</v>
      </c>
      <c r="F636" s="14">
        <v>16.654833046042686</v>
      </c>
      <c r="G636" s="14">
        <v>18.553758994369289</v>
      </c>
      <c r="H636" s="14">
        <v>20.70011678484537</v>
      </c>
      <c r="I636" s="14">
        <v>23.129272258689294</v>
      </c>
      <c r="J636" s="14">
        <v>25.889747292765538</v>
      </c>
      <c r="K636" s="14">
        <v>29.048723917420084</v>
      </c>
      <c r="L636" s="14">
        <v>32.660928202649664</v>
      </c>
      <c r="M636" s="14">
        <v>36.787631383362886</v>
      </c>
      <c r="N636" s="14">
        <v>41.448005410661146</v>
      </c>
      <c r="O636" s="14">
        <v>46.671138423323072</v>
      </c>
      <c r="P636" s="14">
        <v>52.459130155728218</v>
      </c>
      <c r="Q636" s="14">
        <v>58.842523789065311</v>
      </c>
      <c r="R636" s="14">
        <v>65.910399995271931</v>
      </c>
      <c r="S636" s="14"/>
      <c r="T636" s="14"/>
    </row>
    <row r="637" spans="1:20" x14ac:dyDescent="0.35">
      <c r="A637" t="s">
        <v>43</v>
      </c>
      <c r="B637" s="17" t="s">
        <v>54</v>
      </c>
      <c r="C637" s="13" t="s">
        <v>56</v>
      </c>
      <c r="D637" s="13" t="s">
        <v>56</v>
      </c>
      <c r="E637" s="13" t="s">
        <v>56</v>
      </c>
      <c r="F637" s="14">
        <v>38.810955844779549</v>
      </c>
      <c r="G637" s="14">
        <v>42.358254821988155</v>
      </c>
      <c r="H637" s="14">
        <v>46.274150194129767</v>
      </c>
      <c r="I637" s="14">
        <v>50.617613557200109</v>
      </c>
      <c r="J637" s="14">
        <v>55.445299511940377</v>
      </c>
      <c r="K637" s="14">
        <v>60.821877431128165</v>
      </c>
      <c r="L637" s="14">
        <v>66.812507646723532</v>
      </c>
      <c r="M637" s="14">
        <v>73.439792634172107</v>
      </c>
      <c r="N637" s="14">
        <v>80.723229135319514</v>
      </c>
      <c r="O637" s="14">
        <v>88.691910675211901</v>
      </c>
      <c r="P637" s="14">
        <v>97.373741714810777</v>
      </c>
      <c r="Q637" s="14">
        <v>106.85325114569574</v>
      </c>
      <c r="R637" s="14">
        <v>117.15196157477011</v>
      </c>
      <c r="S637" s="14"/>
      <c r="T637" s="14"/>
    </row>
    <row r="638" spans="1:20" x14ac:dyDescent="0.35">
      <c r="A638" t="s">
        <v>43</v>
      </c>
      <c r="B638" s="17" t="s">
        <v>54</v>
      </c>
      <c r="C638" s="13" t="s">
        <v>57</v>
      </c>
      <c r="D638" s="13" t="s">
        <v>57</v>
      </c>
      <c r="E638" s="13" t="s">
        <v>57</v>
      </c>
      <c r="F638" s="14">
        <v>107.31527832605187</v>
      </c>
      <c r="G638" s="14">
        <v>116.0506800800037</v>
      </c>
      <c r="H638" s="14">
        <v>125.61871540089828</v>
      </c>
      <c r="I638" s="14">
        <v>136.15356678073101</v>
      </c>
      <c r="J638" s="14">
        <v>147.77776109587407</v>
      </c>
      <c r="K638" s="14">
        <v>160.63011884803979</v>
      </c>
      <c r="L638" s="14">
        <v>174.84502680581403</v>
      </c>
      <c r="M638" s="14">
        <v>190.43985344942618</v>
      </c>
      <c r="N638" s="14">
        <v>207.4224442450367</v>
      </c>
      <c r="O638" s="14">
        <v>225.82415244452744</v>
      </c>
      <c r="P638" s="14">
        <v>245.67127680134689</v>
      </c>
      <c r="Q638" s="14">
        <v>267.13110605301523</v>
      </c>
      <c r="R638" s="14">
        <v>290.20637619933291</v>
      </c>
      <c r="S638" s="14"/>
      <c r="T638" s="14"/>
    </row>
    <row r="639" spans="1:20" x14ac:dyDescent="0.35">
      <c r="A639" t="s">
        <v>43</v>
      </c>
      <c r="B639" s="17" t="s">
        <v>59</v>
      </c>
      <c r="C639" s="18" t="s">
        <v>60</v>
      </c>
      <c r="D639" s="38" t="s">
        <v>61</v>
      </c>
      <c r="E639" s="39" t="s">
        <v>62</v>
      </c>
      <c r="F639" s="22">
        <v>6.3445070457576742</v>
      </c>
      <c r="G639" s="22">
        <v>7.1148609231578774</v>
      </c>
      <c r="H639" s="22">
        <v>7.992981355470465</v>
      </c>
      <c r="I639" s="22">
        <v>8.9768156147806941</v>
      </c>
      <c r="J639" s="22">
        <v>10.069778260343812</v>
      </c>
      <c r="K639" s="22">
        <v>11.268960669304258</v>
      </c>
      <c r="L639" s="22">
        <v>12.614706758568749</v>
      </c>
      <c r="M639" s="22">
        <v>14.146392072123236</v>
      </c>
      <c r="N639" s="22">
        <v>15.91121018178489</v>
      </c>
      <c r="O639" s="22">
        <v>17.938626193072597</v>
      </c>
      <c r="P639" s="22">
        <v>20.230356319085349</v>
      </c>
      <c r="Q639" s="22">
        <v>22.787890183511923</v>
      </c>
      <c r="R639" s="22">
        <v>25.639002747008028</v>
      </c>
      <c r="S639" s="14"/>
      <c r="T639" s="14"/>
    </row>
    <row r="640" spans="1:20" x14ac:dyDescent="0.35">
      <c r="A640" t="s">
        <v>43</v>
      </c>
      <c r="B640" s="17" t="s">
        <v>59</v>
      </c>
      <c r="C640" s="18" t="s">
        <v>60</v>
      </c>
      <c r="D640" s="38" t="s">
        <v>61</v>
      </c>
      <c r="E640" s="39" t="s">
        <v>63</v>
      </c>
      <c r="F640" s="22">
        <v>9.9152710900113767</v>
      </c>
      <c r="G640" s="22">
        <v>10.879695757554593</v>
      </c>
      <c r="H640" s="22">
        <v>11.957159315106255</v>
      </c>
      <c r="I640" s="22">
        <v>13.146316598680526</v>
      </c>
      <c r="J640" s="22">
        <v>14.431802022889061</v>
      </c>
      <c r="K640" s="22">
        <v>15.835300474497929</v>
      </c>
      <c r="L640" s="22">
        <v>17.37684077932996</v>
      </c>
      <c r="M640" s="22">
        <v>19.093479462138948</v>
      </c>
      <c r="N640" s="22">
        <v>21.008745006180863</v>
      </c>
      <c r="O640" s="22">
        <v>23.141037489812749</v>
      </c>
      <c r="P640" s="22">
        <v>25.480627156168556</v>
      </c>
      <c r="Q640" s="22">
        <v>28.016453090104079</v>
      </c>
      <c r="R640" s="22">
        <v>30.782244318159627</v>
      </c>
      <c r="S640" s="14"/>
      <c r="T640" s="14"/>
    </row>
    <row r="641" spans="1:20" x14ac:dyDescent="0.35">
      <c r="A641" t="s">
        <v>43</v>
      </c>
      <c r="B641" s="17" t="s">
        <v>59</v>
      </c>
      <c r="C641" s="18" t="s">
        <v>60</v>
      </c>
      <c r="D641" s="38" t="s">
        <v>61</v>
      </c>
      <c r="E641" s="39" t="s">
        <v>64</v>
      </c>
      <c r="F641" s="22">
        <v>16.767820559678842</v>
      </c>
      <c r="G641" s="22">
        <v>17.86010851657857</v>
      </c>
      <c r="H641" s="22">
        <v>18.955248599343005</v>
      </c>
      <c r="I641" s="22">
        <v>20.217082763398963</v>
      </c>
      <c r="J641" s="22">
        <v>21.902927828950592</v>
      </c>
      <c r="K641" s="22">
        <v>24.009154482960145</v>
      </c>
      <c r="L641" s="22">
        <v>26.499201352580243</v>
      </c>
      <c r="M641" s="22">
        <v>29.097663332865928</v>
      </c>
      <c r="N641" s="22">
        <v>31.634296323375978</v>
      </c>
      <c r="O641" s="22">
        <v>33.988396754244043</v>
      </c>
      <c r="P641" s="22">
        <v>36.288716512944482</v>
      </c>
      <c r="Q641" s="22">
        <v>38.85363183785806</v>
      </c>
      <c r="R641" s="22">
        <v>41.450499056162265</v>
      </c>
      <c r="S641" s="14"/>
      <c r="T641" s="14"/>
    </row>
    <row r="642" spans="1:20" x14ac:dyDescent="0.35">
      <c r="A642" t="s">
        <v>43</v>
      </c>
      <c r="B642" s="17" t="s">
        <v>59</v>
      </c>
      <c r="C642" s="18" t="s">
        <v>60</v>
      </c>
      <c r="D642" s="38" t="s">
        <v>65</v>
      </c>
      <c r="E642" s="38" t="s">
        <v>65</v>
      </c>
      <c r="F642" s="41">
        <v>29.638146123135208</v>
      </c>
      <c r="G642" s="41">
        <v>32.283842539897712</v>
      </c>
      <c r="H642" s="41">
        <v>35.222781042339044</v>
      </c>
      <c r="I642" s="41">
        <v>38.443956772600039</v>
      </c>
      <c r="J642" s="41">
        <v>41.895568052700057</v>
      </c>
      <c r="K642" s="41">
        <v>45.634764062697108</v>
      </c>
      <c r="L642" s="41">
        <v>49.712154738043296</v>
      </c>
      <c r="M642" s="41">
        <v>54.225465715776288</v>
      </c>
      <c r="N642" s="41">
        <v>59.231014534513868</v>
      </c>
      <c r="O642" s="41">
        <v>64.768846176008992</v>
      </c>
      <c r="P642" s="41">
        <v>70.798911893518934</v>
      </c>
      <c r="Q642" s="41">
        <v>77.27841141470175</v>
      </c>
      <c r="R642" s="41">
        <v>84.289128148577163</v>
      </c>
      <c r="S642" s="22"/>
      <c r="T642" s="22"/>
    </row>
    <row r="643" spans="1:20" x14ac:dyDescent="0.35">
      <c r="A643" t="s">
        <v>43</v>
      </c>
      <c r="B643" s="17" t="s">
        <v>59</v>
      </c>
      <c r="C643" s="18" t="s">
        <v>60</v>
      </c>
      <c r="D643" s="38" t="s">
        <v>66</v>
      </c>
      <c r="E643" s="38" t="s">
        <v>66</v>
      </c>
      <c r="F643" s="41">
        <v>18.253239505526878</v>
      </c>
      <c r="G643" s="41">
        <v>19.760555303456087</v>
      </c>
      <c r="H643" s="41">
        <v>21.427273935315593</v>
      </c>
      <c r="I643" s="41">
        <v>23.243511385554061</v>
      </c>
      <c r="J643" s="41">
        <v>25.174915332115731</v>
      </c>
      <c r="K643" s="41">
        <v>27.253401343544635</v>
      </c>
      <c r="L643" s="41">
        <v>29.506160357030126</v>
      </c>
      <c r="M643" s="41">
        <v>31.987636551537165</v>
      </c>
      <c r="N643" s="41">
        <v>34.726460214839364</v>
      </c>
      <c r="O643" s="41">
        <v>37.740955321471475</v>
      </c>
      <c r="P643" s="41">
        <v>41.002254009066405</v>
      </c>
      <c r="Q643" s="41">
        <v>44.480522517679645</v>
      </c>
      <c r="R643" s="41">
        <v>48.218293833468721</v>
      </c>
      <c r="S643" s="22"/>
      <c r="T643" s="22"/>
    </row>
    <row r="644" spans="1:20" x14ac:dyDescent="0.35">
      <c r="A644" t="s">
        <v>43</v>
      </c>
      <c r="B644" s="17" t="s">
        <v>59</v>
      </c>
      <c r="C644" s="18" t="s">
        <v>60</v>
      </c>
      <c r="D644" s="38" t="s">
        <v>67</v>
      </c>
      <c r="E644" s="38" t="s">
        <v>67</v>
      </c>
      <c r="F644" s="41">
        <v>12.192403178668723</v>
      </c>
      <c r="G644" s="41">
        <v>13.105741241026742</v>
      </c>
      <c r="H644" s="41">
        <v>14.110665520751665</v>
      </c>
      <c r="I644" s="41">
        <v>15.198531700780217</v>
      </c>
      <c r="J644" s="41">
        <v>16.344907715627375</v>
      </c>
      <c r="K644" s="41">
        <v>17.569046844233277</v>
      </c>
      <c r="L644" s="41">
        <v>18.8865878142675</v>
      </c>
      <c r="M644" s="41">
        <v>20.330140868096283</v>
      </c>
      <c r="N644" s="41">
        <v>21.91495165297955</v>
      </c>
      <c r="O644" s="41">
        <v>23.64928552596367</v>
      </c>
      <c r="P644" s="41">
        <v>25.511552192438153</v>
      </c>
      <c r="Q644" s="41">
        <v>27.480115067905103</v>
      </c>
      <c r="R644" s="41">
        <v>29.57860862709423</v>
      </c>
      <c r="S644" s="22"/>
      <c r="T644" s="22"/>
    </row>
    <row r="645" spans="1:20" x14ac:dyDescent="0.35">
      <c r="A645" t="s">
        <v>43</v>
      </c>
      <c r="B645" s="17" t="s">
        <v>59</v>
      </c>
      <c r="C645" s="18" t="s">
        <v>60</v>
      </c>
      <c r="D645" s="38" t="s">
        <v>68</v>
      </c>
      <c r="E645" s="38" t="s">
        <v>68</v>
      </c>
      <c r="F645" s="41">
        <v>19.915193800132393</v>
      </c>
      <c r="G645" s="41">
        <v>21.812827980184434</v>
      </c>
      <c r="H645" s="41">
        <v>23.927634369838415</v>
      </c>
      <c r="I645" s="41">
        <v>26.287355740623891</v>
      </c>
      <c r="J645" s="41">
        <v>28.932365381685241</v>
      </c>
      <c r="K645" s="41">
        <v>31.920666442909393</v>
      </c>
      <c r="L645" s="41">
        <v>35.292097975863129</v>
      </c>
      <c r="M645" s="41">
        <v>39.090201213208424</v>
      </c>
      <c r="N645" s="41">
        <v>43.310082906893079</v>
      </c>
      <c r="O645" s="41">
        <v>47.956637639364708</v>
      </c>
      <c r="P645" s="41">
        <v>53.005788206509422</v>
      </c>
      <c r="Q645" s="41">
        <v>58.462862206108326</v>
      </c>
      <c r="R645" s="41">
        <v>64.390081451426113</v>
      </c>
      <c r="S645" s="22"/>
      <c r="T645" s="22"/>
    </row>
    <row r="646" spans="1:20" x14ac:dyDescent="0.35">
      <c r="A646" t="s">
        <v>43</v>
      </c>
      <c r="B646" s="17" t="s">
        <v>59</v>
      </c>
      <c r="C646" s="18" t="s">
        <v>60</v>
      </c>
      <c r="D646" s="38" t="s">
        <v>69</v>
      </c>
      <c r="E646" s="38" t="s">
        <v>69</v>
      </c>
      <c r="F646" s="41">
        <v>22.553335510139071</v>
      </c>
      <c r="G646" s="41">
        <v>23.999040612274502</v>
      </c>
      <c r="H646" s="41">
        <v>25.562559590154695</v>
      </c>
      <c r="I646" s="41">
        <v>27.26415424909581</v>
      </c>
      <c r="J646" s="41">
        <v>29.120237884163714</v>
      </c>
      <c r="K646" s="41">
        <v>31.14913332219302</v>
      </c>
      <c r="L646" s="41">
        <v>33.366853415004783</v>
      </c>
      <c r="M646" s="41">
        <v>35.765745539415086</v>
      </c>
      <c r="N646" s="41">
        <v>38.336508637495548</v>
      </c>
      <c r="O646" s="41">
        <v>41.074435992416106</v>
      </c>
      <c r="P646" s="41">
        <v>43.973868294742573</v>
      </c>
      <c r="Q646" s="41">
        <v>47.054413237284486</v>
      </c>
      <c r="R646" s="41">
        <v>50.305120439785782</v>
      </c>
      <c r="S646" s="22"/>
      <c r="T646" s="22"/>
    </row>
    <row r="647" spans="1:20" x14ac:dyDescent="0.35">
      <c r="A647" t="s">
        <v>43</v>
      </c>
      <c r="B647" s="17" t="s">
        <v>59</v>
      </c>
      <c r="C647" s="18" t="s">
        <v>70</v>
      </c>
      <c r="D647" s="19" t="s">
        <v>71</v>
      </c>
      <c r="E647" s="19" t="s">
        <v>71</v>
      </c>
      <c r="F647" s="22">
        <v>4.2013681668010694</v>
      </c>
      <c r="G647" s="22">
        <v>4.7022715250235114</v>
      </c>
      <c r="H647" s="22">
        <v>5.2707316376581979</v>
      </c>
      <c r="I647" s="22">
        <v>5.9166977492291082</v>
      </c>
      <c r="J647" s="22">
        <v>6.6536650542407436</v>
      </c>
      <c r="K647" s="22">
        <v>7.5001700500825992</v>
      </c>
      <c r="L647" s="22">
        <v>8.4718710814489953</v>
      </c>
      <c r="M647" s="22">
        <v>9.5864067198591609</v>
      </c>
      <c r="N647" s="22">
        <v>10.85076301508826</v>
      </c>
      <c r="O647" s="22">
        <v>12.274642094434357</v>
      </c>
      <c r="P647" s="22">
        <v>13.86081880807836</v>
      </c>
      <c r="Q647" s="22">
        <v>15.619625499356417</v>
      </c>
      <c r="R647" s="22">
        <v>17.577115483465029</v>
      </c>
      <c r="S647" s="22"/>
      <c r="T647" s="22"/>
    </row>
    <row r="648" spans="1:20" x14ac:dyDescent="0.35">
      <c r="A648" t="s">
        <v>43</v>
      </c>
      <c r="B648" s="17" t="s">
        <v>59</v>
      </c>
      <c r="C648" s="18" t="s">
        <v>70</v>
      </c>
      <c r="D648" s="19" t="s">
        <v>72</v>
      </c>
      <c r="E648" s="19" t="s">
        <v>72</v>
      </c>
      <c r="F648" s="22">
        <v>3.282892822145778</v>
      </c>
      <c r="G648" s="22">
        <v>3.7264407631295384</v>
      </c>
      <c r="H648" s="22">
        <v>4.2305991277325727</v>
      </c>
      <c r="I648" s="22">
        <v>4.814536174842325</v>
      </c>
      <c r="J648" s="22">
        <v>5.4886264260662943</v>
      </c>
      <c r="K648" s="22">
        <v>6.2639664959180257</v>
      </c>
      <c r="L648" s="22">
        <v>7.1500953245972658</v>
      </c>
      <c r="M648" s="22">
        <v>8.155621184762273</v>
      </c>
      <c r="N648" s="22">
        <v>9.2946065116597669</v>
      </c>
      <c r="O648" s="22">
        <v>10.604899839155403</v>
      </c>
      <c r="P648" s="22">
        <v>12.114873598263012</v>
      </c>
      <c r="Q648" s="22">
        <v>13.841220874706497</v>
      </c>
      <c r="R648" s="22">
        <v>15.802216698364715</v>
      </c>
      <c r="S648" s="22"/>
      <c r="T648" s="22"/>
    </row>
    <row r="649" spans="1:20" x14ac:dyDescent="0.35">
      <c r="A649" t="s">
        <v>43</v>
      </c>
      <c r="B649" s="17" t="s">
        <v>59</v>
      </c>
      <c r="C649" s="18" t="s">
        <v>70</v>
      </c>
      <c r="D649" s="19" t="s">
        <v>73</v>
      </c>
      <c r="E649" s="19" t="s">
        <v>73</v>
      </c>
      <c r="F649" s="22">
        <v>2.9608067693906821</v>
      </c>
      <c r="G649" s="22">
        <v>3.2566590251120182</v>
      </c>
      <c r="H649" s="22">
        <v>3.5885869999562479</v>
      </c>
      <c r="I649" s="22">
        <v>3.9531498248879635</v>
      </c>
      <c r="J649" s="22">
        <v>4.3494775451846106</v>
      </c>
      <c r="K649" s="22">
        <v>4.773940963952815</v>
      </c>
      <c r="L649" s="22">
        <v>5.24141887697626</v>
      </c>
      <c r="M649" s="22">
        <v>5.7651563981022811</v>
      </c>
      <c r="N649" s="22">
        <v>6.3604444538736118</v>
      </c>
      <c r="O649" s="22">
        <v>7.0341608684883523</v>
      </c>
      <c r="P649" s="22">
        <v>7.7815839672636686</v>
      </c>
      <c r="Q649" s="22">
        <v>8.5980499478287236</v>
      </c>
      <c r="R649" s="22">
        <v>9.488958363536053</v>
      </c>
      <c r="S649" s="22"/>
      <c r="T649" s="22"/>
    </row>
    <row r="650" spans="1:20" x14ac:dyDescent="0.35">
      <c r="A650" t="s">
        <v>43</v>
      </c>
      <c r="B650" s="17" t="s">
        <v>59</v>
      </c>
      <c r="C650" s="18" t="s">
        <v>70</v>
      </c>
      <c r="D650" s="19" t="s">
        <v>74</v>
      </c>
      <c r="E650" s="19" t="s">
        <v>74</v>
      </c>
      <c r="F650" s="22">
        <v>3.474527622598619</v>
      </c>
      <c r="G650" s="22">
        <v>3.8541113274840018</v>
      </c>
      <c r="H650" s="22">
        <v>4.2819767367791259</v>
      </c>
      <c r="I650" s="22">
        <v>4.7591279522109344</v>
      </c>
      <c r="J650" s="22">
        <v>5.2815084477241694</v>
      </c>
      <c r="K650" s="22">
        <v>5.8584148552612811</v>
      </c>
      <c r="L650" s="22">
        <v>6.498911374579535</v>
      </c>
      <c r="M650" s="22">
        <v>7.2187948648911764</v>
      </c>
      <c r="N650" s="22">
        <v>8.0293998600223695</v>
      </c>
      <c r="O650" s="22">
        <v>8.9405476289116059</v>
      </c>
      <c r="P650" s="22">
        <v>9.9515653665002066</v>
      </c>
      <c r="Q650" s="22">
        <v>11.061172237613338</v>
      </c>
      <c r="R650" s="22">
        <v>12.285657549666842</v>
      </c>
      <c r="S650" s="22"/>
      <c r="T650" s="22"/>
    </row>
    <row r="651" spans="1:20" x14ac:dyDescent="0.35">
      <c r="A651" t="s">
        <v>43</v>
      </c>
      <c r="B651" s="17" t="s">
        <v>59</v>
      </c>
      <c r="C651" s="18" t="s">
        <v>70</v>
      </c>
      <c r="D651" s="19" t="s">
        <v>75</v>
      </c>
      <c r="E651" s="19" t="s">
        <v>75</v>
      </c>
      <c r="F651" s="22">
        <v>2.6565544758171717</v>
      </c>
      <c r="G651" s="22">
        <v>2.9589754756643565</v>
      </c>
      <c r="H651" s="22">
        <v>3.2989238289587632</v>
      </c>
      <c r="I651" s="22">
        <v>3.6826013659312884</v>
      </c>
      <c r="J651" s="22">
        <v>4.1164698195497209</v>
      </c>
      <c r="K651" s="22">
        <v>4.6080215612897746</v>
      </c>
      <c r="L651" s="22">
        <v>5.1652917309190336</v>
      </c>
      <c r="M651" s="22">
        <v>5.7935586634061274</v>
      </c>
      <c r="N651" s="22">
        <v>6.4981466638952519</v>
      </c>
      <c r="O651" s="22">
        <v>7.2854376116412656</v>
      </c>
      <c r="P651" s="22">
        <v>8.162077256590365</v>
      </c>
      <c r="Q651" s="22">
        <v>9.1398283554947852</v>
      </c>
      <c r="R651" s="22">
        <v>10.225840637199182</v>
      </c>
      <c r="S651" s="14"/>
      <c r="T651" s="14"/>
    </row>
    <row r="652" spans="1:20" x14ac:dyDescent="0.35">
      <c r="A652" t="s">
        <v>43</v>
      </c>
      <c r="B652" s="17" t="s">
        <v>59</v>
      </c>
      <c r="C652" s="18" t="s">
        <v>76</v>
      </c>
      <c r="D652" s="19" t="s">
        <v>77</v>
      </c>
      <c r="E652" s="19" t="s">
        <v>77</v>
      </c>
      <c r="F652" s="22">
        <v>2.9655407191498262</v>
      </c>
      <c r="G652" s="22">
        <v>3.2594876919691456</v>
      </c>
      <c r="H652" s="22">
        <v>3.5831685007213596</v>
      </c>
      <c r="I652" s="22">
        <v>3.9487915454954257</v>
      </c>
      <c r="J652" s="22">
        <v>4.3595585087322366</v>
      </c>
      <c r="K652" s="22">
        <v>4.8185112106624706</v>
      </c>
      <c r="L652" s="22">
        <v>5.3267508549968428</v>
      </c>
      <c r="M652" s="22">
        <v>5.8841586358599507</v>
      </c>
      <c r="N652" s="22">
        <v>6.4941603941852728</v>
      </c>
      <c r="O652" s="22">
        <v>7.1759531415315614</v>
      </c>
      <c r="P652" s="22">
        <v>7.9394496981195379</v>
      </c>
      <c r="Q652" s="22">
        <v>8.7850817959414265</v>
      </c>
      <c r="R652" s="22">
        <v>9.7135766537215709</v>
      </c>
      <c r="S652" s="14"/>
      <c r="T652" s="14"/>
    </row>
    <row r="653" spans="1:20" x14ac:dyDescent="0.35">
      <c r="A653" t="s">
        <v>43</v>
      </c>
      <c r="B653" s="17" t="s">
        <v>59</v>
      </c>
      <c r="C653" s="18" t="s">
        <v>76</v>
      </c>
      <c r="D653" s="19" t="s">
        <v>78</v>
      </c>
      <c r="E653" s="19" t="s">
        <v>78</v>
      </c>
      <c r="F653" s="22">
        <v>2.9357290946079644</v>
      </c>
      <c r="G653" s="22">
        <v>3.1938202181440269</v>
      </c>
      <c r="H653" s="22">
        <v>3.4802469917838676</v>
      </c>
      <c r="I653" s="22">
        <v>3.7938127200986296</v>
      </c>
      <c r="J653" s="22">
        <v>4.1293001367921534</v>
      </c>
      <c r="K653" s="22">
        <v>4.4922557379527435</v>
      </c>
      <c r="L653" s="22">
        <v>4.887554286193696</v>
      </c>
      <c r="M653" s="22">
        <v>5.3246780526331534</v>
      </c>
      <c r="N653" s="22">
        <v>5.8089955371445816</v>
      </c>
      <c r="O653" s="22">
        <v>6.3442519744106951</v>
      </c>
      <c r="P653" s="22">
        <v>6.9263278416957794</v>
      </c>
      <c r="Q653" s="22">
        <v>7.5508538585460077</v>
      </c>
      <c r="R653" s="22">
        <v>8.2256544957970519</v>
      </c>
      <c r="S653" s="14"/>
      <c r="T653" s="14"/>
    </row>
    <row r="654" spans="1:20" x14ac:dyDescent="0.35">
      <c r="A654" t="s">
        <v>43</v>
      </c>
      <c r="B654" s="17" t="s">
        <v>59</v>
      </c>
      <c r="C654" s="18" t="s">
        <v>76</v>
      </c>
      <c r="D654" s="19" t="s">
        <v>79</v>
      </c>
      <c r="E654" s="19" t="s">
        <v>79</v>
      </c>
      <c r="F654" s="22">
        <v>1.7534403807196237</v>
      </c>
      <c r="G654" s="22">
        <v>1.9678065759434908</v>
      </c>
      <c r="H654" s="22">
        <v>2.2009472860072368</v>
      </c>
      <c r="I654" s="22">
        <v>2.4578547748561497</v>
      </c>
      <c r="J654" s="22">
        <v>2.7477499051516556</v>
      </c>
      <c r="K654" s="22">
        <v>3.0812152284635368</v>
      </c>
      <c r="L654" s="22">
        <v>3.4685344450240141</v>
      </c>
      <c r="M654" s="22">
        <v>3.9121201566943875</v>
      </c>
      <c r="N654" s="22">
        <v>4.40965823662125</v>
      </c>
      <c r="O654" s="22">
        <v>4.9660435106544547</v>
      </c>
      <c r="P654" s="22">
        <v>5.5921655642758292</v>
      </c>
      <c r="Q654" s="22">
        <v>6.3012709053382405</v>
      </c>
      <c r="R654" s="22">
        <v>7.0980695310268986</v>
      </c>
      <c r="S654" s="14"/>
      <c r="T654" s="14"/>
    </row>
    <row r="655" spans="1:20" x14ac:dyDescent="0.35">
      <c r="A655" t="s">
        <v>43</v>
      </c>
      <c r="B655" s="17" t="s">
        <v>59</v>
      </c>
      <c r="C655" s="18" t="s">
        <v>76</v>
      </c>
      <c r="D655" s="19" t="s">
        <v>80</v>
      </c>
      <c r="E655" s="19" t="s">
        <v>80</v>
      </c>
      <c r="F655" s="22">
        <v>1.373719601686316</v>
      </c>
      <c r="G655" s="22">
        <v>1.4798457936012883</v>
      </c>
      <c r="H655" s="22">
        <v>1.5885810925577262</v>
      </c>
      <c r="I655" s="22">
        <v>1.7025234549778556</v>
      </c>
      <c r="J655" s="22">
        <v>1.8267164173913242</v>
      </c>
      <c r="K655" s="22">
        <v>1.9662034158942667</v>
      </c>
      <c r="L655" s="22">
        <v>2.1248827078493226</v>
      </c>
      <c r="M655" s="22">
        <v>2.301011075316544</v>
      </c>
      <c r="N655" s="22">
        <v>2.4901050119263486</v>
      </c>
      <c r="O655" s="22">
        <v>2.6922373923032623</v>
      </c>
      <c r="P655" s="22">
        <v>2.9105257824826731</v>
      </c>
      <c r="Q655" s="22">
        <v>3.1486165489114719</v>
      </c>
      <c r="R655" s="22">
        <v>3.4050728257391651</v>
      </c>
      <c r="S655" s="14"/>
      <c r="T655" s="14"/>
    </row>
    <row r="656" spans="1:20" x14ac:dyDescent="0.35">
      <c r="A656" t="s">
        <v>43</v>
      </c>
      <c r="B656" s="17" t="s">
        <v>59</v>
      </c>
      <c r="C656" s="18" t="s">
        <v>76</v>
      </c>
      <c r="D656" s="19" t="s">
        <v>81</v>
      </c>
      <c r="E656" s="19" t="s">
        <v>81</v>
      </c>
      <c r="F656" s="22">
        <v>1.5965707509068794</v>
      </c>
      <c r="G656" s="22">
        <v>1.7466026261592551</v>
      </c>
      <c r="H656" s="22">
        <v>1.9129164493991893</v>
      </c>
      <c r="I656" s="22">
        <v>2.093632208576544</v>
      </c>
      <c r="J656" s="22">
        <v>2.28723316127149</v>
      </c>
      <c r="K656" s="22">
        <v>2.4975930347707562</v>
      </c>
      <c r="L656" s="22">
        <v>2.7285487819144412</v>
      </c>
      <c r="M656" s="22">
        <v>2.9890469602747856</v>
      </c>
      <c r="N656" s="22">
        <v>3.2841296485375375</v>
      </c>
      <c r="O656" s="22">
        <v>3.6108063891771121</v>
      </c>
      <c r="P656" s="22">
        <v>3.9726862041425584</v>
      </c>
      <c r="Q656" s="22">
        <v>4.3668614088859892</v>
      </c>
      <c r="R656" s="22">
        <v>4.7935969091765278</v>
      </c>
      <c r="S656" s="14"/>
      <c r="T656" s="14"/>
    </row>
    <row r="657" spans="1:20" x14ac:dyDescent="0.35">
      <c r="A657" t="s">
        <v>43</v>
      </c>
      <c r="B657" s="17" t="s">
        <v>47</v>
      </c>
      <c r="C657" s="13" t="s">
        <v>82</v>
      </c>
      <c r="D657" s="13" t="s">
        <v>82</v>
      </c>
      <c r="E657" s="13" t="s">
        <v>82</v>
      </c>
      <c r="F657" s="14">
        <v>55.465788890822239</v>
      </c>
      <c r="G657" s="14">
        <v>60.912013816357444</v>
      </c>
      <c r="H657" s="14">
        <v>66.974266978975137</v>
      </c>
      <c r="I657" s="14">
        <v>73.746885815889399</v>
      </c>
      <c r="J657" s="14">
        <v>81.335046804705911</v>
      </c>
      <c r="K657" s="14">
        <v>89.870601348548249</v>
      </c>
      <c r="L657" s="14">
        <v>99.473435849373203</v>
      </c>
      <c r="M657" s="14">
        <v>110.22742401753499</v>
      </c>
      <c r="N657" s="14">
        <v>122.17123454598067</v>
      </c>
      <c r="O657" s="14">
        <v>135.36304909853499</v>
      </c>
      <c r="P657" s="14">
        <v>149.83287187053901</v>
      </c>
      <c r="Q657" s="14">
        <v>165.69577493476106</v>
      </c>
      <c r="R657" s="14">
        <v>183.06236157004204</v>
      </c>
      <c r="S657" s="14"/>
      <c r="T657" s="14"/>
    </row>
    <row r="658" spans="1:20" x14ac:dyDescent="0.35">
      <c r="A658" t="s">
        <v>43</v>
      </c>
      <c r="B658" s="17" t="s">
        <v>47</v>
      </c>
      <c r="C658" s="13" t="s">
        <v>83</v>
      </c>
      <c r="D658" s="13" t="s">
        <v>83</v>
      </c>
      <c r="E658" s="13" t="s">
        <v>83</v>
      </c>
      <c r="F658" s="14">
        <v>107.31527832605187</v>
      </c>
      <c r="G658" s="14">
        <v>116.0506800800037</v>
      </c>
      <c r="H658" s="14">
        <v>125.61871540089828</v>
      </c>
      <c r="I658" s="14">
        <v>136.15356678073101</v>
      </c>
      <c r="J658" s="14">
        <v>147.77776109587407</v>
      </c>
      <c r="K658" s="14">
        <v>160.63011884803979</v>
      </c>
      <c r="L658" s="14">
        <v>174.84502680581403</v>
      </c>
      <c r="M658" s="14">
        <v>190.43985344942618</v>
      </c>
      <c r="N658" s="14">
        <v>207.4224442450367</v>
      </c>
      <c r="O658" s="14">
        <v>225.82415244452744</v>
      </c>
      <c r="P658" s="14">
        <v>245.67127680134689</v>
      </c>
      <c r="Q658" s="14">
        <v>267.13110605301523</v>
      </c>
      <c r="R658" s="14">
        <v>290.20637619933291</v>
      </c>
      <c r="S658" s="14"/>
      <c r="T658" s="14"/>
    </row>
    <row r="659" spans="1:20" x14ac:dyDescent="0.35">
      <c r="A659" t="s">
        <v>43</v>
      </c>
      <c r="B659" s="17" t="s">
        <v>84</v>
      </c>
      <c r="C659" s="13" t="s">
        <v>85</v>
      </c>
      <c r="D659" s="13" t="s">
        <v>85</v>
      </c>
      <c r="E659" s="13" t="s">
        <v>85</v>
      </c>
      <c r="F659" s="14">
        <v>11.025404749815022</v>
      </c>
      <c r="G659" s="14">
        <v>11.827727955656028</v>
      </c>
      <c r="H659" s="14">
        <v>12.709345018497391</v>
      </c>
      <c r="I659" s="14">
        <v>13.661977788594781</v>
      </c>
      <c r="J659" s="14">
        <v>14.663219705637118</v>
      </c>
      <c r="K659" s="14">
        <v>15.730030636577391</v>
      </c>
      <c r="L659" s="14">
        <v>16.875997314265195</v>
      </c>
      <c r="M659" s="14">
        <v>18.12976063345485</v>
      </c>
      <c r="N659" s="14">
        <v>19.504245592547846</v>
      </c>
      <c r="O659" s="14">
        <v>21.006058538114104</v>
      </c>
      <c r="P659" s="14">
        <v>22.615230640851333</v>
      </c>
      <c r="Q659" s="14">
        <v>24.311906063335652</v>
      </c>
      <c r="R659" s="14">
        <v>26.116434472484279</v>
      </c>
      <c r="S659" s="14"/>
      <c r="T659" s="14"/>
    </row>
    <row r="660" spans="1:20" x14ac:dyDescent="0.35">
      <c r="A660" t="s">
        <v>43</v>
      </c>
      <c r="B660" s="17" t="s">
        <v>84</v>
      </c>
      <c r="C660" s="13" t="s">
        <v>86</v>
      </c>
      <c r="D660" s="13" t="s">
        <v>86</v>
      </c>
      <c r="E660" s="13" t="s">
        <v>86</v>
      </c>
      <c r="F660" s="14">
        <v>28.771496045544719</v>
      </c>
      <c r="G660" s="14">
        <v>30.885417370043069</v>
      </c>
      <c r="H660" s="14">
        <v>33.16031650942061</v>
      </c>
      <c r="I660" s="14">
        <v>35.693463809236853</v>
      </c>
      <c r="J660" s="14">
        <v>38.490951727297443</v>
      </c>
      <c r="K660" s="14">
        <v>41.555868272379911</v>
      </c>
      <c r="L660" s="14">
        <v>44.873206062738255</v>
      </c>
      <c r="M660" s="14">
        <v>48.41796522621992</v>
      </c>
      <c r="N660" s="14">
        <v>52.19555281724616</v>
      </c>
      <c r="O660" s="14">
        <v>56.336612560770114</v>
      </c>
      <c r="P660" s="14">
        <v>60.88570560945066</v>
      </c>
      <c r="Q660" s="14">
        <v>65.809049169243693</v>
      </c>
      <c r="R660" s="14">
        <v>71.076526871738466</v>
      </c>
      <c r="S660" s="14"/>
      <c r="T660" s="14"/>
    </row>
    <row r="661" spans="1:20" x14ac:dyDescent="0.35">
      <c r="A661" t="s">
        <v>43</v>
      </c>
      <c r="B661" s="17" t="s">
        <v>84</v>
      </c>
      <c r="C661" s="40" t="s">
        <v>87</v>
      </c>
      <c r="D661" s="40" t="s">
        <v>87</v>
      </c>
      <c r="E661" s="40" t="s">
        <v>87</v>
      </c>
      <c r="F661" s="42">
        <v>50.617798849429533</v>
      </c>
      <c r="G661" s="42">
        <v>55.309902756333344</v>
      </c>
      <c r="H661" s="42">
        <v>60.703512240415392</v>
      </c>
      <c r="I661" s="42">
        <v>66.885938313174591</v>
      </c>
      <c r="J661" s="42">
        <v>74.003436951887295</v>
      </c>
      <c r="K661" s="42">
        <v>82.073696804776233</v>
      </c>
      <c r="L661" s="42">
        <v>91.149194741317132</v>
      </c>
      <c r="M661" s="42">
        <v>101.21214495165685</v>
      </c>
      <c r="N661" s="42">
        <v>112.3231046047737</v>
      </c>
      <c r="O661" s="42">
        <v>124.40504862304255</v>
      </c>
      <c r="P661" s="42">
        <v>137.37861761828253</v>
      </c>
      <c r="Q661" s="42">
        <v>151.49200818918973</v>
      </c>
      <c r="R661" s="42">
        <v>166.81890137571042</v>
      </c>
      <c r="S661" s="14"/>
      <c r="T661" s="14"/>
    </row>
    <row r="662" spans="1:20" x14ac:dyDescent="0.35">
      <c r="A662" t="s">
        <v>43</v>
      </c>
      <c r="B662" s="17" t="s">
        <v>84</v>
      </c>
      <c r="C662" s="13" t="s">
        <v>88</v>
      </c>
      <c r="D662" s="13" t="s">
        <v>88</v>
      </c>
      <c r="E662" s="13" t="s">
        <v>88</v>
      </c>
      <c r="F662" s="14">
        <v>37.03739744658413</v>
      </c>
      <c r="G662" s="14">
        <v>40.576700535354611</v>
      </c>
      <c r="H662" s="14">
        <v>44.300955148400121</v>
      </c>
      <c r="I662" s="14">
        <v>48.28943659150427</v>
      </c>
      <c r="J662" s="14">
        <v>52.695945817133399</v>
      </c>
      <c r="K662" s="14">
        <v>57.684409892644055</v>
      </c>
      <c r="L662" s="14">
        <v>63.395687049507771</v>
      </c>
      <c r="M662" s="14">
        <v>69.810959195902726</v>
      </c>
      <c r="N662" s="14">
        <v>76.825861668907137</v>
      </c>
      <c r="O662" s="14">
        <v>84.468488281820285</v>
      </c>
      <c r="P662" s="14">
        <v>92.863498047792049</v>
      </c>
      <c r="Q662" s="14">
        <v>102.15996825718447</v>
      </c>
      <c r="R662" s="14">
        <v>112.35104749086206</v>
      </c>
      <c r="S662" s="14"/>
      <c r="T662" s="14"/>
    </row>
    <row r="663" spans="1:20" x14ac:dyDescent="0.35">
      <c r="A663" t="s">
        <v>43</v>
      </c>
      <c r="B663" s="17" t="s">
        <v>84</v>
      </c>
      <c r="C663" s="13" t="s">
        <v>89</v>
      </c>
      <c r="D663" s="13" t="s">
        <v>89</v>
      </c>
      <c r="E663" s="13" t="s">
        <v>89</v>
      </c>
      <c r="F663" s="14">
        <v>11.724413717850437</v>
      </c>
      <c r="G663" s="14">
        <v>12.76847643589765</v>
      </c>
      <c r="H663" s="14">
        <v>13.92147386192288</v>
      </c>
      <c r="I663" s="14">
        <v>15.168146211671891</v>
      </c>
      <c r="J663" s="14">
        <v>16.496122168841758</v>
      </c>
      <c r="K663" s="14">
        <v>17.932114776396311</v>
      </c>
      <c r="L663" s="14">
        <v>19.502077048116792</v>
      </c>
      <c r="M663" s="14">
        <v>21.267996240170277</v>
      </c>
      <c r="N663" s="14">
        <v>23.262940956591301</v>
      </c>
      <c r="O663" s="14">
        <v>25.462459318693082</v>
      </c>
      <c r="P663" s="14">
        <v>27.889039676132622</v>
      </c>
      <c r="Q663" s="14">
        <v>30.518984862872806</v>
      </c>
      <c r="R663" s="14">
        <v>33.351156228111009</v>
      </c>
      <c r="S663" s="14"/>
      <c r="T663" s="14"/>
    </row>
    <row r="664" spans="1:20" x14ac:dyDescent="0.35">
      <c r="A664" t="s">
        <v>43</v>
      </c>
      <c r="B664" s="17" t="s">
        <v>84</v>
      </c>
      <c r="C664" s="13" t="s">
        <v>90</v>
      </c>
      <c r="D664" s="13" t="s">
        <v>90</v>
      </c>
      <c r="E664" s="13" t="s">
        <v>90</v>
      </c>
      <c r="F664" s="14">
        <v>23.604556407650257</v>
      </c>
      <c r="G664" s="14">
        <v>25.594468843076434</v>
      </c>
      <c r="H664" s="14">
        <v>27.797379601217035</v>
      </c>
      <c r="I664" s="14">
        <v>30.201489882438032</v>
      </c>
      <c r="J664" s="14">
        <v>32.763131529782939</v>
      </c>
      <c r="K664" s="14">
        <v>35.52459981381412</v>
      </c>
      <c r="L664" s="14">
        <v>38.522300439242052</v>
      </c>
      <c r="M664" s="14">
        <v>41.828451219556563</v>
      </c>
      <c r="N664" s="14">
        <v>45.481973150951234</v>
      </c>
      <c r="O664" s="14">
        <v>49.50853422062228</v>
      </c>
      <c r="P664" s="14">
        <v>53.872057079376724</v>
      </c>
      <c r="Q664" s="14">
        <v>58.534964445949917</v>
      </c>
      <c r="R664" s="14">
        <v>63.554671330468729</v>
      </c>
      <c r="S664" s="14"/>
      <c r="T664" s="14"/>
    </row>
    <row r="665" spans="1:20" x14ac:dyDescent="0.35">
      <c r="A665" t="s">
        <v>43</v>
      </c>
      <c r="B665" s="17" t="s">
        <v>91</v>
      </c>
      <c r="C665" s="13" t="s">
        <v>92</v>
      </c>
      <c r="D665" s="13" t="s">
        <v>92</v>
      </c>
      <c r="E665" s="13" t="s">
        <v>92</v>
      </c>
      <c r="F665" s="14">
        <v>61.797234886080048</v>
      </c>
      <c r="G665" s="14">
        <v>67.771375902740118</v>
      </c>
      <c r="H665" s="14">
        <v>74.335481106586471</v>
      </c>
      <c r="I665" s="14">
        <v>81.738658482275056</v>
      </c>
      <c r="J665" s="14">
        <v>90.041333504927934</v>
      </c>
      <c r="K665" s="14">
        <v>99.300053892005522</v>
      </c>
      <c r="L665" s="14">
        <v>109.5308286152754</v>
      </c>
      <c r="M665" s="14">
        <v>120.72438816571535</v>
      </c>
      <c r="N665" s="14">
        <v>132.94421709937328</v>
      </c>
      <c r="O665" s="14">
        <v>146.57604006765797</v>
      </c>
      <c r="P665" s="14">
        <v>161.81246421160105</v>
      </c>
      <c r="Q665" s="14">
        <v>178.65108511204957</v>
      </c>
      <c r="R665" s="14">
        <v>197.09544391121918</v>
      </c>
      <c r="S665" s="14"/>
      <c r="T665" s="14"/>
    </row>
    <row r="666" spans="1:20" x14ac:dyDescent="0.35">
      <c r="A666" t="s">
        <v>43</v>
      </c>
      <c r="B666" s="17" t="s">
        <v>91</v>
      </c>
      <c r="C666" s="13" t="s">
        <v>93</v>
      </c>
      <c r="D666" s="13" t="s">
        <v>93</v>
      </c>
      <c r="E666" s="13" t="s">
        <v>93</v>
      </c>
      <c r="F666" s="14">
        <v>100.98383233079406</v>
      </c>
      <c r="G666" s="14">
        <v>109.19131799362103</v>
      </c>
      <c r="H666" s="14">
        <v>118.25750127328696</v>
      </c>
      <c r="I666" s="14">
        <v>128.16179411434535</v>
      </c>
      <c r="J666" s="14">
        <v>139.07147439565205</v>
      </c>
      <c r="K666" s="14">
        <v>151.20066630458251</v>
      </c>
      <c r="L666" s="14">
        <v>164.78763403991181</v>
      </c>
      <c r="M666" s="14">
        <v>179.94288930124583</v>
      </c>
      <c r="N666" s="14">
        <v>196.64946169164412</v>
      </c>
      <c r="O666" s="14">
        <v>214.61116147540446</v>
      </c>
      <c r="P666" s="14">
        <v>233.69168446028485</v>
      </c>
      <c r="Q666" s="14">
        <v>254.17579587572672</v>
      </c>
      <c r="R666" s="14">
        <v>276.17329385815583</v>
      </c>
      <c r="S666" s="22"/>
      <c r="T666" s="22"/>
    </row>
    <row r="667" spans="1:20" x14ac:dyDescent="0.35">
      <c r="A667" t="s">
        <v>43</v>
      </c>
      <c r="B667" s="17" t="s">
        <v>94</v>
      </c>
      <c r="C667" s="13" t="s">
        <v>95</v>
      </c>
      <c r="D667" s="13" t="s">
        <v>95</v>
      </c>
      <c r="E667" s="13" t="s">
        <v>95</v>
      </c>
      <c r="F667" s="14">
        <v>5.6664127790982146</v>
      </c>
      <c r="G667" s="14">
        <v>6.3030284752072818</v>
      </c>
      <c r="H667" s="14">
        <v>7.0237733523899113</v>
      </c>
      <c r="I667" s="14">
        <v>7.8245934133495316</v>
      </c>
      <c r="J667" s="14">
        <v>8.706286700222039</v>
      </c>
      <c r="K667" s="14">
        <v>9.6641144617943109</v>
      </c>
      <c r="L667" s="14">
        <v>10.730539635458523</v>
      </c>
      <c r="M667" s="14">
        <v>11.936104818576108</v>
      </c>
      <c r="N667" s="14">
        <v>13.316901036427582</v>
      </c>
      <c r="O667" s="14">
        <v>14.892942691128027</v>
      </c>
      <c r="P667" s="14">
        <v>16.660471582363094</v>
      </c>
      <c r="Q667" s="14">
        <v>18.61556092922056</v>
      </c>
      <c r="R667" s="14">
        <v>20.775778109120097</v>
      </c>
      <c r="S667" s="22"/>
      <c r="T667" s="22"/>
    </row>
    <row r="668" spans="1:20" x14ac:dyDescent="0.35">
      <c r="A668" t="s">
        <v>43</v>
      </c>
      <c r="B668" s="17" t="s">
        <v>94</v>
      </c>
      <c r="C668" s="40" t="s">
        <v>96</v>
      </c>
      <c r="D668" s="40" t="s">
        <v>96</v>
      </c>
      <c r="E668" s="40" t="s">
        <v>96</v>
      </c>
      <c r="F668" s="42">
        <v>28.895235273109051</v>
      </c>
      <c r="G668" s="42">
        <v>31.56195296216535</v>
      </c>
      <c r="H668" s="42">
        <v>34.586110856965746</v>
      </c>
      <c r="I668" s="42">
        <v>38.207607604433349</v>
      </c>
      <c r="J668" s="42">
        <v>42.614982269507919</v>
      </c>
      <c r="K668" s="42">
        <v>47.776967267635484</v>
      </c>
      <c r="L668" s="42">
        <v>53.655536433550111</v>
      </c>
      <c r="M668" s="42">
        <v>59.94486907180999</v>
      </c>
      <c r="N668" s="42">
        <v>66.538859109138343</v>
      </c>
      <c r="O668" s="42">
        <v>73.621938996725078</v>
      </c>
      <c r="P668" s="42">
        <v>81.129952214162415</v>
      </c>
      <c r="Q668" s="42">
        <v>89.423378446324818</v>
      </c>
      <c r="R668" s="42">
        <v>98.542775683638979</v>
      </c>
      <c r="S668" s="22"/>
      <c r="T668" s="22"/>
    </row>
    <row r="669" spans="1:20" x14ac:dyDescent="0.35">
      <c r="A669" t="s">
        <v>43</v>
      </c>
      <c r="B669" s="17" t="s">
        <v>94</v>
      </c>
      <c r="C669" s="13" t="s">
        <v>97</v>
      </c>
      <c r="D669" s="13" t="s">
        <v>97</v>
      </c>
      <c r="E669" s="13" t="s">
        <v>97</v>
      </c>
      <c r="F669" s="14">
        <v>12.260918356320078</v>
      </c>
      <c r="G669" s="14">
        <v>13.326738468322832</v>
      </c>
      <c r="H669" s="14">
        <v>14.508766797877724</v>
      </c>
      <c r="I669" s="14">
        <v>15.801688514516966</v>
      </c>
      <c r="J669" s="14">
        <v>17.183460592543497</v>
      </c>
      <c r="K669" s="14">
        <v>18.676910276507495</v>
      </c>
      <c r="L669" s="14">
        <v>20.301988136008205</v>
      </c>
      <c r="M669" s="14">
        <v>22.097709773076755</v>
      </c>
      <c r="N669" s="14">
        <v>24.085875556923984</v>
      </c>
      <c r="O669" s="14">
        <v>26.28147461556042</v>
      </c>
      <c r="P669" s="14">
        <v>28.666859536006971</v>
      </c>
      <c r="Q669" s="14">
        <v>31.223410492949316</v>
      </c>
      <c r="R669" s="14">
        <v>33.982994769822092</v>
      </c>
      <c r="S669" s="22"/>
      <c r="T669" s="22"/>
    </row>
    <row r="670" spans="1:20" x14ac:dyDescent="0.35">
      <c r="A670" t="s">
        <v>43</v>
      </c>
      <c r="B670" s="17" t="s">
        <v>94</v>
      </c>
      <c r="C670" s="13" t="s">
        <v>98</v>
      </c>
      <c r="D670" s="13" t="s">
        <v>98</v>
      </c>
      <c r="E670" s="13" t="s">
        <v>98</v>
      </c>
      <c r="F670" s="14">
        <v>61.809330670723696</v>
      </c>
      <c r="G670" s="14">
        <v>67.508896908325553</v>
      </c>
      <c r="H670" s="14">
        <v>73.818418059740225</v>
      </c>
      <c r="I670" s="14">
        <v>80.662276296059218</v>
      </c>
      <c r="J670" s="14">
        <v>87.97931823382271</v>
      </c>
      <c r="K670" s="14">
        <v>95.916114522401301</v>
      </c>
      <c r="L670" s="14">
        <v>104.61686367919177</v>
      </c>
      <c r="M670" s="14">
        <v>114.4207263810744</v>
      </c>
      <c r="N670" s="14">
        <v>125.51519669739024</v>
      </c>
      <c r="O670" s="14">
        <v>137.7795462027027</v>
      </c>
      <c r="P670" s="14">
        <v>151.34560532740295</v>
      </c>
      <c r="Q670" s="14">
        <v>166.09606109043295</v>
      </c>
      <c r="R670" s="14">
        <v>182.03498269272967</v>
      </c>
      <c r="S670" s="22"/>
      <c r="T670" s="22"/>
    </row>
    <row r="671" spans="1:20" x14ac:dyDescent="0.35">
      <c r="A671" t="s">
        <v>43</v>
      </c>
      <c r="B671" s="17" t="s">
        <v>94</v>
      </c>
      <c r="C671" s="13" t="s">
        <v>48</v>
      </c>
      <c r="D671" s="13" t="s">
        <v>48</v>
      </c>
      <c r="E671" s="13" t="s">
        <v>48</v>
      </c>
      <c r="F671" s="14">
        <v>10.113557695257104</v>
      </c>
      <c r="G671" s="14">
        <v>11.078836843343751</v>
      </c>
      <c r="H671" s="14">
        <v>12.147852566279791</v>
      </c>
      <c r="I671" s="14">
        <v>13.337228883914808</v>
      </c>
      <c r="J671" s="14">
        <v>14.663219705637118</v>
      </c>
      <c r="K671" s="14">
        <v>16.144432212092489</v>
      </c>
      <c r="L671" s="14">
        <v>17.79987118371989</v>
      </c>
      <c r="M671" s="14">
        <v>19.63747525773568</v>
      </c>
      <c r="N671" s="14">
        <v>21.66446064557562</v>
      </c>
      <c r="O671" s="14">
        <v>23.890716665553668</v>
      </c>
      <c r="P671" s="14">
        <v>26.325949237604789</v>
      </c>
      <c r="Q671" s="14">
        <v>28.995307160996138</v>
      </c>
      <c r="R671" s="14">
        <v>31.907203421121189</v>
      </c>
      <c r="S671" s="22"/>
      <c r="T671" s="22"/>
    </row>
    <row r="672" spans="1:20" x14ac:dyDescent="0.35">
      <c r="A672" t="s">
        <v>43</v>
      </c>
      <c r="B672" s="17" t="s">
        <v>94</v>
      </c>
      <c r="C672" s="13" t="s">
        <v>99</v>
      </c>
      <c r="D672" s="13" t="s">
        <v>99</v>
      </c>
      <c r="E672" s="13" t="s">
        <v>99</v>
      </c>
      <c r="F672" s="14">
        <v>21.684567022549867</v>
      </c>
      <c r="G672" s="14">
        <v>23.226549697896957</v>
      </c>
      <c r="H672" s="14">
        <v>24.790451599069026</v>
      </c>
      <c r="I672" s="14">
        <v>26.41623244432563</v>
      </c>
      <c r="J672" s="14">
        <v>28.180875371771336</v>
      </c>
      <c r="K672" s="14">
        <v>30.159580708485073</v>
      </c>
      <c r="L672" s="14">
        <v>32.408232405776531</v>
      </c>
      <c r="M672" s="14">
        <v>34.895355883748657</v>
      </c>
      <c r="N672" s="14">
        <v>37.548578468673711</v>
      </c>
      <c r="O672" s="14">
        <v>40.365821930548478</v>
      </c>
      <c r="P672" s="14">
        <v>43.390663863511861</v>
      </c>
      <c r="Q672" s="14">
        <v>46.673532521259716</v>
      </c>
      <c r="R672" s="14">
        <v>50.18830722222981</v>
      </c>
      <c r="S672" s="22"/>
      <c r="T672" s="22"/>
    </row>
    <row r="673" spans="1:20" x14ac:dyDescent="0.35">
      <c r="A673" t="s">
        <v>43</v>
      </c>
      <c r="B673" s="17" t="s">
        <v>94</v>
      </c>
      <c r="C673" s="13" t="s">
        <v>100</v>
      </c>
      <c r="D673" s="13" t="s">
        <v>100</v>
      </c>
      <c r="E673" s="13" t="s">
        <v>100</v>
      </c>
      <c r="F673" s="14">
        <v>22.351045419816078</v>
      </c>
      <c r="G673" s="14">
        <v>23.956690541099423</v>
      </c>
      <c r="H673" s="14">
        <v>25.717609147551013</v>
      </c>
      <c r="I673" s="14">
        <v>27.650825440020938</v>
      </c>
      <c r="J673" s="14">
        <v>29.784665027075373</v>
      </c>
      <c r="K673" s="14">
        <v>32.162600747671874</v>
      </c>
      <c r="L673" s="14">
        <v>34.805431181482184</v>
      </c>
      <c r="M673" s="14">
        <v>37.73503628093961</v>
      </c>
      <c r="N673" s="14">
        <v>40.92380727688797</v>
      </c>
      <c r="O673" s="14">
        <v>44.354760440844096</v>
      </c>
      <c r="P673" s="14">
        <v>47.984646910833831</v>
      </c>
      <c r="Q673" s="14">
        <v>51.799630346592792</v>
      </c>
      <c r="R673" s="14">
        <v>55.836695870713136</v>
      </c>
      <c r="S673" s="22"/>
      <c r="T673" s="22"/>
    </row>
    <row r="674" spans="1:20" x14ac:dyDescent="0.35">
      <c r="A674" t="s">
        <v>42</v>
      </c>
      <c r="B674" s="17" t="s">
        <v>54</v>
      </c>
      <c r="C674" s="13" t="s">
        <v>55</v>
      </c>
      <c r="D674" s="13" t="s">
        <v>55</v>
      </c>
      <c r="E674" s="13" t="s">
        <v>55</v>
      </c>
      <c r="F674" s="14">
        <v>16.19167620945742</v>
      </c>
      <c r="G674" s="14">
        <v>18.253620518849775</v>
      </c>
      <c r="H674" s="14">
        <v>20.60096210068146</v>
      </c>
      <c r="I674" s="14">
        <v>23.234711570088958</v>
      </c>
      <c r="J674" s="14">
        <v>26.158705806387957</v>
      </c>
      <c r="K674" s="14">
        <v>29.43759350787186</v>
      </c>
      <c r="L674" s="14">
        <v>33.142195283877491</v>
      </c>
      <c r="M674" s="14">
        <v>37.41243275739717</v>
      </c>
      <c r="N674" s="14">
        <v>42.354463420388434</v>
      </c>
      <c r="O674" s="14">
        <v>47.981082142008418</v>
      </c>
      <c r="P674" s="14">
        <v>54.391160156937538</v>
      </c>
      <c r="Q674" s="14">
        <v>61.603207442178274</v>
      </c>
      <c r="R674" s="14">
        <v>69.679138142034901</v>
      </c>
      <c r="S674" s="22"/>
      <c r="T674" s="22"/>
    </row>
    <row r="675" spans="1:20" x14ac:dyDescent="0.35">
      <c r="A675" t="s">
        <v>42</v>
      </c>
      <c r="B675" s="17" t="s">
        <v>54</v>
      </c>
      <c r="C675" s="13" t="s">
        <v>56</v>
      </c>
      <c r="D675" s="13" t="s">
        <v>56</v>
      </c>
      <c r="E675" s="13" t="s">
        <v>56</v>
      </c>
      <c r="F675" s="14">
        <v>50.98122570179742</v>
      </c>
      <c r="G675" s="14">
        <v>56.016559540021184</v>
      </c>
      <c r="H675" s="14">
        <v>61.559494644564403</v>
      </c>
      <c r="I675" s="14">
        <v>67.819267765270453</v>
      </c>
      <c r="J675" s="14">
        <v>74.850158198476436</v>
      </c>
      <c r="K675" s="14">
        <v>82.703628966091642</v>
      </c>
      <c r="L675" s="14">
        <v>91.397766501378612</v>
      </c>
      <c r="M675" s="14">
        <v>100.92969779876003</v>
      </c>
      <c r="N675" s="14">
        <v>111.35735067030674</v>
      </c>
      <c r="O675" s="14">
        <v>123.00900847366299</v>
      </c>
      <c r="P675" s="14">
        <v>136.05338340634393</v>
      </c>
      <c r="Q675" s="14">
        <v>150.49649646545927</v>
      </c>
      <c r="R675" s="14">
        <v>166.34941760226931</v>
      </c>
      <c r="S675" s="22"/>
      <c r="T675" s="22"/>
    </row>
    <row r="676" spans="1:20" x14ac:dyDescent="0.35">
      <c r="A676" t="s">
        <v>42</v>
      </c>
      <c r="B676" s="17" t="s">
        <v>54</v>
      </c>
      <c r="C676" s="13" t="s">
        <v>57</v>
      </c>
      <c r="D676" s="13" t="s">
        <v>57</v>
      </c>
      <c r="E676" s="13" t="s">
        <v>57</v>
      </c>
      <c r="F676" s="14">
        <v>112.99180549923659</v>
      </c>
      <c r="G676" s="14">
        <v>122.57704343430942</v>
      </c>
      <c r="H676" s="14">
        <v>133.17970431300213</v>
      </c>
      <c r="I676" s="14">
        <v>144.9214396148511</v>
      </c>
      <c r="J676" s="14">
        <v>157.98822318709557</v>
      </c>
      <c r="K676" s="14">
        <v>172.65446999632198</v>
      </c>
      <c r="L676" s="14">
        <v>189.08506349780643</v>
      </c>
      <c r="M676" s="14">
        <v>207.45743797758257</v>
      </c>
      <c r="N676" s="14">
        <v>227.6841093461955</v>
      </c>
      <c r="O676" s="14">
        <v>249.73104995656922</v>
      </c>
      <c r="P676" s="14">
        <v>273.41336164301697</v>
      </c>
      <c r="Q676" s="14">
        <v>298.70353242364467</v>
      </c>
      <c r="R676" s="14">
        <v>325.86460443856885</v>
      </c>
      <c r="S676" s="22"/>
      <c r="T676" s="22"/>
    </row>
    <row r="677" spans="1:20" x14ac:dyDescent="0.35">
      <c r="A677" t="s">
        <v>42</v>
      </c>
      <c r="B677" s="17" t="s">
        <v>59</v>
      </c>
      <c r="C677" s="18" t="s">
        <v>60</v>
      </c>
      <c r="D677" s="38" t="s">
        <v>61</v>
      </c>
      <c r="E677" s="39" t="s">
        <v>62</v>
      </c>
      <c r="F677" s="22">
        <v>6.391715159144427</v>
      </c>
      <c r="G677" s="22">
        <v>7.2115090971092242</v>
      </c>
      <c r="H677" s="22">
        <v>8.1454632366124571</v>
      </c>
      <c r="I677" s="22">
        <v>9.1942635909466421</v>
      </c>
      <c r="J677" s="22">
        <v>10.359717729542597</v>
      </c>
      <c r="K677" s="22">
        <v>11.667723617763654</v>
      </c>
      <c r="L677" s="22">
        <v>13.146710667004468</v>
      </c>
      <c r="M677" s="22">
        <v>14.852612523125618</v>
      </c>
      <c r="N677" s="22">
        <v>16.828141206888048</v>
      </c>
      <c r="O677" s="22">
        <v>19.079053764674157</v>
      </c>
      <c r="P677" s="22">
        <v>21.645355053496175</v>
      </c>
      <c r="Q677" s="22">
        <v>24.535201183080574</v>
      </c>
      <c r="R677" s="22">
        <v>27.774064500076665</v>
      </c>
      <c r="S677" s="22"/>
      <c r="T677" s="22"/>
    </row>
    <row r="678" spans="1:20" x14ac:dyDescent="0.35">
      <c r="A678" t="s">
        <v>42</v>
      </c>
      <c r="B678" s="17" t="s">
        <v>59</v>
      </c>
      <c r="C678" s="18" t="s">
        <v>60</v>
      </c>
      <c r="D678" s="38" t="s">
        <v>61</v>
      </c>
      <c r="E678" s="39" t="s">
        <v>63</v>
      </c>
      <c r="F678" s="22">
        <v>13.576598315373536</v>
      </c>
      <c r="G678" s="22">
        <v>14.943507674443458</v>
      </c>
      <c r="H678" s="22">
        <v>16.450778792698109</v>
      </c>
      <c r="I678" s="22">
        <v>18.155070387747337</v>
      </c>
      <c r="J678" s="22">
        <v>20.071953100988775</v>
      </c>
      <c r="K678" s="22">
        <v>22.216349383242985</v>
      </c>
      <c r="L678" s="22">
        <v>24.594318653690056</v>
      </c>
      <c r="M678" s="22">
        <v>27.206322031416565</v>
      </c>
      <c r="N678" s="22">
        <v>30.069213146586431</v>
      </c>
      <c r="O678" s="22">
        <v>33.272965326332752</v>
      </c>
      <c r="P678" s="22">
        <v>36.865013236876592</v>
      </c>
      <c r="Q678" s="22">
        <v>40.849036627814058</v>
      </c>
      <c r="R678" s="22">
        <v>45.230110754870523</v>
      </c>
      <c r="S678" s="22"/>
      <c r="T678" s="22"/>
    </row>
    <row r="679" spans="1:20" x14ac:dyDescent="0.35">
      <c r="A679" t="s">
        <v>42</v>
      </c>
      <c r="B679" s="17" t="s">
        <v>59</v>
      </c>
      <c r="C679" s="18" t="s">
        <v>60</v>
      </c>
      <c r="D679" s="38" t="s">
        <v>61</v>
      </c>
      <c r="E679" s="39" t="s">
        <v>64</v>
      </c>
      <c r="F679" s="22">
        <v>17.386833847463798</v>
      </c>
      <c r="G679" s="22">
        <v>18.460042303393436</v>
      </c>
      <c r="H679" s="22">
        <v>19.795353247118378</v>
      </c>
      <c r="I679" s="22">
        <v>21.481718570768436</v>
      </c>
      <c r="J679" s="22">
        <v>23.525192344169653</v>
      </c>
      <c r="K679" s="22">
        <v>25.896262790187251</v>
      </c>
      <c r="L679" s="22">
        <v>28.460933340325411</v>
      </c>
      <c r="M679" s="22">
        <v>31.269342122378255</v>
      </c>
      <c r="N679" s="22">
        <v>34.282535210401036</v>
      </c>
      <c r="O679" s="22">
        <v>37.560456167376302</v>
      </c>
      <c r="P679" s="22">
        <v>40.87807269631007</v>
      </c>
      <c r="Q679" s="22">
        <v>43.932530879774816</v>
      </c>
      <c r="R679" s="22">
        <v>46.854086984942072</v>
      </c>
      <c r="S679" s="22"/>
      <c r="T679" s="22"/>
    </row>
    <row r="680" spans="1:20" x14ac:dyDescent="0.35">
      <c r="A680" t="s">
        <v>42</v>
      </c>
      <c r="B680" s="17" t="s">
        <v>59</v>
      </c>
      <c r="C680" s="18" t="s">
        <v>60</v>
      </c>
      <c r="D680" s="38" t="s">
        <v>65</v>
      </c>
      <c r="E680" s="38" t="s">
        <v>65</v>
      </c>
      <c r="F680" s="41">
        <v>32.716229427318602</v>
      </c>
      <c r="G680" s="41">
        <v>35.73027973461317</v>
      </c>
      <c r="H680" s="41">
        <v>39.059437382452728</v>
      </c>
      <c r="I680" s="41">
        <v>42.75412245665931</v>
      </c>
      <c r="J680" s="41">
        <v>46.862932956513234</v>
      </c>
      <c r="K680" s="41">
        <v>51.441371071547003</v>
      </c>
      <c r="L680" s="41">
        <v>56.545502560200397</v>
      </c>
      <c r="M680" s="41">
        <v>62.195524967620564</v>
      </c>
      <c r="N680" s="41">
        <v>68.409060601404832</v>
      </c>
      <c r="O680" s="41">
        <v>75.21191310221414</v>
      </c>
      <c r="P680" s="41">
        <v>82.62894822274599</v>
      </c>
      <c r="Q680" s="41">
        <v>90.733149967661049</v>
      </c>
      <c r="R680" s="41">
        <v>99.544197311290489</v>
      </c>
      <c r="S680" s="22"/>
      <c r="T680" s="22"/>
    </row>
    <row r="681" spans="1:20" x14ac:dyDescent="0.35">
      <c r="A681" t="s">
        <v>42</v>
      </c>
      <c r="B681" s="17" t="s">
        <v>59</v>
      </c>
      <c r="C681" s="18" t="s">
        <v>60</v>
      </c>
      <c r="D681" s="38" t="s">
        <v>66</v>
      </c>
      <c r="E681" s="38" t="s">
        <v>66</v>
      </c>
      <c r="F681" s="41">
        <v>20.48499211792068</v>
      </c>
      <c r="G681" s="41">
        <v>22.325886054157632</v>
      </c>
      <c r="H681" s="41">
        <v>24.371679425224315</v>
      </c>
      <c r="I681" s="41">
        <v>26.615101918029978</v>
      </c>
      <c r="J681" s="41">
        <v>29.020623619859116</v>
      </c>
      <c r="K681" s="41">
        <v>31.628106142587686</v>
      </c>
      <c r="L681" s="41">
        <v>34.472967112838838</v>
      </c>
      <c r="M681" s="41">
        <v>37.623375065452869</v>
      </c>
      <c r="N681" s="41">
        <v>41.118918660162521</v>
      </c>
      <c r="O681" s="41">
        <v>44.987977392186359</v>
      </c>
      <c r="P681" s="41">
        <v>49.20336112731809</v>
      </c>
      <c r="Q681" s="41">
        <v>53.73590878941193</v>
      </c>
      <c r="R681" s="41">
        <v>58.643026147744472</v>
      </c>
      <c r="S681" s="22"/>
      <c r="T681" s="22"/>
    </row>
    <row r="682" spans="1:20" x14ac:dyDescent="0.35">
      <c r="A682" t="s">
        <v>42</v>
      </c>
      <c r="B682" s="17" t="s">
        <v>59</v>
      </c>
      <c r="C682" s="18" t="s">
        <v>60</v>
      </c>
      <c r="D682" s="38" t="s">
        <v>67</v>
      </c>
      <c r="E682" s="38" t="s">
        <v>67</v>
      </c>
      <c r="F682" s="41">
        <v>13.432090998743195</v>
      </c>
      <c r="G682" s="41">
        <v>14.509156052993514</v>
      </c>
      <c r="H682" s="41">
        <v>15.61778302038975</v>
      </c>
      <c r="I682" s="41">
        <v>16.78376300576846</v>
      </c>
      <c r="J682" s="41">
        <v>18.057276919023451</v>
      </c>
      <c r="K682" s="41">
        <v>19.48905189680093</v>
      </c>
      <c r="L682" s="41">
        <v>21.11901342814938</v>
      </c>
      <c r="M682" s="41">
        <v>22.931443867370543</v>
      </c>
      <c r="N682" s="41">
        <v>24.883138155636068</v>
      </c>
      <c r="O682" s="41">
        <v>26.975948690953651</v>
      </c>
      <c r="P682" s="41">
        <v>29.242251912987285</v>
      </c>
      <c r="Q682" s="41">
        <v>31.720084881097797</v>
      </c>
      <c r="R682" s="41">
        <v>34.396682569703707</v>
      </c>
      <c r="S682" s="14"/>
      <c r="T682" s="14"/>
    </row>
    <row r="683" spans="1:20" x14ac:dyDescent="0.35">
      <c r="A683" t="s">
        <v>42</v>
      </c>
      <c r="B683" s="17" t="s">
        <v>59</v>
      </c>
      <c r="C683" s="18" t="s">
        <v>60</v>
      </c>
      <c r="D683" s="38" t="s">
        <v>68</v>
      </c>
      <c r="E683" s="38" t="s">
        <v>68</v>
      </c>
      <c r="F683" s="41">
        <v>22.640047482006914</v>
      </c>
      <c r="G683" s="41">
        <v>25.093577278535129</v>
      </c>
      <c r="H683" s="41">
        <v>27.718216360512212</v>
      </c>
      <c r="I683" s="41">
        <v>30.568826379593894</v>
      </c>
      <c r="J683" s="41">
        <v>33.749910431984304</v>
      </c>
      <c r="K683" s="41">
        <v>37.3772165325977</v>
      </c>
      <c r="L683" s="41">
        <v>41.556736931812843</v>
      </c>
      <c r="M683" s="41">
        <v>46.294417649854516</v>
      </c>
      <c r="N683" s="41">
        <v>51.539354586401906</v>
      </c>
      <c r="O683" s="41">
        <v>57.326752270026631</v>
      </c>
      <c r="P683" s="41">
        <v>63.758657245207388</v>
      </c>
      <c r="Q683" s="41">
        <v>70.958282154983394</v>
      </c>
      <c r="R683" s="41">
        <v>78.945848003605263</v>
      </c>
      <c r="S683" s="14"/>
      <c r="T683" s="14"/>
    </row>
    <row r="684" spans="1:20" x14ac:dyDescent="0.35">
      <c r="A684" t="s">
        <v>42</v>
      </c>
      <c r="B684" s="17" t="s">
        <v>59</v>
      </c>
      <c r="C684" s="18" t="s">
        <v>60</v>
      </c>
      <c r="D684" s="38" t="s">
        <v>69</v>
      </c>
      <c r="E684" s="38" t="s">
        <v>69</v>
      </c>
      <c r="F684" s="41">
        <v>25.112198846101581</v>
      </c>
      <c r="G684" s="41">
        <v>26.904936498890045</v>
      </c>
      <c r="H684" s="41">
        <v>28.853842230193788</v>
      </c>
      <c r="I684" s="41">
        <v>30.984796604246046</v>
      </c>
      <c r="J684" s="41">
        <v>33.319975267245653</v>
      </c>
      <c r="K684" s="41">
        <v>35.88429867753829</v>
      </c>
      <c r="L684" s="41">
        <v>38.700654647609255</v>
      </c>
      <c r="M684" s="41">
        <v>41.765048808078532</v>
      </c>
      <c r="N684" s="41">
        <v>45.071391657628332</v>
      </c>
      <c r="O684" s="41">
        <v>48.618770771469102</v>
      </c>
      <c r="P684" s="41">
        <v>52.405065007185634</v>
      </c>
      <c r="Q684" s="41">
        <v>56.458151133372532</v>
      </c>
      <c r="R684" s="41">
        <v>60.769945287699166</v>
      </c>
      <c r="S684" s="14"/>
      <c r="T684" s="14"/>
    </row>
    <row r="685" spans="1:20" x14ac:dyDescent="0.35">
      <c r="A685" t="s">
        <v>42</v>
      </c>
      <c r="B685" s="17" t="s">
        <v>59</v>
      </c>
      <c r="C685" s="18" t="s">
        <v>70</v>
      </c>
      <c r="D685" s="19" t="s">
        <v>71</v>
      </c>
      <c r="E685" s="19" t="s">
        <v>71</v>
      </c>
      <c r="F685" s="22">
        <v>3.9401606941384659</v>
      </c>
      <c r="G685" s="22">
        <v>4.4519650502820776</v>
      </c>
      <c r="H685" s="22">
        <v>5.0349138307120009</v>
      </c>
      <c r="I685" s="22">
        <v>5.7013278290061873</v>
      </c>
      <c r="J685" s="22">
        <v>6.464567296311321</v>
      </c>
      <c r="K685" s="22">
        <v>7.3402945180258143</v>
      </c>
      <c r="L685" s="22">
        <v>8.3458379634164519</v>
      </c>
      <c r="M685" s="22">
        <v>9.4949525413726299</v>
      </c>
      <c r="N685" s="22">
        <v>10.802127172351341</v>
      </c>
      <c r="O685" s="22">
        <v>12.284297321675913</v>
      </c>
      <c r="P685" s="22">
        <v>13.95965902993793</v>
      </c>
      <c r="Q685" s="22">
        <v>15.856032166963637</v>
      </c>
      <c r="R685" s="22">
        <v>17.994641114713051</v>
      </c>
      <c r="S685" s="14"/>
      <c r="T685" s="14"/>
    </row>
    <row r="686" spans="1:20" x14ac:dyDescent="0.35">
      <c r="A686" t="s">
        <v>42</v>
      </c>
      <c r="B686" s="17" t="s">
        <v>59</v>
      </c>
      <c r="C686" s="18" t="s">
        <v>70</v>
      </c>
      <c r="D686" s="19" t="s">
        <v>72</v>
      </c>
      <c r="E686" s="19" t="s">
        <v>72</v>
      </c>
      <c r="F686" s="22">
        <v>2.9041998943704792</v>
      </c>
      <c r="G686" s="22">
        <v>3.3063132260181356</v>
      </c>
      <c r="H686" s="22">
        <v>3.7696133889749914</v>
      </c>
      <c r="I686" s="22">
        <v>4.3041165997308832</v>
      </c>
      <c r="J686" s="22">
        <v>4.9230166333447754</v>
      </c>
      <c r="K686" s="22">
        <v>5.6440379443579918</v>
      </c>
      <c r="L686" s="22">
        <v>6.4838289158052689</v>
      </c>
      <c r="M686" s="22">
        <v>7.4615422109948204</v>
      </c>
      <c r="N686" s="22">
        <v>8.5891745979115282</v>
      </c>
      <c r="O686" s="22">
        <v>9.8814953436234827</v>
      </c>
      <c r="P686" s="22">
        <v>11.348494705435829</v>
      </c>
      <c r="Q686" s="22">
        <v>13.006803867446614</v>
      </c>
      <c r="R686" s="22">
        <v>14.887039425802307</v>
      </c>
      <c r="S686" s="14"/>
      <c r="T686" s="14"/>
    </row>
    <row r="687" spans="1:20" x14ac:dyDescent="0.35">
      <c r="A687" t="s">
        <v>42</v>
      </c>
      <c r="B687" s="17" t="s">
        <v>59</v>
      </c>
      <c r="C687" s="18" t="s">
        <v>70</v>
      </c>
      <c r="D687" s="19" t="s">
        <v>73</v>
      </c>
      <c r="E687" s="19" t="s">
        <v>73</v>
      </c>
      <c r="F687" s="22">
        <v>2.7667485199647395</v>
      </c>
      <c r="G687" s="22">
        <v>3.0621295867188767</v>
      </c>
      <c r="H687" s="22">
        <v>3.3928735178671916</v>
      </c>
      <c r="I687" s="22">
        <v>3.7567968038817434</v>
      </c>
      <c r="J687" s="22">
        <v>4.152241301861503</v>
      </c>
      <c r="K687" s="22">
        <v>4.5872345950816804</v>
      </c>
      <c r="L687" s="22">
        <v>5.0700918738392469</v>
      </c>
      <c r="M687" s="22">
        <v>5.6189855080310229</v>
      </c>
      <c r="N687" s="22">
        <v>6.245564664090737</v>
      </c>
      <c r="O687" s="22">
        <v>6.9466985135577399</v>
      </c>
      <c r="P687" s="22">
        <v>7.7317524317669983</v>
      </c>
      <c r="Q687" s="22">
        <v>8.5977943905933554</v>
      </c>
      <c r="R687" s="22">
        <v>9.547945955056452</v>
      </c>
      <c r="S687" s="14"/>
      <c r="T687" s="14"/>
    </row>
    <row r="688" spans="1:20" x14ac:dyDescent="0.35">
      <c r="A688" t="s">
        <v>42</v>
      </c>
      <c r="B688" s="17" t="s">
        <v>59</v>
      </c>
      <c r="C688" s="18" t="s">
        <v>70</v>
      </c>
      <c r="D688" s="19" t="s">
        <v>74</v>
      </c>
      <c r="E688" s="19" t="s">
        <v>74</v>
      </c>
      <c r="F688" s="22">
        <v>3.3143861046855192</v>
      </c>
      <c r="G688" s="22">
        <v>3.7006283453397084</v>
      </c>
      <c r="H688" s="22">
        <v>4.1384231422160767</v>
      </c>
      <c r="I688" s="22">
        <v>4.6297366093171366</v>
      </c>
      <c r="J688" s="22">
        <v>5.1716538370490568</v>
      </c>
      <c r="K688" s="22">
        <v>5.774249131796827</v>
      </c>
      <c r="L688" s="22">
        <v>6.4476237432809445</v>
      </c>
      <c r="M688" s="22">
        <v>7.2088132048669777</v>
      </c>
      <c r="N688" s="22">
        <v>8.0708316178466166</v>
      </c>
      <c r="O688" s="22">
        <v>9.0454971469963663</v>
      </c>
      <c r="P688" s="22">
        <v>10.134301930245075</v>
      </c>
      <c r="Q688" s="22">
        <v>11.338137846152787</v>
      </c>
      <c r="R688" s="22">
        <v>12.675910334651958</v>
      </c>
      <c r="S688" s="14"/>
      <c r="T688" s="14"/>
    </row>
    <row r="689" spans="1:20" x14ac:dyDescent="0.35">
      <c r="A689" t="s">
        <v>42</v>
      </c>
      <c r="B689" s="17" t="s">
        <v>59</v>
      </c>
      <c r="C689" s="18" t="s">
        <v>70</v>
      </c>
      <c r="D689" s="19" t="s">
        <v>75</v>
      </c>
      <c r="E689" s="19" t="s">
        <v>75</v>
      </c>
      <c r="F689" s="22">
        <v>2.6044214513139452</v>
      </c>
      <c r="G689" s="22">
        <v>2.9213307991841369</v>
      </c>
      <c r="H689" s="22">
        <v>3.2773376464344279</v>
      </c>
      <c r="I689" s="22">
        <v>3.685692106686385</v>
      </c>
      <c r="J689" s="22">
        <v>4.152241301861503</v>
      </c>
      <c r="K689" s="22">
        <v>4.6830449662235605</v>
      </c>
      <c r="L689" s="22">
        <v>5.2826475480022435</v>
      </c>
      <c r="M689" s="22">
        <v>5.954618946404274</v>
      </c>
      <c r="N689" s="22">
        <v>6.7062638966295962</v>
      </c>
      <c r="O689" s="22">
        <v>7.5616205399984375</v>
      </c>
      <c r="P689" s="22">
        <v>8.5367440747244636</v>
      </c>
      <c r="Q689" s="22">
        <v>9.6385865904114585</v>
      </c>
      <c r="R689" s="22">
        <v>10.874738847876845</v>
      </c>
      <c r="S689" s="22"/>
      <c r="T689" s="22"/>
    </row>
    <row r="690" spans="1:20" x14ac:dyDescent="0.35">
      <c r="A690" t="s">
        <v>42</v>
      </c>
      <c r="B690" s="17" t="s">
        <v>59</v>
      </c>
      <c r="C690" s="18" t="s">
        <v>76</v>
      </c>
      <c r="D690" s="19" t="s">
        <v>77</v>
      </c>
      <c r="E690" s="19" t="s">
        <v>77</v>
      </c>
      <c r="F690" s="22">
        <v>3.7625452046097676</v>
      </c>
      <c r="G690" s="22">
        <v>4.1726096729118014</v>
      </c>
      <c r="H690" s="22">
        <v>4.632581158564264</v>
      </c>
      <c r="I690" s="22">
        <v>5.1397835903984781</v>
      </c>
      <c r="J690" s="22">
        <v>5.6922379823048939</v>
      </c>
      <c r="K690" s="22">
        <v>6.3012273263817598</v>
      </c>
      <c r="L690" s="22">
        <v>6.9785205722225712</v>
      </c>
      <c r="M690" s="22">
        <v>7.7495488705936895</v>
      </c>
      <c r="N690" s="22">
        <v>8.6309509772998201</v>
      </c>
      <c r="O690" s="22">
        <v>9.6190733808664497</v>
      </c>
      <c r="P690" s="22">
        <v>10.727536196545259</v>
      </c>
      <c r="Q690" s="22">
        <v>11.953006213573723</v>
      </c>
      <c r="R690" s="22">
        <v>13.300539421853591</v>
      </c>
      <c r="S690" s="22"/>
      <c r="T690" s="22"/>
    </row>
    <row r="691" spans="1:20" x14ac:dyDescent="0.35">
      <c r="A691" t="s">
        <v>42</v>
      </c>
      <c r="B691" s="17" t="s">
        <v>59</v>
      </c>
      <c r="C691" s="18" t="s">
        <v>76</v>
      </c>
      <c r="D691" s="19" t="s">
        <v>78</v>
      </c>
      <c r="E691" s="19" t="s">
        <v>78</v>
      </c>
      <c r="F691" s="22">
        <v>3.613031570010607</v>
      </c>
      <c r="G691" s="22">
        <v>3.9523170807075898</v>
      </c>
      <c r="H691" s="22">
        <v>4.3284039487070318</v>
      </c>
      <c r="I691" s="22">
        <v>4.7370314532524151</v>
      </c>
      <c r="J691" s="22">
        <v>5.1747618020953601</v>
      </c>
      <c r="K691" s="22">
        <v>5.6503537010163019</v>
      </c>
      <c r="L691" s="22">
        <v>6.1724805479752174</v>
      </c>
      <c r="M691" s="22">
        <v>6.7613725142882553</v>
      </c>
      <c r="N691" s="22">
        <v>7.4284227956069158</v>
      </c>
      <c r="O691" s="22">
        <v>8.1668529376082208</v>
      </c>
      <c r="P691" s="22">
        <v>8.9848126403613744</v>
      </c>
      <c r="Q691" s="22">
        <v>9.875711140515806</v>
      </c>
      <c r="R691" s="22">
        <v>10.840134047086691</v>
      </c>
      <c r="S691" s="22"/>
      <c r="T691" s="22"/>
    </row>
    <row r="692" spans="1:20" x14ac:dyDescent="0.35">
      <c r="A692" t="s">
        <v>42</v>
      </c>
      <c r="B692" s="17" t="s">
        <v>59</v>
      </c>
      <c r="C692" s="18" t="s">
        <v>76</v>
      </c>
      <c r="D692" s="19" t="s">
        <v>79</v>
      </c>
      <c r="E692" s="19" t="s">
        <v>79</v>
      </c>
      <c r="F692" s="22">
        <v>2.0761867878709772</v>
      </c>
      <c r="G692" s="22">
        <v>2.3401263277307076</v>
      </c>
      <c r="H692" s="22">
        <v>2.6400712884509177</v>
      </c>
      <c r="I692" s="22">
        <v>2.9822017017645641</v>
      </c>
      <c r="J692" s="22">
        <v>3.3731780635880857</v>
      </c>
      <c r="K692" s="22">
        <v>3.8207937227518789</v>
      </c>
      <c r="L692" s="22">
        <v>4.3336294689852428</v>
      </c>
      <c r="M692" s="22">
        <v>4.9183224344106629</v>
      </c>
      <c r="N692" s="22">
        <v>5.5818201591749732</v>
      </c>
      <c r="O692" s="22">
        <v>6.3322609100246794</v>
      </c>
      <c r="P692" s="22">
        <v>7.1783469879207216</v>
      </c>
      <c r="Q692" s="22">
        <v>8.1336374525647699</v>
      </c>
      <c r="R692" s="22">
        <v>9.2081679173621449</v>
      </c>
      <c r="S692" s="22"/>
      <c r="T692" s="22"/>
    </row>
    <row r="693" spans="1:20" x14ac:dyDescent="0.35">
      <c r="A693" t="s">
        <v>42</v>
      </c>
      <c r="B693" s="17" t="s">
        <v>59</v>
      </c>
      <c r="C693" s="18" t="s">
        <v>76</v>
      </c>
      <c r="D693" s="19" t="s">
        <v>80</v>
      </c>
      <c r="E693" s="19" t="s">
        <v>80</v>
      </c>
      <c r="F693" s="22">
        <v>1.4918245177079055</v>
      </c>
      <c r="G693" s="22">
        <v>1.6190157376455738</v>
      </c>
      <c r="H693" s="22">
        <v>1.7590749024496364</v>
      </c>
      <c r="I693" s="22">
        <v>1.9099311162113333</v>
      </c>
      <c r="J693" s="22">
        <v>2.0699047208381436</v>
      </c>
      <c r="K693" s="22">
        <v>2.2422425758087976</v>
      </c>
      <c r="L693" s="22">
        <v>2.430050201044716</v>
      </c>
      <c r="M693" s="22">
        <v>2.6408785247189117</v>
      </c>
      <c r="N693" s="22">
        <v>2.8785809232794866</v>
      </c>
      <c r="O693" s="22">
        <v>3.1398375734293267</v>
      </c>
      <c r="P693" s="22">
        <v>3.4271604508811371</v>
      </c>
      <c r="Q693" s="22">
        <v>3.7373487495766731</v>
      </c>
      <c r="R693" s="22">
        <v>4.0700058065964031</v>
      </c>
      <c r="S693" s="22"/>
      <c r="T693" s="22"/>
    </row>
    <row r="694" spans="1:20" x14ac:dyDescent="0.35">
      <c r="A694" t="s">
        <v>42</v>
      </c>
      <c r="B694" s="17" t="s">
        <v>59</v>
      </c>
      <c r="C694" s="18" t="s">
        <v>76</v>
      </c>
      <c r="D694" s="19" t="s">
        <v>81</v>
      </c>
      <c r="E694" s="19" t="s">
        <v>81</v>
      </c>
      <c r="F694" s="22">
        <v>1.9504964717463034</v>
      </c>
      <c r="G694" s="22">
        <v>2.1418929725061431</v>
      </c>
      <c r="H694" s="22">
        <v>2.3543145386696884</v>
      </c>
      <c r="I694" s="22">
        <v>2.5911382262012617</v>
      </c>
      <c r="J694" s="22">
        <v>2.8557018833785501</v>
      </c>
      <c r="K694" s="22">
        <v>3.1518338765753744</v>
      </c>
      <c r="L694" s="22">
        <v>3.483477106859993</v>
      </c>
      <c r="M694" s="22">
        <v>3.8524467427610647</v>
      </c>
      <c r="N694" s="22">
        <v>4.2604334075905257</v>
      </c>
      <c r="O694" s="22">
        <v>4.7096694192269188</v>
      </c>
      <c r="P694" s="22">
        <v>5.2023722563523886</v>
      </c>
      <c r="Q694" s="22">
        <v>5.7438322962872332</v>
      </c>
      <c r="R694" s="22">
        <v>6.3360757519412685</v>
      </c>
      <c r="S694" s="22"/>
      <c r="T694" s="22"/>
    </row>
    <row r="695" spans="1:20" x14ac:dyDescent="0.35">
      <c r="A695" t="s">
        <v>42</v>
      </c>
      <c r="B695" s="17" t="s">
        <v>47</v>
      </c>
      <c r="C695" s="13" t="s">
        <v>82</v>
      </c>
      <c r="D695" s="13" t="s">
        <v>82</v>
      </c>
      <c r="E695" s="13" t="s">
        <v>82</v>
      </c>
      <c r="F695" s="14">
        <v>67.17290191125484</v>
      </c>
      <c r="G695" s="14">
        <v>74.270180058870963</v>
      </c>
      <c r="H695" s="14">
        <v>82.160456745245867</v>
      </c>
      <c r="I695" s="14">
        <v>91.053979335359415</v>
      </c>
      <c r="J695" s="14">
        <v>101.00886400486439</v>
      </c>
      <c r="K695" s="14">
        <v>112.1412224739635</v>
      </c>
      <c r="L695" s="14">
        <v>124.53996178525611</v>
      </c>
      <c r="M695" s="14">
        <v>138.3421305561572</v>
      </c>
      <c r="N695" s="14">
        <v>153.71181409069519</v>
      </c>
      <c r="O695" s="14">
        <v>170.99009061567142</v>
      </c>
      <c r="P695" s="14">
        <v>190.44454356328146</v>
      </c>
      <c r="Q695" s="14">
        <v>212.09970390763755</v>
      </c>
      <c r="R695" s="14">
        <v>236.02855574430421</v>
      </c>
      <c r="S695" s="22"/>
      <c r="T695" s="22"/>
    </row>
    <row r="696" spans="1:20" x14ac:dyDescent="0.35">
      <c r="A696" t="s">
        <v>42</v>
      </c>
      <c r="B696" s="17" t="s">
        <v>47</v>
      </c>
      <c r="C696" s="13" t="s">
        <v>83</v>
      </c>
      <c r="D696" s="13" t="s">
        <v>83</v>
      </c>
      <c r="E696" s="13" t="s">
        <v>83</v>
      </c>
      <c r="F696" s="14">
        <v>112.99180549923659</v>
      </c>
      <c r="G696" s="14">
        <v>122.57704343430942</v>
      </c>
      <c r="H696" s="14">
        <v>133.17970431300213</v>
      </c>
      <c r="I696" s="14">
        <v>144.9214396148511</v>
      </c>
      <c r="J696" s="14">
        <v>157.98822318709557</v>
      </c>
      <c r="K696" s="14">
        <v>172.65446999632198</v>
      </c>
      <c r="L696" s="14">
        <v>189.08506349780643</v>
      </c>
      <c r="M696" s="14">
        <v>207.45743797758257</v>
      </c>
      <c r="N696" s="14">
        <v>227.6841093461955</v>
      </c>
      <c r="O696" s="14">
        <v>249.73104995656922</v>
      </c>
      <c r="P696" s="14">
        <v>273.41336164301697</v>
      </c>
      <c r="Q696" s="14">
        <v>298.70353242364467</v>
      </c>
      <c r="R696" s="14">
        <v>325.86460443856885</v>
      </c>
      <c r="S696" s="22"/>
      <c r="T696" s="22"/>
    </row>
    <row r="697" spans="1:20" x14ac:dyDescent="0.35">
      <c r="A697" t="s">
        <v>42</v>
      </c>
      <c r="B697" s="17" t="s">
        <v>84</v>
      </c>
      <c r="C697" s="13" t="s">
        <v>85</v>
      </c>
      <c r="D697" s="13" t="s">
        <v>85</v>
      </c>
      <c r="E697" s="13" t="s">
        <v>85</v>
      </c>
      <c r="F697" s="14">
        <v>10.799591979854574</v>
      </c>
      <c r="G697" s="14">
        <v>11.605684892451984</v>
      </c>
      <c r="H697" s="14">
        <v>12.484103765061008</v>
      </c>
      <c r="I697" s="14">
        <v>13.446694808920244</v>
      </c>
      <c r="J697" s="14">
        <v>14.503836882749757</v>
      </c>
      <c r="K697" s="14">
        <v>15.667225625044038</v>
      </c>
      <c r="L697" s="14">
        <v>16.947806532497502</v>
      </c>
      <c r="M697" s="14">
        <v>18.344880485862866</v>
      </c>
      <c r="N697" s="14">
        <v>19.85681495934039</v>
      </c>
      <c r="O697" s="14">
        <v>21.484234224518538</v>
      </c>
      <c r="P697" s="14">
        <v>23.227231838253434</v>
      </c>
      <c r="Q697" s="14">
        <v>25.099194203091812</v>
      </c>
      <c r="R697" s="14">
        <v>27.097678530814783</v>
      </c>
      <c r="S697" s="22"/>
      <c r="T697" s="22"/>
    </row>
    <row r="698" spans="1:20" x14ac:dyDescent="0.35">
      <c r="A698" t="s">
        <v>42</v>
      </c>
      <c r="B698" s="17" t="s">
        <v>84</v>
      </c>
      <c r="C698" s="13" t="s">
        <v>86</v>
      </c>
      <c r="D698" s="13" t="s">
        <v>86</v>
      </c>
      <c r="E698" s="13" t="s">
        <v>86</v>
      </c>
      <c r="F698" s="14">
        <v>33.601312386008296</v>
      </c>
      <c r="G698" s="14">
        <v>36.383409188950935</v>
      </c>
      <c r="H698" s="14">
        <v>39.468622819581427</v>
      </c>
      <c r="I698" s="14">
        <v>42.802297923818145</v>
      </c>
      <c r="J698" s="14">
        <v>46.360478607360832</v>
      </c>
      <c r="K698" s="14">
        <v>50.090825041066537</v>
      </c>
      <c r="L698" s="14">
        <v>54.138026761091673</v>
      </c>
      <c r="M698" s="14">
        <v>58.620507368973335</v>
      </c>
      <c r="N698" s="14">
        <v>63.669526807764989</v>
      </c>
      <c r="O698" s="14">
        <v>69.323206722192381</v>
      </c>
      <c r="P698" s="14">
        <v>75.502025692000998</v>
      </c>
      <c r="Q698" s="14">
        <v>82.130897132791063</v>
      </c>
      <c r="R698" s="14">
        <v>89.234555420931656</v>
      </c>
      <c r="S698" s="14"/>
      <c r="T698" s="14"/>
    </row>
    <row r="699" spans="1:20" x14ac:dyDescent="0.35">
      <c r="A699" t="s">
        <v>42</v>
      </c>
      <c r="B699" s="17" t="s">
        <v>84</v>
      </c>
      <c r="C699" s="40" t="s">
        <v>87</v>
      </c>
      <c r="D699" s="40" t="s">
        <v>87</v>
      </c>
      <c r="E699" s="40" t="s">
        <v>87</v>
      </c>
      <c r="F699" s="42">
        <v>62.3213084712701</v>
      </c>
      <c r="G699" s="42">
        <v>68.289129209752076</v>
      </c>
      <c r="H699" s="42">
        <v>75.120071721275991</v>
      </c>
      <c r="I699" s="42">
        <v>83.139129139234257</v>
      </c>
      <c r="J699" s="42">
        <v>92.461960127529721</v>
      </c>
      <c r="K699" s="42">
        <v>103.25104850992324</v>
      </c>
      <c r="L699" s="42">
        <v>115.35886251111637</v>
      </c>
      <c r="M699" s="42">
        <v>128.80810625125741</v>
      </c>
      <c r="N699" s="42">
        <v>143.55032233983752</v>
      </c>
      <c r="O699" s="42">
        <v>159.87522135501985</v>
      </c>
      <c r="P699" s="42">
        <v>177.72005979965644</v>
      </c>
      <c r="Q699" s="42">
        <v>197.02016417177862</v>
      </c>
      <c r="R699" s="42">
        <v>218.07710438136826</v>
      </c>
      <c r="S699" s="14"/>
      <c r="T699" s="14"/>
    </row>
    <row r="700" spans="1:20" x14ac:dyDescent="0.35">
      <c r="A700" t="s">
        <v>42</v>
      </c>
      <c r="B700" s="17" t="s">
        <v>84</v>
      </c>
      <c r="C700" s="13" t="s">
        <v>88</v>
      </c>
      <c r="D700" s="13" t="s">
        <v>88</v>
      </c>
      <c r="E700" s="13" t="s">
        <v>88</v>
      </c>
      <c r="F700" s="14">
        <v>40.204833088332201</v>
      </c>
      <c r="G700" s="14">
        <v>44.300014203535028</v>
      </c>
      <c r="H700" s="14">
        <v>48.644993222144876</v>
      </c>
      <c r="I700" s="14">
        <v>53.330925409380761</v>
      </c>
      <c r="J700" s="14">
        <v>58.533341705382952</v>
      </c>
      <c r="K700" s="14">
        <v>64.443027234900228</v>
      </c>
      <c r="L700" s="14">
        <v>71.229309906328993</v>
      </c>
      <c r="M700" s="14">
        <v>78.885878018942151</v>
      </c>
      <c r="N700" s="14">
        <v>87.309464801952558</v>
      </c>
      <c r="O700" s="14">
        <v>96.544845729357291</v>
      </c>
      <c r="P700" s="14">
        <v>106.74808817688132</v>
      </c>
      <c r="Q700" s="14">
        <v>118.10679559816708</v>
      </c>
      <c r="R700" s="14">
        <v>130.63246652538379</v>
      </c>
      <c r="S700" s="14"/>
      <c r="T700" s="14"/>
    </row>
    <row r="701" spans="1:20" x14ac:dyDescent="0.35">
      <c r="A701" t="s">
        <v>42</v>
      </c>
      <c r="B701" s="17" t="s">
        <v>84</v>
      </c>
      <c r="C701" s="13" t="s">
        <v>89</v>
      </c>
      <c r="D701" s="13" t="s">
        <v>89</v>
      </c>
      <c r="E701" s="13" t="s">
        <v>89</v>
      </c>
      <c r="F701" s="14">
        <v>10.433163708112188</v>
      </c>
      <c r="G701" s="14">
        <v>11.427944908448055</v>
      </c>
      <c r="H701" s="14">
        <v>12.531861428950782</v>
      </c>
      <c r="I701" s="14">
        <v>13.733015171599163</v>
      </c>
      <c r="J701" s="14">
        <v>15.021831057133678</v>
      </c>
      <c r="K701" s="14">
        <v>16.424088808888623</v>
      </c>
      <c r="L701" s="14">
        <v>17.965456549172011</v>
      </c>
      <c r="M701" s="14">
        <v>19.705374925067463</v>
      </c>
      <c r="N701" s="14">
        <v>21.677843368844488</v>
      </c>
      <c r="O701" s="14">
        <v>23.864010323868907</v>
      </c>
      <c r="P701" s="14">
        <v>26.288545832249156</v>
      </c>
      <c r="Q701" s="14">
        <v>28.933120731787572</v>
      </c>
      <c r="R701" s="14">
        <v>31.800334872422663</v>
      </c>
      <c r="S701" s="14"/>
      <c r="T701" s="14"/>
    </row>
    <row r="702" spans="1:20" x14ac:dyDescent="0.35">
      <c r="A702" t="s">
        <v>42</v>
      </c>
      <c r="B702" s="17" t="s">
        <v>84</v>
      </c>
      <c r="C702" s="13" t="s">
        <v>90</v>
      </c>
      <c r="D702" s="13" t="s">
        <v>90</v>
      </c>
      <c r="E702" s="13" t="s">
        <v>90</v>
      </c>
      <c r="F702" s="14">
        <v>22.804497776914065</v>
      </c>
      <c r="G702" s="14">
        <v>24.841041090042275</v>
      </c>
      <c r="H702" s="14">
        <v>27.090508101233915</v>
      </c>
      <c r="I702" s="14">
        <v>29.523356497257925</v>
      </c>
      <c r="J702" s="14">
        <v>32.115638811803038</v>
      </c>
      <c r="K702" s="14">
        <v>34.919477250462784</v>
      </c>
      <c r="L702" s="14">
        <v>37.985563022855992</v>
      </c>
      <c r="M702" s="14">
        <v>41.434821483636533</v>
      </c>
      <c r="N702" s="14">
        <v>45.331951159150783</v>
      </c>
      <c r="O702" s="14">
        <v>49.629622217283668</v>
      </c>
      <c r="P702" s="14">
        <v>54.371953867257069</v>
      </c>
      <c r="Q702" s="14">
        <v>59.513064493666036</v>
      </c>
      <c r="R702" s="14">
        <v>65.051020451951985</v>
      </c>
      <c r="S702" s="14"/>
      <c r="T702" s="14"/>
    </row>
    <row r="703" spans="1:20" x14ac:dyDescent="0.35">
      <c r="A703" t="s">
        <v>42</v>
      </c>
      <c r="B703" s="17" t="s">
        <v>91</v>
      </c>
      <c r="C703" s="13" t="s">
        <v>92</v>
      </c>
      <c r="D703" s="13" t="s">
        <v>92</v>
      </c>
      <c r="E703" s="13" t="s">
        <v>92</v>
      </c>
      <c r="F703" s="14">
        <v>73.455412546444805</v>
      </c>
      <c r="G703" s="14">
        <v>80.990361466704599</v>
      </c>
      <c r="H703" s="14">
        <v>89.383081486001217</v>
      </c>
      <c r="I703" s="14">
        <v>98.772132870811845</v>
      </c>
      <c r="J703" s="14">
        <v>109.29677079500711</v>
      </c>
      <c r="K703" s="14">
        <v>121.11721304131727</v>
      </c>
      <c r="L703" s="14">
        <v>134.40059529913003</v>
      </c>
      <c r="M703" s="14">
        <v>149.23457668059393</v>
      </c>
      <c r="N703" s="14">
        <v>165.70331805850128</v>
      </c>
      <c r="O703" s="14">
        <v>183.91331832041098</v>
      </c>
      <c r="P703" s="14">
        <v>203.972124990259</v>
      </c>
      <c r="Q703" s="14">
        <v>226.10940741452836</v>
      </c>
      <c r="R703" s="14">
        <v>250.42994611076989</v>
      </c>
      <c r="S703" s="14"/>
      <c r="T703" s="14"/>
    </row>
    <row r="704" spans="1:20" x14ac:dyDescent="0.35">
      <c r="A704" t="s">
        <v>42</v>
      </c>
      <c r="B704" s="17" t="s">
        <v>91</v>
      </c>
      <c r="C704" s="13" t="s">
        <v>93</v>
      </c>
      <c r="D704" s="13" t="s">
        <v>93</v>
      </c>
      <c r="E704" s="13" t="s">
        <v>93</v>
      </c>
      <c r="F704" s="14">
        <v>106.70929486404661</v>
      </c>
      <c r="G704" s="14">
        <v>115.85686202647577</v>
      </c>
      <c r="H704" s="14">
        <v>125.95707957224677</v>
      </c>
      <c r="I704" s="14">
        <v>137.20328607939865</v>
      </c>
      <c r="J704" s="14">
        <v>149.70031639695287</v>
      </c>
      <c r="K704" s="14">
        <v>163.67847942896822</v>
      </c>
      <c r="L704" s="14">
        <v>179.22442998393251</v>
      </c>
      <c r="M704" s="14">
        <v>196.56499185314584</v>
      </c>
      <c r="N704" s="14">
        <v>215.69260537838943</v>
      </c>
      <c r="O704" s="14">
        <v>236.80782225182966</v>
      </c>
      <c r="P704" s="14">
        <v>259.88578021603939</v>
      </c>
      <c r="Q704" s="14">
        <v>284.69382891675389</v>
      </c>
      <c r="R704" s="14">
        <v>311.4632140721032</v>
      </c>
      <c r="S704" s="14"/>
      <c r="T704" s="14"/>
    </row>
    <row r="705" spans="1:20" x14ac:dyDescent="0.35">
      <c r="A705" t="s">
        <v>42</v>
      </c>
      <c r="B705" s="17" t="s">
        <v>94</v>
      </c>
      <c r="C705" s="13" t="s">
        <v>95</v>
      </c>
      <c r="D705" s="13" t="s">
        <v>95</v>
      </c>
      <c r="E705" s="13" t="s">
        <v>95</v>
      </c>
      <c r="F705" s="14">
        <v>19.92532180347288</v>
      </c>
      <c r="G705" s="14">
        <v>22.122775013648283</v>
      </c>
      <c r="H705" s="14">
        <v>24.599444440154098</v>
      </c>
      <c r="I705" s="14">
        <v>27.394378855351214</v>
      </c>
      <c r="J705" s="14">
        <v>30.561656288651275</v>
      </c>
      <c r="K705" s="14">
        <v>34.176625076678967</v>
      </c>
      <c r="L705" s="14">
        <v>38.298933927876092</v>
      </c>
      <c r="M705" s="14">
        <v>42.995064413949017</v>
      </c>
      <c r="N705" s="14">
        <v>48.281355711334854</v>
      </c>
      <c r="O705" s="14">
        <v>54.185414870613513</v>
      </c>
      <c r="P705" s="14">
        <v>60.7030778432134</v>
      </c>
      <c r="Q705" s="14">
        <v>67.863073824456052</v>
      </c>
      <c r="R705" s="14">
        <v>75.761185469451576</v>
      </c>
      <c r="S705" s="14"/>
      <c r="T705" s="14"/>
    </row>
    <row r="706" spans="1:20" x14ac:dyDescent="0.35">
      <c r="A706" t="s">
        <v>42</v>
      </c>
      <c r="B706" s="17" t="s">
        <v>94</v>
      </c>
      <c r="C706" s="40" t="s">
        <v>96</v>
      </c>
      <c r="D706" s="40" t="s">
        <v>96</v>
      </c>
      <c r="E706" s="40" t="s">
        <v>96</v>
      </c>
      <c r="F706" s="42">
        <v>22.572590895921508</v>
      </c>
      <c r="G706" s="42">
        <v>24.448528901512105</v>
      </c>
      <c r="H706" s="42">
        <v>26.621633305937479</v>
      </c>
      <c r="I706" s="42">
        <v>29.313880551593371</v>
      </c>
      <c r="J706" s="42">
        <v>32.633632986186967</v>
      </c>
      <c r="K706" s="42">
        <v>36.592279028168349</v>
      </c>
      <c r="L706" s="42">
        <v>41.032014649279176</v>
      </c>
      <c r="M706" s="42">
        <v>45.892805303102421</v>
      </c>
      <c r="N706" s="42">
        <v>51.127378753759501</v>
      </c>
      <c r="O706" s="42">
        <v>56.861845449019711</v>
      </c>
      <c r="P706" s="42">
        <v>63.227726703716712</v>
      </c>
      <c r="Q706" s="42">
        <v>70.19152816115934</v>
      </c>
      <c r="R706" s="42">
        <v>77.718818520634898</v>
      </c>
      <c r="S706" s="14"/>
      <c r="T706" s="14"/>
    </row>
    <row r="707" spans="1:20" x14ac:dyDescent="0.35">
      <c r="A707" t="s">
        <v>42</v>
      </c>
      <c r="B707" s="17" t="s">
        <v>94</v>
      </c>
      <c r="C707" s="13" t="s">
        <v>97</v>
      </c>
      <c r="D707" s="13" t="s">
        <v>97</v>
      </c>
      <c r="E707" s="13" t="s">
        <v>97</v>
      </c>
      <c r="F707" s="14">
        <v>29.168689177773675</v>
      </c>
      <c r="G707" s="14">
        <v>31.619376095764906</v>
      </c>
      <c r="H707" s="14">
        <v>34.328663114464419</v>
      </c>
      <c r="I707" s="14">
        <v>37.32730818285426</v>
      </c>
      <c r="J707" s="14">
        <v>40.662542689137716</v>
      </c>
      <c r="K707" s="14">
        <v>44.40421737689546</v>
      </c>
      <c r="L707" s="14">
        <v>48.593802299201634</v>
      </c>
      <c r="M707" s="14">
        <v>53.275866599232884</v>
      </c>
      <c r="N707" s="14">
        <v>58.426811373889635</v>
      </c>
      <c r="O707" s="14">
        <v>64.036820905136693</v>
      </c>
      <c r="P707" s="14">
        <v>70.057417149308293</v>
      </c>
      <c r="Q707" s="14">
        <v>76.48058885130439</v>
      </c>
      <c r="R707" s="14">
        <v>83.372738424255786</v>
      </c>
      <c r="S707" s="14"/>
      <c r="T707" s="14"/>
    </row>
    <row r="708" spans="1:20" x14ac:dyDescent="0.35">
      <c r="A708" t="s">
        <v>42</v>
      </c>
      <c r="B708" s="17" t="s">
        <v>94</v>
      </c>
      <c r="C708" s="13" t="s">
        <v>98</v>
      </c>
      <c r="D708" s="13" t="s">
        <v>98</v>
      </c>
      <c r="E708" s="13" t="s">
        <v>98</v>
      </c>
      <c r="F708" s="14">
        <v>57.414500963608312</v>
      </c>
      <c r="G708" s="14">
        <v>63.064476104246765</v>
      </c>
      <c r="H708" s="14">
        <v>69.381929251518173</v>
      </c>
      <c r="I708" s="14">
        <v>76.361172267178034</v>
      </c>
      <c r="J708" s="14">
        <v>83.915056250195036</v>
      </c>
      <c r="K708" s="14">
        <v>92.171505747527348</v>
      </c>
      <c r="L708" s="14">
        <v>101.24934018214238</v>
      </c>
      <c r="M708" s="14">
        <v>111.36709042644186</v>
      </c>
      <c r="N708" s="14">
        <v>122.66529219841283</v>
      </c>
      <c r="O708" s="14">
        <v>135.25512270004651</v>
      </c>
      <c r="P708" s="14">
        <v>149.08380879650258</v>
      </c>
      <c r="Q708" s="14">
        <v>164.09057418106573</v>
      </c>
      <c r="R708" s="14">
        <v>180.47672705568073</v>
      </c>
      <c r="S708" s="14"/>
      <c r="T708" s="14"/>
    </row>
    <row r="709" spans="1:20" x14ac:dyDescent="0.35">
      <c r="A709" t="s">
        <v>42</v>
      </c>
      <c r="B709" s="17" t="s">
        <v>94</v>
      </c>
      <c r="C709" s="13" t="s">
        <v>48</v>
      </c>
      <c r="D709" s="13" t="s">
        <v>48</v>
      </c>
      <c r="E709" s="13" t="s">
        <v>48</v>
      </c>
      <c r="F709" s="14">
        <v>17.724136493582897</v>
      </c>
      <c r="G709" s="14">
        <v>19.566109255766602</v>
      </c>
      <c r="H709" s="14">
        <v>21.638640411601884</v>
      </c>
      <c r="I709" s="14">
        <v>23.92349060014779</v>
      </c>
      <c r="J709" s="14">
        <v>26.417702893579914</v>
      </c>
      <c r="K709" s="14">
        <v>29.101509252899504</v>
      </c>
      <c r="L709" s="14">
        <v>32.067667246377873</v>
      </c>
      <c r="M709" s="14">
        <v>35.400284868454094</v>
      </c>
      <c r="N709" s="14">
        <v>39.197244199138702</v>
      </c>
      <c r="O709" s="14">
        <v>43.505983303764381</v>
      </c>
      <c r="P709" s="14">
        <v>48.302860574220048</v>
      </c>
      <c r="Q709" s="14">
        <v>53.5642275252291</v>
      </c>
      <c r="R709" s="14">
        <v>59.328766150549455</v>
      </c>
      <c r="S709" s="14"/>
      <c r="T709" s="14"/>
    </row>
    <row r="710" spans="1:20" x14ac:dyDescent="0.35">
      <c r="A710" t="s">
        <v>42</v>
      </c>
      <c r="B710" s="17" t="s">
        <v>94</v>
      </c>
      <c r="C710" s="13" t="s">
        <v>99</v>
      </c>
      <c r="D710" s="13" t="s">
        <v>99</v>
      </c>
      <c r="E710" s="13" t="s">
        <v>99</v>
      </c>
      <c r="F710" s="14">
        <v>13.305978380262989</v>
      </c>
      <c r="G710" s="14">
        <v>14.317353941381548</v>
      </c>
      <c r="H710" s="14">
        <v>15.35152414971277</v>
      </c>
      <c r="I710" s="14">
        <v>16.433505029289954</v>
      </c>
      <c r="J710" s="14">
        <v>17.611801929053279</v>
      </c>
      <c r="K710" s="14">
        <v>18.934693064755862</v>
      </c>
      <c r="L710" s="14">
        <v>20.439203635813129</v>
      </c>
      <c r="M710" s="14">
        <v>22.107921483789184</v>
      </c>
      <c r="N710" s="14">
        <v>23.89718441472418</v>
      </c>
      <c r="O710" s="14">
        <v>25.80725587139947</v>
      </c>
      <c r="P710" s="14">
        <v>27.867581927748606</v>
      </c>
      <c r="Q710" s="14">
        <v>30.112534050941989</v>
      </c>
      <c r="R710" s="14">
        <v>32.527708276127441</v>
      </c>
      <c r="S710" s="14"/>
      <c r="T710" s="14"/>
    </row>
    <row r="711" spans="1:20" x14ac:dyDescent="0.35">
      <c r="A711" t="s">
        <v>42</v>
      </c>
      <c r="B711" s="17" t="s">
        <v>94</v>
      </c>
      <c r="C711" s="13" t="s">
        <v>100</v>
      </c>
      <c r="D711" s="13" t="s">
        <v>100</v>
      </c>
      <c r="E711" s="13" t="s">
        <v>100</v>
      </c>
      <c r="F711" s="14">
        <v>20.053489695869175</v>
      </c>
      <c r="G711" s="14">
        <v>21.708604180860153</v>
      </c>
      <c r="H711" s="14">
        <v>23.418326384859167</v>
      </c>
      <c r="I711" s="14">
        <v>25.221683463795852</v>
      </c>
      <c r="J711" s="14">
        <v>27.194694155155791</v>
      </c>
      <c r="K711" s="14">
        <v>29.414862923359983</v>
      </c>
      <c r="L711" s="14">
        <v>31.944063342372257</v>
      </c>
      <c r="M711" s="14">
        <v>34.760535438770312</v>
      </c>
      <c r="N711" s="14">
        <v>37.800656785631034</v>
      </c>
      <c r="O711" s="14">
        <v>41.068697472260311</v>
      </c>
      <c r="P711" s="14">
        <v>44.615432211588775</v>
      </c>
      <c r="Q711" s="14">
        <v>48.500709737125653</v>
      </c>
      <c r="R711" s="14">
        <v>52.707216286173285</v>
      </c>
      <c r="S711" s="14"/>
      <c r="T711" s="14"/>
    </row>
    <row r="712" spans="1:20" x14ac:dyDescent="0.35">
      <c r="A712" t="s">
        <v>41</v>
      </c>
      <c r="B712" s="17" t="s">
        <v>54</v>
      </c>
      <c r="C712" s="13" t="s">
        <v>55</v>
      </c>
      <c r="D712" s="13" t="s">
        <v>55</v>
      </c>
      <c r="E712" s="13" t="s">
        <v>55</v>
      </c>
      <c r="F712" s="14">
        <v>7.1632279396392997</v>
      </c>
      <c r="G712" s="14">
        <v>7.9134958758915515</v>
      </c>
      <c r="H712" s="14">
        <v>8.71245534457384</v>
      </c>
      <c r="I712" s="14">
        <v>9.5768184903073887</v>
      </c>
      <c r="J712" s="14">
        <v>10.538623964454464</v>
      </c>
      <c r="K712" s="14">
        <v>11.632992580638529</v>
      </c>
      <c r="L712" s="14">
        <v>12.891537853647597</v>
      </c>
      <c r="M712" s="14">
        <v>14.314411611170813</v>
      </c>
      <c r="N712" s="14">
        <v>15.884170216469586</v>
      </c>
      <c r="O712" s="14">
        <v>17.610119058845545</v>
      </c>
      <c r="P712" s="14">
        <v>19.521958867604543</v>
      </c>
      <c r="Q712" s="14">
        <v>21.655465597164483</v>
      </c>
      <c r="R712" s="14">
        <v>24.014496036514213</v>
      </c>
      <c r="S712" s="14"/>
      <c r="T712" s="14"/>
    </row>
    <row r="713" spans="1:20" x14ac:dyDescent="0.35">
      <c r="A713" t="s">
        <v>41</v>
      </c>
      <c r="B713" s="17" t="s">
        <v>54</v>
      </c>
      <c r="C713" s="13" t="s">
        <v>56</v>
      </c>
      <c r="D713" s="13" t="s">
        <v>56</v>
      </c>
      <c r="E713" s="13" t="s">
        <v>56</v>
      </c>
      <c r="F713" s="14">
        <v>21.749144442988474</v>
      </c>
      <c r="G713" s="14">
        <v>23.409120565628676</v>
      </c>
      <c r="H713" s="14">
        <v>25.220316120725233</v>
      </c>
      <c r="I713" s="14">
        <v>27.207375124999874</v>
      </c>
      <c r="J713" s="14">
        <v>29.392125552239978</v>
      </c>
      <c r="K713" s="14">
        <v>31.799198733006161</v>
      </c>
      <c r="L713" s="14">
        <v>34.451855508070338</v>
      </c>
      <c r="M713" s="14">
        <v>37.349828480561449</v>
      </c>
      <c r="N713" s="14">
        <v>40.490946591222517</v>
      </c>
      <c r="O713" s="14">
        <v>43.877625973692517</v>
      </c>
      <c r="P713" s="14">
        <v>47.511212861709062</v>
      </c>
      <c r="Q713" s="14">
        <v>51.420251325813773</v>
      </c>
      <c r="R713" s="14">
        <v>55.601033310128017</v>
      </c>
      <c r="S713" s="22"/>
      <c r="T713" s="22"/>
    </row>
    <row r="714" spans="1:20" x14ac:dyDescent="0.35">
      <c r="A714" t="s">
        <v>41</v>
      </c>
      <c r="B714" s="17" t="s">
        <v>54</v>
      </c>
      <c r="C714" s="13" t="s">
        <v>57</v>
      </c>
      <c r="D714" s="13" t="s">
        <v>57</v>
      </c>
      <c r="E714" s="13" t="s">
        <v>57</v>
      </c>
      <c r="F714" s="14">
        <v>43.15117467909743</v>
      </c>
      <c r="G714" s="14">
        <v>46.167648258831093</v>
      </c>
      <c r="H714" s="14">
        <v>49.487323071523278</v>
      </c>
      <c r="I714" s="14">
        <v>53.02920261286507</v>
      </c>
      <c r="J714" s="14">
        <v>56.753874010410733</v>
      </c>
      <c r="K714" s="14">
        <v>60.588815653550753</v>
      </c>
      <c r="L714" s="14">
        <v>64.703086141685475</v>
      </c>
      <c r="M714" s="14">
        <v>69.226141454202121</v>
      </c>
      <c r="N714" s="14">
        <v>74.296133779818135</v>
      </c>
      <c r="O714" s="14">
        <v>79.935565825716637</v>
      </c>
      <c r="P714" s="14">
        <v>86.029702936051947</v>
      </c>
      <c r="Q714" s="14">
        <v>92.473739320733614</v>
      </c>
      <c r="R714" s="14">
        <v>99.279753845172252</v>
      </c>
      <c r="S714" s="22"/>
      <c r="T714" s="22"/>
    </row>
    <row r="715" spans="1:20" x14ac:dyDescent="0.35">
      <c r="A715" t="s">
        <v>41</v>
      </c>
      <c r="B715" s="17" t="s">
        <v>59</v>
      </c>
      <c r="C715" s="18" t="s">
        <v>60</v>
      </c>
      <c r="D715" s="38" t="s">
        <v>61</v>
      </c>
      <c r="E715" s="39" t="s">
        <v>62</v>
      </c>
      <c r="F715" s="22">
        <v>2.7497964982780481</v>
      </c>
      <c r="G715" s="22">
        <v>3.0243532316169488</v>
      </c>
      <c r="H715" s="22">
        <v>3.3313640004044269</v>
      </c>
      <c r="I715" s="22">
        <v>3.6750925860100923</v>
      </c>
      <c r="J715" s="22">
        <v>4.0616371121204669</v>
      </c>
      <c r="K715" s="22">
        <v>4.4996692437096932</v>
      </c>
      <c r="L715" s="22">
        <v>4.9954407047564873</v>
      </c>
      <c r="M715" s="22">
        <v>5.5558269158298215</v>
      </c>
      <c r="N715" s="22">
        <v>6.180928933303969</v>
      </c>
      <c r="O715" s="22">
        <v>6.8722423519373477</v>
      </c>
      <c r="P715" s="22">
        <v>7.6271320653062471</v>
      </c>
      <c r="Q715" s="22">
        <v>8.4471469042294913</v>
      </c>
      <c r="R715" s="22">
        <v>9.3420781937672537</v>
      </c>
      <c r="S715" s="22"/>
      <c r="T715" s="22"/>
    </row>
    <row r="716" spans="1:20" x14ac:dyDescent="0.35">
      <c r="A716" t="s">
        <v>41</v>
      </c>
      <c r="B716" s="17" t="s">
        <v>59</v>
      </c>
      <c r="C716" s="18" t="s">
        <v>60</v>
      </c>
      <c r="D716" s="38" t="s">
        <v>61</v>
      </c>
      <c r="E716" s="39" t="s">
        <v>63</v>
      </c>
      <c r="F716" s="22">
        <v>5.7635402194763676</v>
      </c>
      <c r="G716" s="22">
        <v>6.2283361662709167</v>
      </c>
      <c r="H716" s="22">
        <v>6.7070897019804887</v>
      </c>
      <c r="I716" s="22">
        <v>7.2108955728016237</v>
      </c>
      <c r="J716" s="22">
        <v>7.7613461647450475</v>
      </c>
      <c r="K716" s="22">
        <v>8.3803055000688307</v>
      </c>
      <c r="L716" s="22">
        <v>9.0850300796953434</v>
      </c>
      <c r="M716" s="22">
        <v>9.8688688814011005</v>
      </c>
      <c r="N716" s="22">
        <v>10.713330031949583</v>
      </c>
      <c r="O716" s="22">
        <v>11.619289823900125</v>
      </c>
      <c r="P716" s="22">
        <v>12.600773707205473</v>
      </c>
      <c r="Q716" s="22">
        <v>13.67427020117916</v>
      </c>
      <c r="R716" s="22">
        <v>14.834395476977775</v>
      </c>
      <c r="S716" s="22"/>
      <c r="T716" s="22"/>
    </row>
    <row r="717" spans="1:20" x14ac:dyDescent="0.35">
      <c r="A717" t="s">
        <v>41</v>
      </c>
      <c r="B717" s="17" t="s">
        <v>59</v>
      </c>
      <c r="C717" s="18" t="s">
        <v>60</v>
      </c>
      <c r="D717" s="38" t="s">
        <v>61</v>
      </c>
      <c r="E717" s="39" t="s">
        <v>64</v>
      </c>
      <c r="F717" s="22">
        <v>6.0413886946677557</v>
      </c>
      <c r="G717" s="22">
        <v>6.5494772510427079</v>
      </c>
      <c r="H717" s="22">
        <v>7.1133365631585672</v>
      </c>
      <c r="I717" s="22">
        <v>7.6882417001330801</v>
      </c>
      <c r="J717" s="22">
        <v>8.2841311395724375</v>
      </c>
      <c r="K717" s="22">
        <v>8.7654886620057315</v>
      </c>
      <c r="L717" s="22">
        <v>9.2490138253891878</v>
      </c>
      <c r="M717" s="22">
        <v>9.7368924462758351</v>
      </c>
      <c r="N717" s="22">
        <v>10.323383400446279</v>
      </c>
      <c r="O717" s="22">
        <v>11.055236894703985</v>
      </c>
      <c r="P717" s="22">
        <v>11.865990259899149</v>
      </c>
      <c r="Q717" s="22">
        <v>12.749214308413727</v>
      </c>
      <c r="R717" s="22">
        <v>13.664191827598327</v>
      </c>
      <c r="S717" s="22"/>
      <c r="T717" s="22"/>
    </row>
    <row r="718" spans="1:20" x14ac:dyDescent="0.35">
      <c r="A718" t="s">
        <v>41</v>
      </c>
      <c r="B718" s="17" t="s">
        <v>59</v>
      </c>
      <c r="C718" s="18" t="s">
        <v>60</v>
      </c>
      <c r="D718" s="38" t="s">
        <v>65</v>
      </c>
      <c r="E718" s="38" t="s">
        <v>65</v>
      </c>
      <c r="F718" s="41">
        <v>12.870169011662943</v>
      </c>
      <c r="G718" s="41">
        <v>13.814335931608284</v>
      </c>
      <c r="H718" s="41">
        <v>14.845035687252166</v>
      </c>
      <c r="I718" s="41">
        <v>15.941503081554684</v>
      </c>
      <c r="J718" s="41">
        <v>17.087073515945296</v>
      </c>
      <c r="K718" s="41">
        <v>18.306422112694772</v>
      </c>
      <c r="L718" s="41">
        <v>19.621937708965163</v>
      </c>
      <c r="M718" s="41">
        <v>21.090853226304304</v>
      </c>
      <c r="N718" s="41">
        <v>22.738278324389114</v>
      </c>
      <c r="O718" s="41">
        <v>24.531438954786822</v>
      </c>
      <c r="P718" s="41">
        <v>26.484408389068307</v>
      </c>
      <c r="Q718" s="41">
        <v>28.566371029554279</v>
      </c>
      <c r="R718" s="41">
        <v>30.769149028063865</v>
      </c>
      <c r="S718" s="22"/>
      <c r="T718" s="22"/>
    </row>
    <row r="719" spans="1:20" x14ac:dyDescent="0.35">
      <c r="A719" t="s">
        <v>41</v>
      </c>
      <c r="B719" s="17" t="s">
        <v>59</v>
      </c>
      <c r="C719" s="18" t="s">
        <v>60</v>
      </c>
      <c r="D719" s="38" t="s">
        <v>66</v>
      </c>
      <c r="E719" s="38" t="s">
        <v>66</v>
      </c>
      <c r="F719" s="41">
        <v>8.388777029682533</v>
      </c>
      <c r="G719" s="41">
        <v>8.9218041639629693</v>
      </c>
      <c r="H719" s="41">
        <v>9.4980467638639112</v>
      </c>
      <c r="I719" s="41">
        <v>10.124963358914155</v>
      </c>
      <c r="J719" s="41">
        <v>10.808567433342143</v>
      </c>
      <c r="K719" s="41">
        <v>11.555568434860916</v>
      </c>
      <c r="L719" s="41">
        <v>12.37180460569668</v>
      </c>
      <c r="M719" s="41">
        <v>13.254327032080399</v>
      </c>
      <c r="N719" s="41">
        <v>14.199581845430728</v>
      </c>
      <c r="O719" s="41">
        <v>15.205724063126627</v>
      </c>
      <c r="P719" s="41">
        <v>16.270559644810945</v>
      </c>
      <c r="Q719" s="41">
        <v>17.401247801221903</v>
      </c>
      <c r="R719" s="41">
        <v>18.593631743860421</v>
      </c>
      <c r="S719" s="22"/>
      <c r="T719" s="22"/>
    </row>
    <row r="720" spans="1:20" x14ac:dyDescent="0.35">
      <c r="A720" t="s">
        <v>41</v>
      </c>
      <c r="B720" s="17" t="s">
        <v>59</v>
      </c>
      <c r="C720" s="18" t="s">
        <v>60</v>
      </c>
      <c r="D720" s="38" t="s">
        <v>67</v>
      </c>
      <c r="E720" s="38" t="s">
        <v>67</v>
      </c>
      <c r="F720" s="41">
        <v>5.197128071451556</v>
      </c>
      <c r="G720" s="41">
        <v>5.5105147500829208</v>
      </c>
      <c r="H720" s="41">
        <v>5.8525398508704001</v>
      </c>
      <c r="I720" s="41">
        <v>6.218235007756534</v>
      </c>
      <c r="J720" s="41">
        <v>6.5964051247602775</v>
      </c>
      <c r="K720" s="41">
        <v>6.9940613043969453</v>
      </c>
      <c r="L720" s="41">
        <v>7.4163747694213713</v>
      </c>
      <c r="M720" s="41">
        <v>7.8748718098156196</v>
      </c>
      <c r="N720" s="41">
        <v>8.373692208346645</v>
      </c>
      <c r="O720" s="41">
        <v>8.9140369194630242</v>
      </c>
      <c r="P720" s="41">
        <v>9.4857360583033241</v>
      </c>
      <c r="Q720" s="41">
        <v>10.079098611378654</v>
      </c>
      <c r="R720" s="41">
        <v>10.701519491001822</v>
      </c>
      <c r="S720" s="22"/>
      <c r="T720" s="22"/>
    </row>
    <row r="721" spans="1:20" x14ac:dyDescent="0.35">
      <c r="A721" t="s">
        <v>41</v>
      </c>
      <c r="B721" s="17" t="s">
        <v>59</v>
      </c>
      <c r="C721" s="18" t="s">
        <v>60</v>
      </c>
      <c r="D721" s="38" t="s">
        <v>68</v>
      </c>
      <c r="E721" s="38" t="s">
        <v>68</v>
      </c>
      <c r="F721" s="41">
        <v>9.0615634752046521</v>
      </c>
      <c r="G721" s="41">
        <v>9.7926078343269118</v>
      </c>
      <c r="H721" s="41">
        <v>10.598950430080091</v>
      </c>
      <c r="I721" s="41">
        <v>11.489353779006953</v>
      </c>
      <c r="J721" s="41">
        <v>12.47753740466703</v>
      </c>
      <c r="K721" s="41">
        <v>13.583986787326731</v>
      </c>
      <c r="L721" s="41">
        <v>14.820246870989292</v>
      </c>
      <c r="M721" s="41">
        <v>16.198657790047228</v>
      </c>
      <c r="N721" s="41">
        <v>17.710672378564261</v>
      </c>
      <c r="O721" s="41">
        <v>19.352014268699715</v>
      </c>
      <c r="P721" s="41">
        <v>21.106763983689291</v>
      </c>
      <c r="Q721" s="41">
        <v>22.971377040960416</v>
      </c>
      <c r="R721" s="41">
        <v>24.96469301571495</v>
      </c>
      <c r="S721" s="22"/>
      <c r="T721" s="22"/>
    </row>
    <row r="722" spans="1:20" x14ac:dyDescent="0.35">
      <c r="A722" t="s">
        <v>41</v>
      </c>
      <c r="B722" s="17" t="s">
        <v>59</v>
      </c>
      <c r="C722" s="18" t="s">
        <v>60</v>
      </c>
      <c r="D722" s="38" t="s">
        <v>69</v>
      </c>
      <c r="E722" s="38" t="s">
        <v>69</v>
      </c>
      <c r="F722" s="41">
        <v>10.006593413624534</v>
      </c>
      <c r="G722" s="41">
        <v>10.546130851872611</v>
      </c>
      <c r="H722" s="41">
        <v>11.133402100040069</v>
      </c>
      <c r="I722" s="41">
        <v>11.758020305454542</v>
      </c>
      <c r="J722" s="41">
        <v>12.398062644127751</v>
      </c>
      <c r="K722" s="41">
        <v>13.066342925136707</v>
      </c>
      <c r="L722" s="41">
        <v>13.771924698418211</v>
      </c>
      <c r="M722" s="41">
        <v>14.535446812263755</v>
      </c>
      <c r="N722" s="41">
        <v>15.363408029121221</v>
      </c>
      <c r="O722" s="41">
        <v>16.256745175576572</v>
      </c>
      <c r="P722" s="41">
        <v>17.195619796976612</v>
      </c>
      <c r="Q722" s="41">
        <v>18.161521124171443</v>
      </c>
      <c r="R722" s="41">
        <v>19.167158082488534</v>
      </c>
      <c r="S722" s="22"/>
      <c r="T722" s="22"/>
    </row>
    <row r="723" spans="1:20" x14ac:dyDescent="0.35">
      <c r="A723" t="s">
        <v>41</v>
      </c>
      <c r="B723" s="17" t="s">
        <v>59</v>
      </c>
      <c r="C723" s="18" t="s">
        <v>70</v>
      </c>
      <c r="D723" s="19" t="s">
        <v>71</v>
      </c>
      <c r="E723" s="19" t="s">
        <v>71</v>
      </c>
      <c r="F723" s="22">
        <v>1.7628639515282265</v>
      </c>
      <c r="G723" s="22">
        <v>1.9610510459462787</v>
      </c>
      <c r="H723" s="22">
        <v>2.1849856486573564</v>
      </c>
      <c r="I723" s="22">
        <v>2.4354030411266039</v>
      </c>
      <c r="J723" s="22">
        <v>2.7104567359588665</v>
      </c>
      <c r="K723" s="22">
        <v>3.015131486860029</v>
      </c>
      <c r="L723" s="22">
        <v>3.3543491953429543</v>
      </c>
      <c r="M723" s="22">
        <v>3.7365626940554226</v>
      </c>
      <c r="N723" s="22">
        <v>4.1680112387423511</v>
      </c>
      <c r="O723" s="22">
        <v>4.6542190815908526</v>
      </c>
      <c r="P723" s="22">
        <v>5.1953097359092117</v>
      </c>
      <c r="Q723" s="22">
        <v>5.7910898214855386</v>
      </c>
      <c r="R723" s="22">
        <v>6.450561851790277</v>
      </c>
      <c r="S723" s="22"/>
      <c r="T723" s="22"/>
    </row>
    <row r="724" spans="1:20" x14ac:dyDescent="0.35">
      <c r="A724" t="s">
        <v>41</v>
      </c>
      <c r="B724" s="17" t="s">
        <v>59</v>
      </c>
      <c r="C724" s="18" t="s">
        <v>70</v>
      </c>
      <c r="D724" s="19" t="s">
        <v>72</v>
      </c>
      <c r="E724" s="19" t="s">
        <v>72</v>
      </c>
      <c r="F724" s="22">
        <v>1.2771902034123481</v>
      </c>
      <c r="G724" s="22">
        <v>1.4310896064011362</v>
      </c>
      <c r="H724" s="22">
        <v>1.6037960037928862</v>
      </c>
      <c r="I724" s="22">
        <v>1.8017310281494416</v>
      </c>
      <c r="J724" s="22">
        <v>2.0276699246104499</v>
      </c>
      <c r="K724" s="22">
        <v>2.2844795793327446</v>
      </c>
      <c r="L724" s="22">
        <v>2.5742750459086201</v>
      </c>
      <c r="M724" s="22">
        <v>2.8986868944777964</v>
      </c>
      <c r="N724" s="22">
        <v>3.2611561777253963</v>
      </c>
      <c r="O724" s="22">
        <v>3.6732458619474957</v>
      </c>
      <c r="P724" s="22">
        <v>4.1425915027273064</v>
      </c>
      <c r="Q724" s="22">
        <v>4.6723780736836122</v>
      </c>
      <c r="R724" s="22">
        <v>5.2660854860704243</v>
      </c>
      <c r="S724" s="22"/>
      <c r="T724" s="22"/>
    </row>
    <row r="725" spans="1:20" x14ac:dyDescent="0.35">
      <c r="A725" t="s">
        <v>41</v>
      </c>
      <c r="B725" s="17" t="s">
        <v>59</v>
      </c>
      <c r="C725" s="18" t="s">
        <v>70</v>
      </c>
      <c r="D725" s="19" t="s">
        <v>73</v>
      </c>
      <c r="E725" s="19" t="s">
        <v>73</v>
      </c>
      <c r="F725" s="22">
        <v>1.273984358345627</v>
      </c>
      <c r="G725" s="22">
        <v>1.3811855848662618</v>
      </c>
      <c r="H725" s="22">
        <v>1.4921904356408555</v>
      </c>
      <c r="I725" s="22">
        <v>1.6095029699129801</v>
      </c>
      <c r="J725" s="22">
        <v>1.7380027925232426</v>
      </c>
      <c r="K725" s="22">
        <v>1.8826936353355503</v>
      </c>
      <c r="L725" s="22">
        <v>2.0476085494398943</v>
      </c>
      <c r="M725" s="22">
        <v>2.231443482183384</v>
      </c>
      <c r="N725" s="22">
        <v>2.4301991079720313</v>
      </c>
      <c r="O725" s="22">
        <v>2.6442171145046252</v>
      </c>
      <c r="P725" s="22">
        <v>2.8768354000697784</v>
      </c>
      <c r="Q725" s="22">
        <v>3.1319967499035695</v>
      </c>
      <c r="R725" s="22">
        <v>3.4086844266180014</v>
      </c>
      <c r="S725" s="22"/>
      <c r="T725" s="22"/>
    </row>
    <row r="726" spans="1:20" x14ac:dyDescent="0.35">
      <c r="A726" t="s">
        <v>41</v>
      </c>
      <c r="B726" s="17" t="s">
        <v>59</v>
      </c>
      <c r="C726" s="18" t="s">
        <v>70</v>
      </c>
      <c r="D726" s="19" t="s">
        <v>74</v>
      </c>
      <c r="E726" s="19" t="s">
        <v>74</v>
      </c>
      <c r="F726" s="22">
        <v>1.4982657951209621</v>
      </c>
      <c r="G726" s="22">
        <v>1.6334244856603588</v>
      </c>
      <c r="H726" s="22">
        <v>1.7824870602898533</v>
      </c>
      <c r="I726" s="22">
        <v>1.9476779338194714</v>
      </c>
      <c r="J726" s="22">
        <v>2.1311224717844519</v>
      </c>
      <c r="K726" s="22">
        <v>2.3352446160006481</v>
      </c>
      <c r="L726" s="22">
        <v>2.5624763569210076</v>
      </c>
      <c r="M726" s="22">
        <v>2.8136065890057802</v>
      </c>
      <c r="N726" s="22">
        <v>3.0893014302263886</v>
      </c>
      <c r="O726" s="22">
        <v>3.3905909756131187</v>
      </c>
      <c r="P726" s="22">
        <v>3.718454966032311</v>
      </c>
      <c r="Q726" s="22">
        <v>4.0760307795157154</v>
      </c>
      <c r="R726" s="22">
        <v>4.4640382663540397</v>
      </c>
      <c r="S726" s="22"/>
      <c r="T726" s="22"/>
    </row>
    <row r="727" spans="1:20" x14ac:dyDescent="0.35">
      <c r="A727" t="s">
        <v>41</v>
      </c>
      <c r="B727" s="17" t="s">
        <v>59</v>
      </c>
      <c r="C727" s="18" t="s">
        <v>70</v>
      </c>
      <c r="D727" s="19" t="s">
        <v>75</v>
      </c>
      <c r="E727" s="19" t="s">
        <v>75</v>
      </c>
      <c r="F727" s="22">
        <v>1.1666973480771965</v>
      </c>
      <c r="G727" s="22">
        <v>1.287632699548398</v>
      </c>
      <c r="H727" s="22">
        <v>1.4233799566489329</v>
      </c>
      <c r="I727" s="22">
        <v>1.5740319693965314</v>
      </c>
      <c r="J727" s="22">
        <v>1.7380027925232426</v>
      </c>
      <c r="K727" s="22">
        <v>1.9181293080585933</v>
      </c>
      <c r="L727" s="22">
        <v>2.1171120074654657</v>
      </c>
      <c r="M727" s="22">
        <v>2.3397865313869266</v>
      </c>
      <c r="N727" s="22">
        <v>2.5894405337722817</v>
      </c>
      <c r="O727" s="22">
        <v>2.8688023836457797</v>
      </c>
      <c r="P727" s="22">
        <v>3.1771724781919004</v>
      </c>
      <c r="Q727" s="22">
        <v>3.5136646296071974</v>
      </c>
      <c r="R727" s="22">
        <v>3.8829852153445406</v>
      </c>
      <c r="S727" s="22"/>
      <c r="T727" s="22"/>
    </row>
    <row r="728" spans="1:20" x14ac:dyDescent="0.35">
      <c r="A728" t="s">
        <v>41</v>
      </c>
      <c r="B728" s="17" t="s">
        <v>59</v>
      </c>
      <c r="C728" s="18" t="s">
        <v>76</v>
      </c>
      <c r="D728" s="19" t="s">
        <v>77</v>
      </c>
      <c r="E728" s="19" t="s">
        <v>77</v>
      </c>
      <c r="F728" s="22">
        <v>1.4762004193198477</v>
      </c>
      <c r="G728" s="22">
        <v>1.5951427449916025</v>
      </c>
      <c r="H728" s="22">
        <v>1.7263272165003374</v>
      </c>
      <c r="I728" s="22">
        <v>1.8711775053943438</v>
      </c>
      <c r="J728" s="22">
        <v>2.0319240480456418</v>
      </c>
      <c r="K728" s="22">
        <v>2.2118982476460816</v>
      </c>
      <c r="L728" s="22">
        <v>2.4129744502762334</v>
      </c>
      <c r="M728" s="22">
        <v>2.6371557605825231</v>
      </c>
      <c r="N728" s="22">
        <v>2.8830440515443865</v>
      </c>
      <c r="O728" s="22">
        <v>3.1499369269305246</v>
      </c>
      <c r="P728" s="22">
        <v>3.4352370802296028</v>
      </c>
      <c r="Q728" s="22">
        <v>3.738362254092837</v>
      </c>
      <c r="R728" s="22">
        <v>4.0623731762475925</v>
      </c>
      <c r="S728" s="22"/>
      <c r="T728" s="22"/>
    </row>
    <row r="729" spans="1:20" x14ac:dyDescent="0.35">
      <c r="A729" t="s">
        <v>41</v>
      </c>
      <c r="B729" s="17" t="s">
        <v>59</v>
      </c>
      <c r="C729" s="18" t="s">
        <v>76</v>
      </c>
      <c r="D729" s="19" t="s">
        <v>78</v>
      </c>
      <c r="E729" s="19" t="s">
        <v>78</v>
      </c>
      <c r="F729" s="22">
        <v>1.3079695157980438</v>
      </c>
      <c r="G729" s="22">
        <v>1.4027415423615948</v>
      </c>
      <c r="H729" s="22">
        <v>1.5071859834715573</v>
      </c>
      <c r="I729" s="22">
        <v>1.6189046872832336</v>
      </c>
      <c r="J729" s="22">
        <v>1.73674589241739</v>
      </c>
      <c r="K729" s="22">
        <v>1.8585335189614729</v>
      </c>
      <c r="L729" s="22">
        <v>1.9894808962403574</v>
      </c>
      <c r="M729" s="22">
        <v>2.1336334426635273</v>
      </c>
      <c r="N729" s="22">
        <v>2.2953430144488514</v>
      </c>
      <c r="O729" s="22">
        <v>2.4754295825530677</v>
      </c>
      <c r="P729" s="22">
        <v>2.6704704117250952</v>
      </c>
      <c r="Q729" s="22">
        <v>2.8773180171060204</v>
      </c>
      <c r="R729" s="22">
        <v>3.0964315730214964</v>
      </c>
      <c r="S729" s="14"/>
      <c r="T729" s="14"/>
    </row>
    <row r="730" spans="1:20" x14ac:dyDescent="0.35">
      <c r="A730" t="s">
        <v>41</v>
      </c>
      <c r="B730" s="17" t="s">
        <v>59</v>
      </c>
      <c r="C730" s="18" t="s">
        <v>76</v>
      </c>
      <c r="D730" s="19" t="s">
        <v>79</v>
      </c>
      <c r="E730" s="19" t="s">
        <v>79</v>
      </c>
      <c r="F730" s="22">
        <v>0.82808054474221093</v>
      </c>
      <c r="G730" s="22">
        <v>0.91818411688282275</v>
      </c>
      <c r="H730" s="22">
        <v>1.0199282408768333</v>
      </c>
      <c r="I730" s="22">
        <v>1.1326066709056162</v>
      </c>
      <c r="J730" s="22">
        <v>1.2562233134876772</v>
      </c>
      <c r="K730" s="22">
        <v>1.3899819787786465</v>
      </c>
      <c r="L730" s="22">
        <v>1.5384461689003535</v>
      </c>
      <c r="M730" s="22">
        <v>1.7058447344675645</v>
      </c>
      <c r="N730" s="22">
        <v>1.8971441129581446</v>
      </c>
      <c r="O730" s="22">
        <v>2.1149555219706433</v>
      </c>
      <c r="P730" s="22">
        <v>2.3584788777115895</v>
      </c>
      <c r="Q730" s="22">
        <v>2.6268977235356785</v>
      </c>
      <c r="R730" s="22">
        <v>2.9224363267488718</v>
      </c>
      <c r="S730" s="14"/>
      <c r="T730" s="14"/>
    </row>
    <row r="731" spans="1:20" x14ac:dyDescent="0.35">
      <c r="A731" t="s">
        <v>41</v>
      </c>
      <c r="B731" s="17" t="s">
        <v>59</v>
      </c>
      <c r="C731" s="18" t="s">
        <v>76</v>
      </c>
      <c r="D731" s="19" t="s">
        <v>80</v>
      </c>
      <c r="E731" s="19" t="s">
        <v>80</v>
      </c>
      <c r="F731" s="22">
        <v>0.60958241797587787</v>
      </c>
      <c r="G731" s="22">
        <v>0.64629702655197729</v>
      </c>
      <c r="H731" s="22">
        <v>0.68589999652670897</v>
      </c>
      <c r="I731" s="22">
        <v>0.72890139875827653</v>
      </c>
      <c r="J731" s="22">
        <v>0.77570073455796473</v>
      </c>
      <c r="K731" s="22">
        <v>0.8267422632959307</v>
      </c>
      <c r="L731" s="22">
        <v>0.88240215002221545</v>
      </c>
      <c r="M731" s="22">
        <v>0.94242488307390393</v>
      </c>
      <c r="N731" s="22">
        <v>1.0065147736234745</v>
      </c>
      <c r="O731" s="22">
        <v>1.0745005991518468</v>
      </c>
      <c r="P731" s="22">
        <v>1.1461882798022553</v>
      </c>
      <c r="Q731" s="22">
        <v>1.2220447329634587</v>
      </c>
      <c r="R731" s="22">
        <v>1.3017361111010286</v>
      </c>
      <c r="S731" s="14"/>
      <c r="T731" s="14"/>
    </row>
    <row r="732" spans="1:20" x14ac:dyDescent="0.35">
      <c r="A732" t="s">
        <v>41</v>
      </c>
      <c r="B732" s="17" t="s">
        <v>59</v>
      </c>
      <c r="C732" s="18" t="s">
        <v>76</v>
      </c>
      <c r="D732" s="19" t="s">
        <v>81</v>
      </c>
      <c r="E732" s="19" t="s">
        <v>81</v>
      </c>
      <c r="F732" s="22">
        <v>0.7837560933564679</v>
      </c>
      <c r="G732" s="22">
        <v>0.84595566635662423</v>
      </c>
      <c r="H732" s="22">
        <v>0.91414889676690014</v>
      </c>
      <c r="I732" s="22">
        <v>0.98715363179417781</v>
      </c>
      <c r="J732" s="22">
        <v>1.0640142819157923</v>
      </c>
      <c r="K732" s="22">
        <v>1.146327362725422</v>
      </c>
      <c r="L732" s="22">
        <v>1.2355814195545847</v>
      </c>
      <c r="M732" s="22">
        <v>1.3354916200194995</v>
      </c>
      <c r="N732" s="22">
        <v>1.4478209949451217</v>
      </c>
      <c r="O732" s="22">
        <v>1.5706843581525303</v>
      </c>
      <c r="P732" s="22">
        <v>1.7051520277071444</v>
      </c>
      <c r="Q732" s="22">
        <v>1.8494264407091658</v>
      </c>
      <c r="R732" s="22">
        <v>2.0031338990452743</v>
      </c>
      <c r="S732" s="14"/>
      <c r="T732" s="14"/>
    </row>
    <row r="733" spans="1:20" x14ac:dyDescent="0.35">
      <c r="A733" t="s">
        <v>41</v>
      </c>
      <c r="B733" s="17" t="s">
        <v>47</v>
      </c>
      <c r="C733" s="13" t="s">
        <v>82</v>
      </c>
      <c r="D733" s="13" t="s">
        <v>82</v>
      </c>
      <c r="E733" s="13" t="s">
        <v>82</v>
      </c>
      <c r="F733" s="14">
        <v>28.912372382627773</v>
      </c>
      <c r="G733" s="14">
        <v>31.322616441520228</v>
      </c>
      <c r="H733" s="14">
        <v>33.932771465299069</v>
      </c>
      <c r="I733" s="14">
        <v>36.78419361530726</v>
      </c>
      <c r="J733" s="14">
        <v>39.930749516694441</v>
      </c>
      <c r="K733" s="14">
        <v>43.432191313644694</v>
      </c>
      <c r="L733" s="14">
        <v>47.343393361717936</v>
      </c>
      <c r="M733" s="14">
        <v>51.66424009173226</v>
      </c>
      <c r="N733" s="14">
        <v>56.375116807692102</v>
      </c>
      <c r="O733" s="14">
        <v>61.487745032538058</v>
      </c>
      <c r="P733" s="14">
        <v>67.033171729313608</v>
      </c>
      <c r="Q733" s="14">
        <v>73.075716922978259</v>
      </c>
      <c r="R733" s="14">
        <v>79.615529346642234</v>
      </c>
      <c r="S733" s="14"/>
      <c r="T733" s="14"/>
    </row>
    <row r="734" spans="1:20" x14ac:dyDescent="0.35">
      <c r="A734" t="s">
        <v>41</v>
      </c>
      <c r="B734" s="17" t="s">
        <v>47</v>
      </c>
      <c r="C734" s="13" t="s">
        <v>83</v>
      </c>
      <c r="D734" s="13" t="s">
        <v>83</v>
      </c>
      <c r="E734" s="13" t="s">
        <v>83</v>
      </c>
      <c r="F734" s="14">
        <v>43.15117467909743</v>
      </c>
      <c r="G734" s="14">
        <v>46.167648258831093</v>
      </c>
      <c r="H734" s="14">
        <v>49.487323071523278</v>
      </c>
      <c r="I734" s="14">
        <v>53.02920261286507</v>
      </c>
      <c r="J734" s="14">
        <v>56.753874010410733</v>
      </c>
      <c r="K734" s="14">
        <v>60.588815653550753</v>
      </c>
      <c r="L734" s="14">
        <v>64.703086141685475</v>
      </c>
      <c r="M734" s="14">
        <v>69.226141454202121</v>
      </c>
      <c r="N734" s="14">
        <v>74.296133779818135</v>
      </c>
      <c r="O734" s="14">
        <v>79.935565825716637</v>
      </c>
      <c r="P734" s="14">
        <v>86.029702936051947</v>
      </c>
      <c r="Q734" s="14">
        <v>92.473739320733614</v>
      </c>
      <c r="R734" s="14">
        <v>99.279753845172252</v>
      </c>
      <c r="S734" s="14"/>
      <c r="T734" s="14"/>
    </row>
    <row r="735" spans="1:20" x14ac:dyDescent="0.35">
      <c r="A735" t="s">
        <v>41</v>
      </c>
      <c r="B735" s="17" t="s">
        <v>84</v>
      </c>
      <c r="C735" s="13" t="s">
        <v>85</v>
      </c>
      <c r="D735" s="13" t="s">
        <v>85</v>
      </c>
      <c r="E735" s="13" t="s">
        <v>85</v>
      </c>
      <c r="F735" s="14">
        <v>4.6100186587846004</v>
      </c>
      <c r="G735" s="14">
        <v>4.8774852786505054</v>
      </c>
      <c r="H735" s="14">
        <v>5.1690921013220068</v>
      </c>
      <c r="I735" s="14">
        <v>5.4802892610779832</v>
      </c>
      <c r="J735" s="14">
        <v>5.8010774116263102</v>
      </c>
      <c r="K735" s="14">
        <v>6.1375535572962923</v>
      </c>
      <c r="L735" s="14">
        <v>6.4941472873041475</v>
      </c>
      <c r="M735" s="14">
        <v>6.8808142800506467</v>
      </c>
      <c r="N735" s="14">
        <v>7.3009697799081756</v>
      </c>
      <c r="O735" s="14">
        <v>7.7554363880076407</v>
      </c>
      <c r="P735" s="14">
        <v>8.2351356335095662</v>
      </c>
      <c r="Q735" s="14">
        <v>8.7314814231740812</v>
      </c>
      <c r="R735" s="14">
        <v>9.2507619009012743</v>
      </c>
      <c r="S735" s="14"/>
      <c r="T735" s="14"/>
    </row>
    <row r="736" spans="1:20" x14ac:dyDescent="0.35">
      <c r="A736" t="s">
        <v>41</v>
      </c>
      <c r="B736" s="17" t="s">
        <v>84</v>
      </c>
      <c r="C736" s="13" t="s">
        <v>86</v>
      </c>
      <c r="D736" s="13" t="s">
        <v>86</v>
      </c>
      <c r="E736" s="13" t="s">
        <v>86</v>
      </c>
      <c r="F736" s="14">
        <v>13.476741494838548</v>
      </c>
      <c r="G736" s="14">
        <v>14.260638989477606</v>
      </c>
      <c r="H736" s="14">
        <v>15.105072926618144</v>
      </c>
      <c r="I736" s="14">
        <v>16.020908292322112</v>
      </c>
      <c r="J736" s="14">
        <v>17.01649374077051</v>
      </c>
      <c r="K736" s="14">
        <v>18.101093099494559</v>
      </c>
      <c r="L736" s="14">
        <v>19.282405402819638</v>
      </c>
      <c r="M736" s="14">
        <v>20.554264202409158</v>
      </c>
      <c r="N736" s="14">
        <v>21.909671666088371</v>
      </c>
      <c r="O736" s="14">
        <v>23.344390591370601</v>
      </c>
      <c r="P736" s="14">
        <v>24.853717238004236</v>
      </c>
      <c r="Q736" s="14">
        <v>26.447314589040996</v>
      </c>
      <c r="R736" s="14">
        <v>28.117438355802989</v>
      </c>
      <c r="S736" s="22"/>
      <c r="T736" s="22"/>
    </row>
    <row r="737" spans="1:20" x14ac:dyDescent="0.35">
      <c r="A737" t="s">
        <v>41</v>
      </c>
      <c r="B737" s="17" t="s">
        <v>84</v>
      </c>
      <c r="C737" s="40" t="s">
        <v>87</v>
      </c>
      <c r="D737" s="40" t="s">
        <v>87</v>
      </c>
      <c r="E737" s="40" t="s">
        <v>87</v>
      </c>
      <c r="F737" s="42">
        <v>23.06673922756292</v>
      </c>
      <c r="G737" s="42">
        <v>25.136166222887837</v>
      </c>
      <c r="H737" s="42">
        <v>27.390400724720919</v>
      </c>
      <c r="I737" s="42">
        <v>29.794976871673782</v>
      </c>
      <c r="J737" s="42">
        <v>32.389348881580233</v>
      </c>
      <c r="K737" s="42">
        <v>35.108953938867316</v>
      </c>
      <c r="L737" s="42">
        <v>38.115790976372438</v>
      </c>
      <c r="M737" s="42">
        <v>41.466009521086761</v>
      </c>
      <c r="N737" s="42">
        <v>45.254787385221022</v>
      </c>
      <c r="O737" s="42">
        <v>49.510113619525342</v>
      </c>
      <c r="P737" s="42">
        <v>54.220296005769697</v>
      </c>
      <c r="Q737" s="42">
        <v>59.388994975634134</v>
      </c>
      <c r="R737" s="42">
        <v>64.977364524669511</v>
      </c>
      <c r="S737" s="22"/>
      <c r="T737" s="22"/>
    </row>
    <row r="738" spans="1:20" x14ac:dyDescent="0.35">
      <c r="A738" t="s">
        <v>41</v>
      </c>
      <c r="B738" s="17" t="s">
        <v>84</v>
      </c>
      <c r="C738" s="13" t="s">
        <v>88</v>
      </c>
      <c r="D738" s="13" t="s">
        <v>88</v>
      </c>
      <c r="E738" s="13" t="s">
        <v>88</v>
      </c>
      <c r="F738" s="14">
        <v>15.828847065683702</v>
      </c>
      <c r="G738" s="14">
        <v>17.139798059409134</v>
      </c>
      <c r="H738" s="14">
        <v>18.589621384620902</v>
      </c>
      <c r="I738" s="14">
        <v>20.169837043632011</v>
      </c>
      <c r="J738" s="14">
        <v>21.85072491712577</v>
      </c>
      <c r="K738" s="14">
        <v>23.660056073885912</v>
      </c>
      <c r="L738" s="14">
        <v>25.621524908606066</v>
      </c>
      <c r="M738" s="14">
        <v>27.782512421042753</v>
      </c>
      <c r="N738" s="14">
        <v>30.168021819468919</v>
      </c>
      <c r="O738" s="14">
        <v>32.794125405622275</v>
      </c>
      <c r="P738" s="14">
        <v>35.635903798326162</v>
      </c>
      <c r="Q738" s="14">
        <v>38.667576171491092</v>
      </c>
      <c r="R738" s="14">
        <v>41.926248434708612</v>
      </c>
      <c r="S738" s="22"/>
      <c r="T738" s="22"/>
    </row>
    <row r="739" spans="1:20" x14ac:dyDescent="0.35">
      <c r="A739" t="s">
        <v>41</v>
      </c>
      <c r="B739" s="17" t="s">
        <v>84</v>
      </c>
      <c r="C739" s="13" t="s">
        <v>89</v>
      </c>
      <c r="D739" s="13" t="s">
        <v>89</v>
      </c>
      <c r="E739" s="13" t="s">
        <v>89</v>
      </c>
      <c r="F739" s="14">
        <v>4.9093625343230087</v>
      </c>
      <c r="G739" s="14">
        <v>5.2763262638743758</v>
      </c>
      <c r="H739" s="14">
        <v>5.6812723535509191</v>
      </c>
      <c r="I739" s="14">
        <v>6.1154033809409549</v>
      </c>
      <c r="J739" s="14">
        <v>6.5745543998431524</v>
      </c>
      <c r="K739" s="14">
        <v>7.0506468226874892</v>
      </c>
      <c r="L739" s="14">
        <v>7.563565409059934</v>
      </c>
      <c r="M739" s="14">
        <v>8.1289247916293625</v>
      </c>
      <c r="N739" s="14">
        <v>8.7636399234578626</v>
      </c>
      <c r="O739" s="14">
        <v>9.4712839973057417</v>
      </c>
      <c r="P739" s="14">
        <v>10.23922582194238</v>
      </c>
      <c r="Q739" s="14">
        <v>11.055780889013837</v>
      </c>
      <c r="R739" s="14">
        <v>11.923022658971368</v>
      </c>
      <c r="S739" s="22"/>
      <c r="T739" s="22"/>
    </row>
    <row r="740" spans="1:20" x14ac:dyDescent="0.35">
      <c r="A740" t="s">
        <v>41</v>
      </c>
      <c r="B740" s="17" t="s">
        <v>84</v>
      </c>
      <c r="C740" s="13" t="s">
        <v>90</v>
      </c>
      <c r="D740" s="13" t="s">
        <v>90</v>
      </c>
      <c r="E740" s="13" t="s">
        <v>90</v>
      </c>
      <c r="F740" s="14">
        <v>10.171838080532428</v>
      </c>
      <c r="G740" s="14">
        <v>10.799849886051868</v>
      </c>
      <c r="H740" s="14">
        <v>11.484635045989457</v>
      </c>
      <c r="I740" s="14">
        <v>12.2319813785255</v>
      </c>
      <c r="J740" s="14">
        <v>13.052424176159199</v>
      </c>
      <c r="K740" s="14">
        <v>13.962703474963886</v>
      </c>
      <c r="L740" s="14">
        <v>14.969045519241194</v>
      </c>
      <c r="M740" s="14">
        <v>16.077856329715711</v>
      </c>
      <c r="N740" s="14">
        <v>17.274160013365883</v>
      </c>
      <c r="O740" s="14">
        <v>18.547960856423092</v>
      </c>
      <c r="P740" s="14">
        <v>19.878596167813498</v>
      </c>
      <c r="Q740" s="14">
        <v>21.258308195357724</v>
      </c>
      <c r="R740" s="14">
        <v>22.700447316760741</v>
      </c>
      <c r="S740" s="22"/>
      <c r="T740" s="22"/>
    </row>
    <row r="741" spans="1:20" x14ac:dyDescent="0.35">
      <c r="A741" t="s">
        <v>41</v>
      </c>
      <c r="B741" s="17" t="s">
        <v>91</v>
      </c>
      <c r="C741" s="13" t="s">
        <v>92</v>
      </c>
      <c r="D741" s="13" t="s">
        <v>92</v>
      </c>
      <c r="E741" s="13" t="s">
        <v>92</v>
      </c>
      <c r="F741" s="14">
        <v>31.24541597094332</v>
      </c>
      <c r="G741" s="14">
        <v>33.906695043546641</v>
      </c>
      <c r="H741" s="14">
        <v>36.854582938296993</v>
      </c>
      <c r="I741" s="14">
        <v>40.07413724387267</v>
      </c>
      <c r="J741" s="14">
        <v>43.508080587197327</v>
      </c>
      <c r="K741" s="14">
        <v>47.21310793420956</v>
      </c>
      <c r="L741" s="14">
        <v>51.238269666226067</v>
      </c>
      <c r="M741" s="14">
        <v>55.680407877652968</v>
      </c>
      <c r="N741" s="14">
        <v>60.592352832450963</v>
      </c>
      <c r="O741" s="14">
        <v>66.009448536459331</v>
      </c>
      <c r="P741" s="14">
        <v>71.88482797707033</v>
      </c>
      <c r="Q741" s="14">
        <v>78.169473335654288</v>
      </c>
      <c r="R741" s="14">
        <v>84.941066353024013</v>
      </c>
      <c r="S741" s="22"/>
      <c r="T741" s="22"/>
    </row>
    <row r="742" spans="1:20" x14ac:dyDescent="0.35">
      <c r="A742" t="s">
        <v>41</v>
      </c>
      <c r="B742" s="17" t="s">
        <v>91</v>
      </c>
      <c r="C742" s="13" t="s">
        <v>93</v>
      </c>
      <c r="D742" s="13" t="s">
        <v>93</v>
      </c>
      <c r="E742" s="13" t="s">
        <v>93</v>
      </c>
      <c r="F742" s="14">
        <v>40.818131090781883</v>
      </c>
      <c r="G742" s="14">
        <v>43.583569656804677</v>
      </c>
      <c r="H742" s="14">
        <v>46.565511598525354</v>
      </c>
      <c r="I742" s="14">
        <v>49.739258984299667</v>
      </c>
      <c r="J742" s="14">
        <v>53.176542939907847</v>
      </c>
      <c r="K742" s="14">
        <v>56.807899032985887</v>
      </c>
      <c r="L742" s="14">
        <v>60.808209837177351</v>
      </c>
      <c r="M742" s="14">
        <v>65.209973668281421</v>
      </c>
      <c r="N742" s="14">
        <v>70.078897755059273</v>
      </c>
      <c r="O742" s="14">
        <v>75.413862321795364</v>
      </c>
      <c r="P742" s="14">
        <v>81.178046688295211</v>
      </c>
      <c r="Q742" s="14">
        <v>87.379982908057571</v>
      </c>
      <c r="R742" s="14">
        <v>93.954216838790472</v>
      </c>
      <c r="S742" s="22"/>
      <c r="T742" s="22"/>
    </row>
    <row r="743" spans="1:20" x14ac:dyDescent="0.35">
      <c r="A743" t="s">
        <v>41</v>
      </c>
      <c r="B743" s="17" t="s">
        <v>94</v>
      </c>
      <c r="C743" s="13" t="s">
        <v>95</v>
      </c>
      <c r="D743" s="13" t="s">
        <v>95</v>
      </c>
      <c r="E743" s="13" t="s">
        <v>95</v>
      </c>
      <c r="F743" s="14">
        <v>7.5467926653844311</v>
      </c>
      <c r="G743" s="14">
        <v>8.2446395864605275</v>
      </c>
      <c r="H743" s="14">
        <v>9.008527426657265</v>
      </c>
      <c r="I743" s="14">
        <v>9.8678283443487462</v>
      </c>
      <c r="J743" s="14">
        <v>10.82867783503578</v>
      </c>
      <c r="K743" s="14">
        <v>11.896640054854817</v>
      </c>
      <c r="L743" s="14">
        <v>13.072325007841908</v>
      </c>
      <c r="M743" s="14">
        <v>14.353302789486923</v>
      </c>
      <c r="N743" s="14">
        <v>15.745816376968726</v>
      </c>
      <c r="O743" s="14">
        <v>17.294165169488267</v>
      </c>
      <c r="P743" s="14">
        <v>19.01917176059532</v>
      </c>
      <c r="Q743" s="14">
        <v>20.918400273770953</v>
      </c>
      <c r="R743" s="14">
        <v>22.9901255699655</v>
      </c>
      <c r="S743" s="22"/>
      <c r="T743" s="22"/>
    </row>
    <row r="744" spans="1:20" x14ac:dyDescent="0.35">
      <c r="A744" t="s">
        <v>41</v>
      </c>
      <c r="B744" s="17" t="s">
        <v>94</v>
      </c>
      <c r="C744" s="40" t="s">
        <v>96</v>
      </c>
      <c r="D744" s="40" t="s">
        <v>96</v>
      </c>
      <c r="E744" s="40" t="s">
        <v>96</v>
      </c>
      <c r="F744" s="42">
        <v>10.711937014558714</v>
      </c>
      <c r="G744" s="42">
        <v>11.783594636424525</v>
      </c>
      <c r="H744" s="42">
        <v>13.045143275313791</v>
      </c>
      <c r="I744" s="42">
        <v>14.387915153354825</v>
      </c>
      <c r="J744" s="42">
        <v>15.759593634918147</v>
      </c>
      <c r="K744" s="42">
        <v>17.02723039028038</v>
      </c>
      <c r="L744" s="42">
        <v>18.336762489538046</v>
      </c>
      <c r="M744" s="42">
        <v>19.802559671105712</v>
      </c>
      <c r="N744" s="42">
        <v>21.606524701578877</v>
      </c>
      <c r="O744" s="42">
        <v>23.747107763569943</v>
      </c>
      <c r="P744" s="42">
        <v>26.13853093088828</v>
      </c>
      <c r="Q744" s="42">
        <v>28.726955570127728</v>
      </c>
      <c r="R744" s="42">
        <v>31.500897955085662</v>
      </c>
      <c r="S744" s="22"/>
      <c r="T744" s="22"/>
    </row>
    <row r="745" spans="1:20" x14ac:dyDescent="0.35">
      <c r="A745" t="s">
        <v>41</v>
      </c>
      <c r="B745" s="17" t="s">
        <v>94</v>
      </c>
      <c r="C745" s="13" t="s">
        <v>97</v>
      </c>
      <c r="D745" s="13" t="s">
        <v>97</v>
      </c>
      <c r="E745" s="13" t="s">
        <v>97</v>
      </c>
      <c r="F745" s="14">
        <v>6.4025474754227911</v>
      </c>
      <c r="G745" s="14">
        <v>6.8228644374244043</v>
      </c>
      <c r="H745" s="14">
        <v>7.2779222958756584</v>
      </c>
      <c r="I745" s="14">
        <v>7.7736410893048857</v>
      </c>
      <c r="J745" s="14">
        <v>8.3148776233310446</v>
      </c>
      <c r="K745" s="14">
        <v>8.9070617359149828</v>
      </c>
      <c r="L745" s="14">
        <v>9.5549937616817431</v>
      </c>
      <c r="M745" s="14">
        <v>10.256724462278044</v>
      </c>
      <c r="N745" s="14">
        <v>11.009820198383146</v>
      </c>
      <c r="O745" s="14">
        <v>11.813152401784096</v>
      </c>
      <c r="P745" s="14">
        <v>12.665311747922912</v>
      </c>
      <c r="Q745" s="14">
        <v>13.572157889490759</v>
      </c>
      <c r="R745" s="14">
        <v>14.530770090730174</v>
      </c>
      <c r="S745" s="14"/>
      <c r="T745" s="14"/>
    </row>
    <row r="746" spans="1:20" x14ac:dyDescent="0.35">
      <c r="A746" t="s">
        <v>41</v>
      </c>
      <c r="B746" s="17" t="s">
        <v>94</v>
      </c>
      <c r="C746" s="13" t="s">
        <v>98</v>
      </c>
      <c r="D746" s="13" t="s">
        <v>98</v>
      </c>
      <c r="E746" s="13" t="s">
        <v>98</v>
      </c>
      <c r="F746" s="14">
        <v>17.547409757988021</v>
      </c>
      <c r="G746" s="14">
        <v>18.857193115567757</v>
      </c>
      <c r="H746" s="14">
        <v>20.1935151776201</v>
      </c>
      <c r="I746" s="14">
        <v>21.589165615592151</v>
      </c>
      <c r="J746" s="14">
        <v>23.107625022978137</v>
      </c>
      <c r="K746" s="14">
        <v>24.811750864706909</v>
      </c>
      <c r="L746" s="14">
        <v>26.749333193694731</v>
      </c>
      <c r="M746" s="14">
        <v>28.896674309945418</v>
      </c>
      <c r="N746" s="14">
        <v>31.195883050454267</v>
      </c>
      <c r="O746" s="14">
        <v>33.6466990672102</v>
      </c>
      <c r="P746" s="14">
        <v>36.286907919971114</v>
      </c>
      <c r="Q746" s="14">
        <v>39.160514424651772</v>
      </c>
      <c r="R746" s="14">
        <v>42.247866173344285</v>
      </c>
      <c r="S746" s="14"/>
      <c r="T746" s="14"/>
    </row>
    <row r="747" spans="1:20" x14ac:dyDescent="0.35">
      <c r="A747" t="s">
        <v>41</v>
      </c>
      <c r="B747" s="17" t="s">
        <v>94</v>
      </c>
      <c r="C747" s="13" t="s">
        <v>48</v>
      </c>
      <c r="D747" s="13" t="s">
        <v>48</v>
      </c>
      <c r="E747" s="13" t="s">
        <v>48</v>
      </c>
      <c r="F747" s="14">
        <v>12.177914639055933</v>
      </c>
      <c r="G747" s="14">
        <v>13.188904290283038</v>
      </c>
      <c r="H747" s="14">
        <v>14.307139263302666</v>
      </c>
      <c r="I747" s="14">
        <v>15.526153052991859</v>
      </c>
      <c r="J747" s="14">
        <v>16.8231244937163</v>
      </c>
      <c r="K747" s="14">
        <v>18.219478977836513</v>
      </c>
      <c r="L747" s="14">
        <v>19.733518406995035</v>
      </c>
      <c r="M747" s="14">
        <v>21.401801433494999</v>
      </c>
      <c r="N747" s="14">
        <v>23.243675175078931</v>
      </c>
      <c r="O747" s="14">
        <v>25.27161995748617</v>
      </c>
      <c r="P747" s="14">
        <v>27.466536574497589</v>
      </c>
      <c r="Q747" s="14">
        <v>29.808648126199081</v>
      </c>
      <c r="R747" s="14">
        <v>32.32664255931445</v>
      </c>
      <c r="S747" s="14"/>
      <c r="T747" s="14"/>
    </row>
    <row r="748" spans="1:20" x14ac:dyDescent="0.35">
      <c r="A748" t="s">
        <v>41</v>
      </c>
      <c r="B748" s="17" t="s">
        <v>94</v>
      </c>
      <c r="C748" s="13" t="s">
        <v>99</v>
      </c>
      <c r="D748" s="13" t="s">
        <v>99</v>
      </c>
      <c r="E748" s="13" t="s">
        <v>99</v>
      </c>
      <c r="F748" s="14">
        <v>8.5566463942742388</v>
      </c>
      <c r="G748" s="14">
        <v>8.9712919901446053</v>
      </c>
      <c r="H748" s="14">
        <v>9.4209830051106014</v>
      </c>
      <c r="I748" s="14">
        <v>9.9089166713699015</v>
      </c>
      <c r="J748" s="14">
        <v>10.441939340927359</v>
      </c>
      <c r="K748" s="14">
        <v>11.031479657133813</v>
      </c>
      <c r="L748" s="14">
        <v>11.680044885056761</v>
      </c>
      <c r="M748" s="14">
        <v>12.390100795194757</v>
      </c>
      <c r="N748" s="14">
        <v>13.1474526171862</v>
      </c>
      <c r="O748" s="14">
        <v>13.942333023317126</v>
      </c>
      <c r="P748" s="14">
        <v>14.757386351319623</v>
      </c>
      <c r="Q748" s="14">
        <v>15.585652891584672</v>
      </c>
      <c r="R748" s="14">
        <v>16.435966998456582</v>
      </c>
      <c r="S748" s="14"/>
      <c r="T748" s="14"/>
    </row>
    <row r="749" spans="1:20" x14ac:dyDescent="0.35">
      <c r="A749" t="s">
        <v>41</v>
      </c>
      <c r="B749" s="17" t="s">
        <v>94</v>
      </c>
      <c r="C749" s="13" t="s">
        <v>100</v>
      </c>
      <c r="D749" s="13" t="s">
        <v>100</v>
      </c>
      <c r="E749" s="13" t="s">
        <v>100</v>
      </c>
      <c r="F749" s="14">
        <v>9.1202991150410746</v>
      </c>
      <c r="G749" s="14">
        <v>9.6217766440464558</v>
      </c>
      <c r="H749" s="14">
        <v>10.166864092942268</v>
      </c>
      <c r="I749" s="14">
        <v>10.759776301209962</v>
      </c>
      <c r="J749" s="14">
        <v>11.40878557619841</v>
      </c>
      <c r="K749" s="14">
        <v>12.12736528646804</v>
      </c>
      <c r="L749" s="14">
        <v>12.919501758595207</v>
      </c>
      <c r="M749" s="14">
        <v>13.789218084428535</v>
      </c>
      <c r="N749" s="14">
        <v>14.722078467860067</v>
      </c>
      <c r="O749" s="14">
        <v>15.708233475398892</v>
      </c>
      <c r="P749" s="14">
        <v>16.729029380170719</v>
      </c>
      <c r="Q749" s="14">
        <v>17.777127067886887</v>
      </c>
      <c r="R749" s="14">
        <v>18.863013844917813</v>
      </c>
      <c r="S749" s="14"/>
      <c r="T749" s="14"/>
    </row>
    <row r="750" spans="1:20" x14ac:dyDescent="0.35">
      <c r="A750" t="s">
        <v>44</v>
      </c>
      <c r="B750" s="17" t="s">
        <v>54</v>
      </c>
      <c r="C750" s="13" t="s">
        <v>55</v>
      </c>
      <c r="D750" s="13" t="s">
        <v>55</v>
      </c>
      <c r="E750" s="13" t="s">
        <v>55</v>
      </c>
      <c r="F750" s="14">
        <v>11.537101044391127</v>
      </c>
      <c r="G750" s="14">
        <v>12.835645067133886</v>
      </c>
      <c r="H750" s="14">
        <v>14.231862654413208</v>
      </c>
      <c r="I750" s="14">
        <v>15.755027749652317</v>
      </c>
      <c r="J750" s="14">
        <v>17.460439108371325</v>
      </c>
      <c r="K750" s="14">
        <v>19.410046325661597</v>
      </c>
      <c r="L750" s="14">
        <v>21.661660694478925</v>
      </c>
      <c r="M750" s="14">
        <v>24.221801282000982</v>
      </c>
      <c r="N750" s="14">
        <v>27.067324195575203</v>
      </c>
      <c r="O750" s="14">
        <v>30.219946609782699</v>
      </c>
      <c r="P750" s="14">
        <v>33.736937672447169</v>
      </c>
      <c r="Q750" s="14">
        <v>37.687616780151281</v>
      </c>
      <c r="R750" s="14">
        <v>42.087630664117221</v>
      </c>
      <c r="S750" s="14"/>
      <c r="T750" s="14"/>
    </row>
    <row r="751" spans="1:20" x14ac:dyDescent="0.35">
      <c r="A751" t="s">
        <v>44</v>
      </c>
      <c r="B751" s="17" t="s">
        <v>54</v>
      </c>
      <c r="C751" s="13" t="s">
        <v>56</v>
      </c>
      <c r="D751" s="13" t="s">
        <v>56</v>
      </c>
      <c r="E751" s="13" t="s">
        <v>56</v>
      </c>
      <c r="F751" s="14">
        <v>36.7836624042626</v>
      </c>
      <c r="G751" s="14">
        <v>40.041434122431689</v>
      </c>
      <c r="H751" s="14">
        <v>43.658516011073466</v>
      </c>
      <c r="I751" s="14">
        <v>47.620553253288136</v>
      </c>
      <c r="J751" s="14">
        <v>51.862690420904933</v>
      </c>
      <c r="K751" s="14">
        <v>56.455106970259607</v>
      </c>
      <c r="L751" s="14">
        <v>61.459709619262256</v>
      </c>
      <c r="M751" s="14">
        <v>66.996492629873472</v>
      </c>
      <c r="N751" s="14">
        <v>73.133978099626219</v>
      </c>
      <c r="O751" s="14">
        <v>79.920416369919224</v>
      </c>
      <c r="P751" s="14">
        <v>87.305099495858457</v>
      </c>
      <c r="Q751" s="14">
        <v>95.2340517275682</v>
      </c>
      <c r="R751" s="14">
        <v>103.80696180843468</v>
      </c>
      <c r="S751" s="14"/>
      <c r="T751" s="14"/>
    </row>
    <row r="752" spans="1:20" x14ac:dyDescent="0.35">
      <c r="A752" t="s">
        <v>44</v>
      </c>
      <c r="B752" s="17" t="s">
        <v>54</v>
      </c>
      <c r="C752" s="13" t="s">
        <v>57</v>
      </c>
      <c r="D752" s="13" t="s">
        <v>57</v>
      </c>
      <c r="E752" s="13" t="s">
        <v>57</v>
      </c>
      <c r="F752" s="14">
        <v>76.870832369204152</v>
      </c>
      <c r="G752" s="14">
        <v>82.810676766501899</v>
      </c>
      <c r="H752" s="14">
        <v>89.313009004721678</v>
      </c>
      <c r="I752" s="14">
        <v>96.258922589341594</v>
      </c>
      <c r="J752" s="14">
        <v>103.55250520707349</v>
      </c>
      <c r="K752" s="14">
        <v>111.34694966507378</v>
      </c>
      <c r="L752" s="14">
        <v>119.78375899940737</v>
      </c>
      <c r="M752" s="14">
        <v>129.21918051512858</v>
      </c>
      <c r="N752" s="14">
        <v>139.81779683846165</v>
      </c>
      <c r="O752" s="14">
        <v>151.39057987074671</v>
      </c>
      <c r="P752" s="14">
        <v>164.03479038583026</v>
      </c>
      <c r="Q752" s="14">
        <v>177.57101635940245</v>
      </c>
      <c r="R752" s="14">
        <v>191.95790137066248</v>
      </c>
      <c r="S752" s="14"/>
      <c r="T752" s="14"/>
    </row>
    <row r="753" spans="1:20" x14ac:dyDescent="0.35">
      <c r="A753" t="s">
        <v>44</v>
      </c>
      <c r="B753" s="17" t="s">
        <v>59</v>
      </c>
      <c r="C753" s="18" t="s">
        <v>60</v>
      </c>
      <c r="D753" s="38" t="s">
        <v>61</v>
      </c>
      <c r="E753" s="39" t="s">
        <v>62</v>
      </c>
      <c r="F753" s="22">
        <v>4.4652586299826487</v>
      </c>
      <c r="G753" s="22">
        <v>4.9758955872593393</v>
      </c>
      <c r="H753" s="22">
        <v>5.55114771062979</v>
      </c>
      <c r="I753" s="22">
        <v>6.1887400803848944</v>
      </c>
      <c r="J753" s="22">
        <v>6.887187398868031</v>
      </c>
      <c r="K753" s="22">
        <v>7.66101632076131</v>
      </c>
      <c r="L753" s="22">
        <v>8.5256214320747734</v>
      </c>
      <c r="M753" s="22">
        <v>9.5133808004493776</v>
      </c>
      <c r="N753" s="22">
        <v>10.646498240400069</v>
      </c>
      <c r="O753" s="22">
        <v>11.922563629687589</v>
      </c>
      <c r="P753" s="22">
        <v>13.360517275878736</v>
      </c>
      <c r="Q753" s="22">
        <v>14.95853876741945</v>
      </c>
      <c r="R753" s="22">
        <v>16.725258215592369</v>
      </c>
      <c r="S753" s="14"/>
      <c r="T753" s="14"/>
    </row>
    <row r="754" spans="1:20" x14ac:dyDescent="0.35">
      <c r="A754" t="s">
        <v>44</v>
      </c>
      <c r="B754" s="17" t="s">
        <v>59</v>
      </c>
      <c r="C754" s="18" t="s">
        <v>60</v>
      </c>
      <c r="D754" s="38" t="s">
        <v>61</v>
      </c>
      <c r="E754" s="39" t="s">
        <v>63</v>
      </c>
      <c r="F754" s="22">
        <v>9.9756476480381426</v>
      </c>
      <c r="G754" s="22">
        <v>10.802060996683799</v>
      </c>
      <c r="H754" s="22">
        <v>11.714940405199624</v>
      </c>
      <c r="I754" s="22">
        <v>12.724491919423972</v>
      </c>
      <c r="J754" s="22">
        <v>13.846491943273943</v>
      </c>
      <c r="K754" s="22">
        <v>15.104349880407867</v>
      </c>
      <c r="L754" s="22">
        <v>16.511718986338629</v>
      </c>
      <c r="M754" s="22">
        <v>18.083245131887349</v>
      </c>
      <c r="N754" s="22">
        <v>19.810371243472019</v>
      </c>
      <c r="O754" s="22">
        <v>21.689247813509844</v>
      </c>
      <c r="P754" s="22">
        <v>23.702944323580979</v>
      </c>
      <c r="Q754" s="22">
        <v>25.848291744190291</v>
      </c>
      <c r="R754" s="22">
        <v>28.147282145569392</v>
      </c>
      <c r="S754" s="14"/>
      <c r="T754" s="14"/>
    </row>
    <row r="755" spans="1:20" x14ac:dyDescent="0.35">
      <c r="A755" t="s">
        <v>44</v>
      </c>
      <c r="B755" s="17" t="s">
        <v>59</v>
      </c>
      <c r="C755" s="18" t="s">
        <v>60</v>
      </c>
      <c r="D755" s="38" t="s">
        <v>61</v>
      </c>
      <c r="E755" s="39" t="s">
        <v>64</v>
      </c>
      <c r="F755" s="22">
        <v>10.840998945541472</v>
      </c>
      <c r="G755" s="22">
        <v>11.965784730696781</v>
      </c>
      <c r="H755" s="22">
        <v>13.183119751874436</v>
      </c>
      <c r="I755" s="22">
        <v>14.352872005492209</v>
      </c>
      <c r="J755" s="22">
        <v>15.324893426800593</v>
      </c>
      <c r="K755" s="22">
        <v>16.223136785692173</v>
      </c>
      <c r="L755" s="22">
        <v>17.066257063428502</v>
      </c>
      <c r="M755" s="22">
        <v>18.12740619489859</v>
      </c>
      <c r="N755" s="22">
        <v>19.505127117313343</v>
      </c>
      <c r="O755" s="22">
        <v>21.029768110330856</v>
      </c>
      <c r="P755" s="22">
        <v>22.837311315343442</v>
      </c>
      <c r="Q755" s="22">
        <v>24.750696366907654</v>
      </c>
      <c r="R755" s="22">
        <v>26.727487454422736</v>
      </c>
      <c r="S755" s="14"/>
      <c r="T755" s="14"/>
    </row>
    <row r="756" spans="1:20" x14ac:dyDescent="0.35">
      <c r="A756" t="s">
        <v>44</v>
      </c>
      <c r="B756" s="17" t="s">
        <v>59</v>
      </c>
      <c r="C756" s="18" t="s">
        <v>60</v>
      </c>
      <c r="D756" s="38" t="s">
        <v>65</v>
      </c>
      <c r="E756" s="38" t="s">
        <v>65</v>
      </c>
      <c r="F756" s="41">
        <v>23.011254914026328</v>
      </c>
      <c r="G756" s="41">
        <v>24.811333106970689</v>
      </c>
      <c r="H756" s="41">
        <v>26.778217023494228</v>
      </c>
      <c r="I756" s="41">
        <v>28.938958733779373</v>
      </c>
      <c r="J756" s="41">
        <v>31.31780423756765</v>
      </c>
      <c r="K756" s="41">
        <v>33.942155382764511</v>
      </c>
      <c r="L756" s="41">
        <v>36.838141758545909</v>
      </c>
      <c r="M756" s="41">
        <v>40.006916237341464</v>
      </c>
      <c r="N756" s="41">
        <v>43.447598261191587</v>
      </c>
      <c r="O756" s="41">
        <v>47.164221234975088</v>
      </c>
      <c r="P756" s="41">
        <v>51.159695084976818</v>
      </c>
      <c r="Q756" s="41">
        <v>55.466234867096283</v>
      </c>
      <c r="R756" s="41">
        <v>60.081490582127557</v>
      </c>
      <c r="S756" s="14"/>
      <c r="T756" s="14"/>
    </row>
    <row r="757" spans="1:20" x14ac:dyDescent="0.35">
      <c r="A757" t="s">
        <v>44</v>
      </c>
      <c r="B757" s="17" t="s">
        <v>59</v>
      </c>
      <c r="C757" s="18" t="s">
        <v>60</v>
      </c>
      <c r="D757" s="38" t="s">
        <v>66</v>
      </c>
      <c r="E757" s="38" t="s">
        <v>66</v>
      </c>
      <c r="F757" s="41">
        <v>14.517097326914543</v>
      </c>
      <c r="G757" s="41">
        <v>15.619880138648393</v>
      </c>
      <c r="H757" s="41">
        <v>16.834047249845408</v>
      </c>
      <c r="I757" s="41">
        <v>18.149616379194665</v>
      </c>
      <c r="J757" s="41">
        <v>19.537712735363304</v>
      </c>
      <c r="K757" s="41">
        <v>21.021567136515291</v>
      </c>
      <c r="L757" s="41">
        <v>22.620176701169289</v>
      </c>
      <c r="M757" s="41">
        <v>24.372939590756292</v>
      </c>
      <c r="N757" s="41">
        <v>26.298590637073719</v>
      </c>
      <c r="O757" s="41">
        <v>28.407561170256525</v>
      </c>
      <c r="P757" s="41">
        <v>30.674460385804156</v>
      </c>
      <c r="Q757" s="41">
        <v>33.073742467719022</v>
      </c>
      <c r="R757" s="41">
        <v>35.634247727064491</v>
      </c>
      <c r="S757" s="14"/>
      <c r="T757" s="14"/>
    </row>
    <row r="758" spans="1:20" x14ac:dyDescent="0.35">
      <c r="A758" t="s">
        <v>44</v>
      </c>
      <c r="B758" s="17" t="s">
        <v>59</v>
      </c>
      <c r="C758" s="18" t="s">
        <v>60</v>
      </c>
      <c r="D758" s="38" t="s">
        <v>67</v>
      </c>
      <c r="E758" s="38" t="s">
        <v>67</v>
      </c>
      <c r="F758" s="41">
        <v>9.4553637676688105</v>
      </c>
      <c r="G758" s="41">
        <v>10.082111393278536</v>
      </c>
      <c r="H758" s="41">
        <v>10.712321039647742</v>
      </c>
      <c r="I758" s="41">
        <v>11.36316014113128</v>
      </c>
      <c r="J758" s="41">
        <v>12.067410807136159</v>
      </c>
      <c r="K758" s="41">
        <v>12.85649479965987</v>
      </c>
      <c r="L758" s="41">
        <v>13.753025085354979</v>
      </c>
      <c r="M758" s="41">
        <v>14.742125670917819</v>
      </c>
      <c r="N758" s="41">
        <v>15.791895960964013</v>
      </c>
      <c r="O758" s="41">
        <v>16.900557996164764</v>
      </c>
      <c r="P758" s="41">
        <v>18.085471577070614</v>
      </c>
      <c r="Q758" s="41">
        <v>19.366530729800559</v>
      </c>
      <c r="R758" s="41">
        <v>20.731497682984358</v>
      </c>
      <c r="S758" s="14"/>
      <c r="T758" s="14"/>
    </row>
    <row r="759" spans="1:20" x14ac:dyDescent="0.35">
      <c r="A759" t="s">
        <v>44</v>
      </c>
      <c r="B759" s="17" t="s">
        <v>59</v>
      </c>
      <c r="C759" s="18" t="s">
        <v>60</v>
      </c>
      <c r="D759" s="38" t="s">
        <v>68</v>
      </c>
      <c r="E759" s="38" t="s">
        <v>68</v>
      </c>
      <c r="F759" s="41">
        <v>15.649753055455404</v>
      </c>
      <c r="G759" s="41">
        <v>17.090392478836332</v>
      </c>
      <c r="H759" s="41">
        <v>18.681554314445364</v>
      </c>
      <c r="I759" s="41">
        <v>20.447323162495518</v>
      </c>
      <c r="J759" s="41">
        <v>22.410905784681436</v>
      </c>
      <c r="K759" s="41">
        <v>24.598804490724849</v>
      </c>
      <c r="L759" s="41">
        <v>27.037784022617668</v>
      </c>
      <c r="M759" s="41">
        <v>29.737451248046998</v>
      </c>
      <c r="N759" s="41">
        <v>32.706179079265418</v>
      </c>
      <c r="O759" s="41">
        <v>35.95624954275781</v>
      </c>
      <c r="P759" s="41">
        <v>39.49949289590473</v>
      </c>
      <c r="Q759" s="41">
        <v>43.370738291929186</v>
      </c>
      <c r="R759" s="41">
        <v>47.579325572131701</v>
      </c>
      <c r="S759" s="14"/>
      <c r="T759" s="14"/>
    </row>
    <row r="760" spans="1:20" x14ac:dyDescent="0.35">
      <c r="A760" t="s">
        <v>44</v>
      </c>
      <c r="B760" s="17" t="s">
        <v>59</v>
      </c>
      <c r="C760" s="18" t="s">
        <v>60</v>
      </c>
      <c r="D760" s="38" t="s">
        <v>69</v>
      </c>
      <c r="E760" s="38" t="s">
        <v>69</v>
      </c>
      <c r="F760" s="41">
        <v>17.500723683806282</v>
      </c>
      <c r="G760" s="41">
        <v>18.569476738589412</v>
      </c>
      <c r="H760" s="41">
        <v>19.740636510214571</v>
      </c>
      <c r="I760" s="41">
        <v>20.97908003632752</v>
      </c>
      <c r="J760" s="41">
        <v>22.267246132215529</v>
      </c>
      <c r="K760" s="41">
        <v>23.575129409207548</v>
      </c>
      <c r="L760" s="41">
        <v>24.967690560512846</v>
      </c>
      <c r="M760" s="41">
        <v>26.492444395813923</v>
      </c>
      <c r="N760" s="41">
        <v>28.198621689571223</v>
      </c>
      <c r="O760" s="41">
        <v>30.089877239234564</v>
      </c>
      <c r="P760" s="41">
        <v>32.118007513424295</v>
      </c>
      <c r="Q760" s="41">
        <v>34.240014648004518</v>
      </c>
      <c r="R760" s="41">
        <v>36.457525477043873</v>
      </c>
      <c r="S760" s="22"/>
      <c r="T760" s="22"/>
    </row>
    <row r="761" spans="1:20" x14ac:dyDescent="0.35">
      <c r="A761" t="s">
        <v>44</v>
      </c>
      <c r="B761" s="17" t="s">
        <v>59</v>
      </c>
      <c r="C761" s="18" t="s">
        <v>70</v>
      </c>
      <c r="D761" s="19" t="s">
        <v>71</v>
      </c>
      <c r="E761" s="19" t="s">
        <v>71</v>
      </c>
      <c r="F761" s="22">
        <v>2.6896961484336841</v>
      </c>
      <c r="G761" s="22">
        <v>2.992583621963413</v>
      </c>
      <c r="H761" s="22">
        <v>3.3345669822480675</v>
      </c>
      <c r="I761" s="22">
        <v>3.7211887731160922</v>
      </c>
      <c r="J761" s="22">
        <v>4.1600792742955184</v>
      </c>
      <c r="K761" s="22">
        <v>4.6618276578334381</v>
      </c>
      <c r="L761" s="22">
        <v>5.234969659195901</v>
      </c>
      <c r="M761" s="22">
        <v>5.8890457563913792</v>
      </c>
      <c r="N761" s="22">
        <v>6.6268075088491267</v>
      </c>
      <c r="O761" s="22">
        <v>7.4525759395367777</v>
      </c>
      <c r="P761" s="22">
        <v>8.366338465110827</v>
      </c>
      <c r="Q761" s="22">
        <v>9.372616225997783</v>
      </c>
      <c r="R761" s="22">
        <v>10.485229122953109</v>
      </c>
      <c r="S761" s="22"/>
      <c r="T761" s="22"/>
    </row>
    <row r="762" spans="1:20" x14ac:dyDescent="0.35">
      <c r="A762" t="s">
        <v>44</v>
      </c>
      <c r="B762" s="17" t="s">
        <v>59</v>
      </c>
      <c r="C762" s="18" t="s">
        <v>70</v>
      </c>
      <c r="D762" s="19" t="s">
        <v>72</v>
      </c>
      <c r="E762" s="19" t="s">
        <v>72</v>
      </c>
      <c r="F762" s="22">
        <v>2.0051894043646858</v>
      </c>
      <c r="G762" s="22">
        <v>2.2680152896471624</v>
      </c>
      <c r="H762" s="22">
        <v>2.5681255312584996</v>
      </c>
      <c r="I762" s="22">
        <v>2.906021120496562</v>
      </c>
      <c r="J762" s="22">
        <v>3.2825625523738089</v>
      </c>
      <c r="K762" s="22">
        <v>3.7062522485566785</v>
      </c>
      <c r="L762" s="22">
        <v>4.1864819064647856</v>
      </c>
      <c r="M762" s="22">
        <v>4.7414957343873887</v>
      </c>
      <c r="N762" s="22">
        <v>5.3854991870925994</v>
      </c>
      <c r="O762" s="22">
        <v>6.1210121470228867</v>
      </c>
      <c r="P762" s="22">
        <v>6.9615669654753534</v>
      </c>
      <c r="Q762" s="22">
        <v>7.9105875982275977</v>
      </c>
      <c r="R762" s="22">
        <v>8.9771155447059616</v>
      </c>
      <c r="S762" s="22"/>
      <c r="T762" s="22"/>
    </row>
    <row r="763" spans="1:20" x14ac:dyDescent="0.35">
      <c r="A763" t="s">
        <v>44</v>
      </c>
      <c r="B763" s="17" t="s">
        <v>59</v>
      </c>
      <c r="C763" s="18" t="s">
        <v>70</v>
      </c>
      <c r="D763" s="19" t="s">
        <v>73</v>
      </c>
      <c r="E763" s="19" t="s">
        <v>73</v>
      </c>
      <c r="F763" s="22">
        <v>1.9264190300795516</v>
      </c>
      <c r="G763" s="22">
        <v>2.1061718004774903</v>
      </c>
      <c r="H763" s="22">
        <v>2.3069095158477477</v>
      </c>
      <c r="I763" s="22">
        <v>2.5260104282628961</v>
      </c>
      <c r="J763" s="22">
        <v>2.762552643086869</v>
      </c>
      <c r="K763" s="22">
        <v>3.0138784817427826</v>
      </c>
      <c r="L763" s="22">
        <v>3.2890735523557182</v>
      </c>
      <c r="M763" s="22">
        <v>3.5959746335052931</v>
      </c>
      <c r="N763" s="22">
        <v>3.9434990153170744</v>
      </c>
      <c r="O763" s="22">
        <v>4.3351250585475931</v>
      </c>
      <c r="P763" s="22">
        <v>4.767088243383852</v>
      </c>
      <c r="Q763" s="22">
        <v>5.235737250652547</v>
      </c>
      <c r="R763" s="22">
        <v>5.7436243102607589</v>
      </c>
      <c r="S763" s="22"/>
      <c r="T763" s="22"/>
    </row>
    <row r="764" spans="1:20" x14ac:dyDescent="0.35">
      <c r="A764" t="s">
        <v>44</v>
      </c>
      <c r="B764" s="17" t="s">
        <v>59</v>
      </c>
      <c r="C764" s="18" t="s">
        <v>70</v>
      </c>
      <c r="D764" s="19" t="s">
        <v>74</v>
      </c>
      <c r="E764" s="19" t="s">
        <v>74</v>
      </c>
      <c r="F764" s="22">
        <v>2.2117129052707107</v>
      </c>
      <c r="G764" s="22">
        <v>2.4387098445445594</v>
      </c>
      <c r="H764" s="22">
        <v>2.6933154174393512</v>
      </c>
      <c r="I764" s="22">
        <v>2.9756257509604538</v>
      </c>
      <c r="J764" s="22">
        <v>3.2825625523738089</v>
      </c>
      <c r="K764" s="22">
        <v>3.6194118929743202</v>
      </c>
      <c r="L764" s="22">
        <v>3.9911824939716243</v>
      </c>
      <c r="M764" s="22">
        <v>4.4068892359031944</v>
      </c>
      <c r="N764" s="22">
        <v>4.8725975252130835</v>
      </c>
      <c r="O764" s="22">
        <v>5.3932973019394161</v>
      </c>
      <c r="P764" s="22">
        <v>5.9675148298898355</v>
      </c>
      <c r="Q764" s="22">
        <v>6.5934305363140915</v>
      </c>
      <c r="R764" s="22">
        <v>7.2797252375278321</v>
      </c>
      <c r="S764" s="22"/>
      <c r="T764" s="22"/>
    </row>
    <row r="765" spans="1:20" x14ac:dyDescent="0.35">
      <c r="A765" t="s">
        <v>44</v>
      </c>
      <c r="B765" s="17" t="s">
        <v>59</v>
      </c>
      <c r="C765" s="18" t="s">
        <v>70</v>
      </c>
      <c r="D765" s="19" t="s">
        <v>75</v>
      </c>
      <c r="E765" s="19" t="s">
        <v>75</v>
      </c>
      <c r="F765" s="22">
        <v>1.8017273254773871</v>
      </c>
      <c r="G765" s="22">
        <v>2.0028956282430284</v>
      </c>
      <c r="H765" s="22">
        <v>2.2300655995275558</v>
      </c>
      <c r="I765" s="22">
        <v>2.4839316174821526</v>
      </c>
      <c r="J765" s="22">
        <v>2.762552643086869</v>
      </c>
      <c r="K765" s="22">
        <v>3.0709552419300934</v>
      </c>
      <c r="L765" s="22">
        <v>3.4140877282260691</v>
      </c>
      <c r="M765" s="22">
        <v>3.8004781641059227</v>
      </c>
      <c r="N765" s="22">
        <v>4.2363791560365156</v>
      </c>
      <c r="O765" s="22">
        <v>4.7272988166434837</v>
      </c>
      <c r="P765" s="22">
        <v>5.2732439539231928</v>
      </c>
      <c r="Q765" s="22">
        <v>5.8738990736552914</v>
      </c>
      <c r="R765" s="22">
        <v>6.5382762743551961</v>
      </c>
      <c r="S765" s="22"/>
      <c r="T765" s="22"/>
    </row>
    <row r="766" spans="1:20" x14ac:dyDescent="0.35">
      <c r="A766" t="s">
        <v>44</v>
      </c>
      <c r="B766" s="17" t="s">
        <v>59</v>
      </c>
      <c r="C766" s="18" t="s">
        <v>76</v>
      </c>
      <c r="D766" s="19" t="s">
        <v>77</v>
      </c>
      <c r="E766" s="19" t="s">
        <v>77</v>
      </c>
      <c r="F766" s="22">
        <v>2.6184802880669671</v>
      </c>
      <c r="G766" s="22">
        <v>2.8708497144888376</v>
      </c>
      <c r="H766" s="22">
        <v>3.1526174802370237</v>
      </c>
      <c r="I766" s="22">
        <v>3.4633552376444317</v>
      </c>
      <c r="J766" s="22">
        <v>3.7989420733312849</v>
      </c>
      <c r="K766" s="22">
        <v>4.1650229945758559</v>
      </c>
      <c r="L766" s="22">
        <v>4.5667888713187823</v>
      </c>
      <c r="M766" s="22">
        <v>5.0138884606035594</v>
      </c>
      <c r="N766" s="22">
        <v>5.5123865232137819</v>
      </c>
      <c r="O766" s="22">
        <v>6.0669821571483613</v>
      </c>
      <c r="P766" s="22">
        <v>6.6749838461339559</v>
      </c>
      <c r="Q766" s="22">
        <v>7.333359386698814</v>
      </c>
      <c r="R766" s="22">
        <v>8.0508095545780805</v>
      </c>
      <c r="S766" s="22"/>
      <c r="T766" s="22"/>
    </row>
    <row r="767" spans="1:20" x14ac:dyDescent="0.35">
      <c r="A767" t="s">
        <v>44</v>
      </c>
      <c r="B767" s="17" t="s">
        <v>59</v>
      </c>
      <c r="C767" s="18" t="s">
        <v>76</v>
      </c>
      <c r="D767" s="19" t="s">
        <v>78</v>
      </c>
      <c r="E767" s="19" t="s">
        <v>78</v>
      </c>
      <c r="F767" s="22">
        <v>2.5218991287570658</v>
      </c>
      <c r="G767" s="22">
        <v>2.7269301205092757</v>
      </c>
      <c r="H767" s="22">
        <v>2.9534507116166262</v>
      </c>
      <c r="I767" s="22">
        <v>3.2000199185979423</v>
      </c>
      <c r="J767" s="22">
        <v>3.4618345855954038</v>
      </c>
      <c r="K767" s="22">
        <v>3.7432264666346504</v>
      </c>
      <c r="L767" s="22">
        <v>4.0478576654977561</v>
      </c>
      <c r="M767" s="22">
        <v>4.3831114440412549</v>
      </c>
      <c r="N767" s="22">
        <v>4.7527986961992035</v>
      </c>
      <c r="O767" s="22">
        <v>5.159301341673463</v>
      </c>
      <c r="P767" s="22">
        <v>5.5985383009052327</v>
      </c>
      <c r="Q767" s="22">
        <v>6.0663152127516735</v>
      </c>
      <c r="R767" s="22">
        <v>6.5683263827971894</v>
      </c>
      <c r="S767" s="22"/>
      <c r="T767" s="22"/>
    </row>
    <row r="768" spans="1:20" x14ac:dyDescent="0.35">
      <c r="A768" t="s">
        <v>44</v>
      </c>
      <c r="B768" s="17" t="s">
        <v>59</v>
      </c>
      <c r="C768" s="18" t="s">
        <v>76</v>
      </c>
      <c r="D768" s="19" t="s">
        <v>79</v>
      </c>
      <c r="E768" s="19" t="s">
        <v>79</v>
      </c>
      <c r="F768" s="22">
        <v>1.4507432224882328</v>
      </c>
      <c r="G768" s="22">
        <v>1.6150050598476742</v>
      </c>
      <c r="H768" s="22">
        <v>1.7995575163965889</v>
      </c>
      <c r="I768" s="22">
        <v>2.0077488213313215</v>
      </c>
      <c r="J768" s="22">
        <v>2.2430613607041381</v>
      </c>
      <c r="K768" s="22">
        <v>2.509531259678043</v>
      </c>
      <c r="L768" s="22">
        <v>2.8114811423662762</v>
      </c>
      <c r="M768" s="22">
        <v>3.151723348509218</v>
      </c>
      <c r="N768" s="22">
        <v>3.5330887454095539</v>
      </c>
      <c r="O768" s="22">
        <v>3.9589766484295534</v>
      </c>
      <c r="P768" s="22">
        <v>4.4329219157132966</v>
      </c>
      <c r="Q768" s="22">
        <v>4.9612303274458851</v>
      </c>
      <c r="R768" s="22">
        <v>5.5476893422012452</v>
      </c>
      <c r="S768" s="22"/>
      <c r="T768" s="22"/>
    </row>
    <row r="769" spans="1:20" x14ac:dyDescent="0.35">
      <c r="A769" t="s">
        <v>44</v>
      </c>
      <c r="B769" s="17" t="s">
        <v>59</v>
      </c>
      <c r="C769" s="18" t="s">
        <v>76</v>
      </c>
      <c r="D769" s="19" t="s">
        <v>80</v>
      </c>
      <c r="E769" s="19" t="s">
        <v>80</v>
      </c>
      <c r="F769" s="22">
        <v>1.1865437737898072</v>
      </c>
      <c r="G769" s="22">
        <v>1.2674968972365508</v>
      </c>
      <c r="H769" s="22">
        <v>1.3553009815528474</v>
      </c>
      <c r="I769" s="22">
        <v>1.4511075813880401</v>
      </c>
      <c r="J769" s="22">
        <v>1.5558807126271477</v>
      </c>
      <c r="K769" s="22">
        <v>1.6707006925639469</v>
      </c>
      <c r="L769" s="22">
        <v>1.7965399202280701</v>
      </c>
      <c r="M769" s="22">
        <v>1.933110813509529</v>
      </c>
      <c r="N769" s="22">
        <v>2.0800314501151198</v>
      </c>
      <c r="O769" s="22">
        <v>2.237162551459233</v>
      </c>
      <c r="P769" s="22">
        <v>2.4043101046463566</v>
      </c>
      <c r="Q769" s="22">
        <v>2.582657911071347</v>
      </c>
      <c r="R769" s="22">
        <v>2.7717301206129301</v>
      </c>
      <c r="S769" s="22"/>
      <c r="T769" s="22"/>
    </row>
    <row r="770" spans="1:20" x14ac:dyDescent="0.35">
      <c r="A770" t="s">
        <v>44</v>
      </c>
      <c r="B770" s="17" t="s">
        <v>59</v>
      </c>
      <c r="C770" s="18" t="s">
        <v>76</v>
      </c>
      <c r="D770" s="19" t="s">
        <v>81</v>
      </c>
      <c r="E770" s="19" t="s">
        <v>81</v>
      </c>
      <c r="F770" s="22">
        <v>1.363086619696174</v>
      </c>
      <c r="G770" s="22">
        <v>1.4821628081461946</v>
      </c>
      <c r="H770" s="22">
        <v>1.6134939287328849</v>
      </c>
      <c r="I770" s="22">
        <v>1.7552518847727139</v>
      </c>
      <c r="J770" s="22">
        <v>1.9059538729682559</v>
      </c>
      <c r="K770" s="22">
        <v>2.0686418187717592</v>
      </c>
      <c r="L770" s="22">
        <v>2.2462507634809765</v>
      </c>
      <c r="M770" s="22">
        <v>2.4458475659344998</v>
      </c>
      <c r="N770" s="22">
        <v>2.6711290969656387</v>
      </c>
      <c r="O770" s="22">
        <v>2.9191641511308135</v>
      </c>
      <c r="P770" s="22">
        <v>3.1924205569702413</v>
      </c>
      <c r="Q770" s="22">
        <v>3.4880634612399568</v>
      </c>
      <c r="R770" s="22">
        <v>3.8058530962855235</v>
      </c>
      <c r="S770" s="22"/>
      <c r="T770" s="22"/>
    </row>
    <row r="771" spans="1:20" x14ac:dyDescent="0.35">
      <c r="A771" t="s">
        <v>44</v>
      </c>
      <c r="B771" s="17" t="s">
        <v>47</v>
      </c>
      <c r="C771" s="13" t="s">
        <v>82</v>
      </c>
      <c r="D771" s="13" t="s">
        <v>82</v>
      </c>
      <c r="E771" s="13" t="s">
        <v>82</v>
      </c>
      <c r="F771" s="14">
        <v>48.320763448653729</v>
      </c>
      <c r="G771" s="14">
        <v>52.877079189565578</v>
      </c>
      <c r="H771" s="14">
        <v>57.890378665486672</v>
      </c>
      <c r="I771" s="14">
        <v>63.37558100294045</v>
      </c>
      <c r="J771" s="14">
        <v>69.323129529276258</v>
      </c>
      <c r="K771" s="14">
        <v>75.865153295921203</v>
      </c>
      <c r="L771" s="14">
        <v>83.121370313741181</v>
      </c>
      <c r="M771" s="14">
        <v>91.218293911874454</v>
      </c>
      <c r="N771" s="14">
        <v>100.20130229520143</v>
      </c>
      <c r="O771" s="14">
        <v>110.14036297970192</v>
      </c>
      <c r="P771" s="14">
        <v>121.04203716830563</v>
      </c>
      <c r="Q771" s="14">
        <v>132.92166850771949</v>
      </c>
      <c r="R771" s="14">
        <v>145.89459247255189</v>
      </c>
      <c r="S771" s="22"/>
      <c r="T771" s="22"/>
    </row>
    <row r="772" spans="1:20" x14ac:dyDescent="0.35">
      <c r="A772" t="s">
        <v>44</v>
      </c>
      <c r="B772" s="17" t="s">
        <v>47</v>
      </c>
      <c r="C772" s="13" t="s">
        <v>83</v>
      </c>
      <c r="D772" s="13" t="s">
        <v>83</v>
      </c>
      <c r="E772" s="13" t="s">
        <v>83</v>
      </c>
      <c r="F772" s="14">
        <v>76.870832369204152</v>
      </c>
      <c r="G772" s="14">
        <v>82.810676766501899</v>
      </c>
      <c r="H772" s="14">
        <v>89.313009004721678</v>
      </c>
      <c r="I772" s="14">
        <v>96.258922589341594</v>
      </c>
      <c r="J772" s="14">
        <v>103.55250520707349</v>
      </c>
      <c r="K772" s="14">
        <v>111.34694966507378</v>
      </c>
      <c r="L772" s="14">
        <v>119.78375899940737</v>
      </c>
      <c r="M772" s="14">
        <v>129.21918051512858</v>
      </c>
      <c r="N772" s="14">
        <v>139.81779683846165</v>
      </c>
      <c r="O772" s="14">
        <v>151.39057987074671</v>
      </c>
      <c r="P772" s="14">
        <v>164.03479038583026</v>
      </c>
      <c r="Q772" s="14">
        <v>177.57101635940245</v>
      </c>
      <c r="R772" s="14">
        <v>191.95790137066248</v>
      </c>
      <c r="S772" s="22"/>
      <c r="T772" s="22"/>
    </row>
    <row r="773" spans="1:20" x14ac:dyDescent="0.35">
      <c r="A773" t="s">
        <v>44</v>
      </c>
      <c r="B773" s="17" t="s">
        <v>84</v>
      </c>
      <c r="C773" s="13" t="s">
        <v>85</v>
      </c>
      <c r="D773" s="13" t="s">
        <v>85</v>
      </c>
      <c r="E773" s="13" t="s">
        <v>85</v>
      </c>
      <c r="F773" s="14">
        <v>7.3993100006938013</v>
      </c>
      <c r="G773" s="14">
        <v>7.8228710640486883</v>
      </c>
      <c r="H773" s="14">
        <v>8.2837162869439069</v>
      </c>
      <c r="I773" s="14">
        <v>8.785516089163707</v>
      </c>
      <c r="J773" s="14">
        <v>9.335284275762886</v>
      </c>
      <c r="K773" s="14">
        <v>9.9443492064858177</v>
      </c>
      <c r="L773" s="14">
        <v>10.61635503630724</v>
      </c>
      <c r="M773" s="14">
        <v>11.355005480584065</v>
      </c>
      <c r="N773" s="14">
        <v>12.148833751905485</v>
      </c>
      <c r="O773" s="14">
        <v>12.990059323860448</v>
      </c>
      <c r="P773" s="14">
        <v>13.863554027866339</v>
      </c>
      <c r="Q773" s="14">
        <v>14.763437122238276</v>
      </c>
      <c r="R773" s="14">
        <v>15.698581550272481</v>
      </c>
      <c r="S773" s="22"/>
      <c r="T773" s="22"/>
    </row>
    <row r="774" spans="1:20" x14ac:dyDescent="0.35">
      <c r="A774" t="s">
        <v>44</v>
      </c>
      <c r="B774" s="17" t="s">
        <v>84</v>
      </c>
      <c r="C774" s="13" t="s">
        <v>86</v>
      </c>
      <c r="D774" s="13" t="s">
        <v>86</v>
      </c>
      <c r="E774" s="13" t="s">
        <v>86</v>
      </c>
      <c r="F774" s="14">
        <v>23.673791556185869</v>
      </c>
      <c r="G774" s="14">
        <v>25.230476400874569</v>
      </c>
      <c r="H774" s="14">
        <v>26.894147485091835</v>
      </c>
      <c r="I774" s="14">
        <v>28.741070335928828</v>
      </c>
      <c r="J774" s="14">
        <v>30.771862983070253</v>
      </c>
      <c r="K774" s="14">
        <v>32.98466126538051</v>
      </c>
      <c r="L774" s="14">
        <v>35.363226095588438</v>
      </c>
      <c r="M774" s="14">
        <v>37.883841252780428</v>
      </c>
      <c r="N774" s="14">
        <v>40.547197553145764</v>
      </c>
      <c r="O774" s="14">
        <v>43.451198474068882</v>
      </c>
      <c r="P774" s="14">
        <v>46.624495429753956</v>
      </c>
      <c r="Q774" s="14">
        <v>50.034840245462313</v>
      </c>
      <c r="R774" s="14">
        <v>53.653595129350528</v>
      </c>
      <c r="S774" s="22"/>
      <c r="T774" s="22"/>
    </row>
    <row r="775" spans="1:20" x14ac:dyDescent="0.35">
      <c r="A775" t="s">
        <v>44</v>
      </c>
      <c r="B775" s="17" t="s">
        <v>84</v>
      </c>
      <c r="C775" s="40" t="s">
        <v>87</v>
      </c>
      <c r="D775" s="40" t="s">
        <v>87</v>
      </c>
      <c r="E775" s="40" t="s">
        <v>87</v>
      </c>
      <c r="F775" s="42">
        <v>42.150607424529198</v>
      </c>
      <c r="G775" s="42">
        <v>46.385158877928518</v>
      </c>
      <c r="H775" s="42">
        <v>51.239088246525839</v>
      </c>
      <c r="I775" s="42">
        <v>56.420805096104644</v>
      </c>
      <c r="J775" s="42">
        <v>61.716601600876871</v>
      </c>
      <c r="K775" s="42">
        <v>67.272256433023514</v>
      </c>
      <c r="L775" s="42">
        <v>73.264000359703459</v>
      </c>
      <c r="M775" s="42">
        <v>80.211611540225618</v>
      </c>
      <c r="N775" s="42">
        <v>88.408058333740826</v>
      </c>
      <c r="O775" s="42">
        <v>97.552300970862603</v>
      </c>
      <c r="P775" s="42">
        <v>107.64131817073931</v>
      </c>
      <c r="Q775" s="42">
        <v>118.48509470919657</v>
      </c>
      <c r="R775" s="42">
        <v>130.19526584383391</v>
      </c>
      <c r="S775" s="22"/>
      <c r="T775" s="22"/>
    </row>
    <row r="776" spans="1:20" x14ac:dyDescent="0.35">
      <c r="A776" t="s">
        <v>44</v>
      </c>
      <c r="B776" s="17" t="s">
        <v>84</v>
      </c>
      <c r="C776" s="13" t="s">
        <v>88</v>
      </c>
      <c r="D776" s="13" t="s">
        <v>88</v>
      </c>
      <c r="E776" s="13" t="s">
        <v>88</v>
      </c>
      <c r="F776" s="14">
        <v>28.375358776044813</v>
      </c>
      <c r="G776" s="14">
        <v>30.867938541926925</v>
      </c>
      <c r="H776" s="14">
        <v>33.462880754313439</v>
      </c>
      <c r="I776" s="14">
        <v>36.217356254449541</v>
      </c>
      <c r="J776" s="14">
        <v>39.242769085151394</v>
      </c>
      <c r="K776" s="14">
        <v>42.654845506485707</v>
      </c>
      <c r="L776" s="14">
        <v>46.548886595581557</v>
      </c>
      <c r="M776" s="14">
        <v>50.900136796128045</v>
      </c>
      <c r="N776" s="14">
        <v>55.621995648810817</v>
      </c>
      <c r="O776" s="14">
        <v>60.726021544509315</v>
      </c>
      <c r="P776" s="14">
        <v>66.292724185323806</v>
      </c>
      <c r="Q776" s="14">
        <v>72.41763082860632</v>
      </c>
      <c r="R776" s="14">
        <v>79.082873462010099</v>
      </c>
      <c r="S776" s="14"/>
      <c r="T776" s="14"/>
    </row>
    <row r="777" spans="1:20" x14ac:dyDescent="0.35">
      <c r="A777" t="s">
        <v>44</v>
      </c>
      <c r="B777" s="17" t="s">
        <v>84</v>
      </c>
      <c r="C777" s="13" t="s">
        <v>89</v>
      </c>
      <c r="D777" s="13" t="s">
        <v>89</v>
      </c>
      <c r="E777" s="13" t="s">
        <v>89</v>
      </c>
      <c r="F777" s="14">
        <v>7.3939560449221045</v>
      </c>
      <c r="G777" s="14">
        <v>8.0049070780896621</v>
      </c>
      <c r="H777" s="14">
        <v>8.6804907172884178</v>
      </c>
      <c r="I777" s="14">
        <v>9.4167120326012981</v>
      </c>
      <c r="J777" s="14">
        <v>10.199662449444634</v>
      </c>
      <c r="K777" s="14">
        <v>11.042279376346976</v>
      </c>
      <c r="L777" s="14">
        <v>11.955588367799637</v>
      </c>
      <c r="M777" s="14">
        <v>12.961659782272205</v>
      </c>
      <c r="N777" s="14">
        <v>14.072108103990999</v>
      </c>
      <c r="O777" s="14">
        <v>15.294373600915145</v>
      </c>
      <c r="P777" s="14">
        <v>16.616773643635092</v>
      </c>
      <c r="Q777" s="14">
        <v>18.027232020591999</v>
      </c>
      <c r="R777" s="14">
        <v>19.542999372004907</v>
      </c>
      <c r="S777" s="14"/>
      <c r="T777" s="14"/>
    </row>
    <row r="778" spans="1:20" x14ac:dyDescent="0.35">
      <c r="A778" t="s">
        <v>44</v>
      </c>
      <c r="B778" s="17" t="s">
        <v>84</v>
      </c>
      <c r="C778" s="13" t="s">
        <v>90</v>
      </c>
      <c r="D778" s="13" t="s">
        <v>90</v>
      </c>
      <c r="E778" s="13" t="s">
        <v>90</v>
      </c>
      <c r="F778" s="14">
        <v>16.198572015482096</v>
      </c>
      <c r="G778" s="14">
        <v>17.376403993199109</v>
      </c>
      <c r="H778" s="14">
        <v>18.643064180044906</v>
      </c>
      <c r="I778" s="14">
        <v>20.053043784034035</v>
      </c>
      <c r="J778" s="14">
        <v>21.609454342043719</v>
      </c>
      <c r="K778" s="14">
        <v>23.313711173272438</v>
      </c>
      <c r="L778" s="14">
        <v>25.157072858168231</v>
      </c>
      <c r="M778" s="14">
        <v>27.125219575012679</v>
      </c>
      <c r="N778" s="14">
        <v>29.220905742069188</v>
      </c>
      <c r="O778" s="14">
        <v>31.516988936232252</v>
      </c>
      <c r="P778" s="14">
        <v>34.037962096817374</v>
      </c>
      <c r="Q778" s="14">
        <v>36.764449941026463</v>
      </c>
      <c r="R778" s="14">
        <v>39.67917848574244</v>
      </c>
      <c r="S778" s="14"/>
      <c r="T778" s="14"/>
    </row>
    <row r="779" spans="1:20" x14ac:dyDescent="0.35">
      <c r="A779" t="s">
        <v>44</v>
      </c>
      <c r="B779" s="17" t="s">
        <v>91</v>
      </c>
      <c r="C779" s="13" t="s">
        <v>92</v>
      </c>
      <c r="D779" s="13" t="s">
        <v>92</v>
      </c>
      <c r="E779" s="13" t="s">
        <v>92</v>
      </c>
      <c r="F779" s="14">
        <v>53.523812528610755</v>
      </c>
      <c r="G779" s="14">
        <v>58.387999908851867</v>
      </c>
      <c r="H779" s="14">
        <v>63.473697968253596</v>
      </c>
      <c r="I779" s="14">
        <v>68.891189966549817</v>
      </c>
      <c r="J779" s="14">
        <v>74.855149840839445</v>
      </c>
      <c r="K779" s="14">
        <v>81.590895582556698</v>
      </c>
      <c r="L779" s="14">
        <v>89.287178058291147</v>
      </c>
      <c r="M779" s="14">
        <v>97.904536201222498</v>
      </c>
      <c r="N779" s="14">
        <v>107.28407916309888</v>
      </c>
      <c r="O779" s="14">
        <v>117.45445490415008</v>
      </c>
      <c r="P779" s="14">
        <v>128.57797649881417</v>
      </c>
      <c r="Q779" s="14">
        <v>140.84787303376029</v>
      </c>
      <c r="R779" s="14">
        <v>154.23895350916331</v>
      </c>
      <c r="S779" s="14"/>
      <c r="T779" s="14"/>
    </row>
    <row r="780" spans="1:20" x14ac:dyDescent="0.35">
      <c r="A780" t="s">
        <v>44</v>
      </c>
      <c r="B780" s="17" t="s">
        <v>91</v>
      </c>
      <c r="C780" s="13" t="s">
        <v>93</v>
      </c>
      <c r="D780" s="13" t="s">
        <v>93</v>
      </c>
      <c r="E780" s="13" t="s">
        <v>93</v>
      </c>
      <c r="F780" s="14">
        <v>71.667783289247126</v>
      </c>
      <c r="G780" s="14">
        <v>77.299756047215595</v>
      </c>
      <c r="H780" s="14">
        <v>83.729689701954754</v>
      </c>
      <c r="I780" s="14">
        <v>90.743313625732227</v>
      </c>
      <c r="J780" s="14">
        <v>98.020484895510307</v>
      </c>
      <c r="K780" s="14">
        <v>105.62120737843827</v>
      </c>
      <c r="L780" s="14">
        <v>113.61795125485742</v>
      </c>
      <c r="M780" s="14">
        <v>122.53293822578055</v>
      </c>
      <c r="N780" s="14">
        <v>132.7350199705642</v>
      </c>
      <c r="O780" s="14">
        <v>144.07648794629856</v>
      </c>
      <c r="P780" s="14">
        <v>156.49885105532172</v>
      </c>
      <c r="Q780" s="14">
        <v>169.64481183336167</v>
      </c>
      <c r="R780" s="14">
        <v>183.61354033405104</v>
      </c>
      <c r="S780" s="14"/>
      <c r="T780" s="14"/>
    </row>
    <row r="781" spans="1:20" x14ac:dyDescent="0.35">
      <c r="A781" t="s">
        <v>44</v>
      </c>
      <c r="B781" s="17" t="s">
        <v>94</v>
      </c>
      <c r="C781" s="13" t="s">
        <v>95</v>
      </c>
      <c r="D781" s="13" t="s">
        <v>95</v>
      </c>
      <c r="E781" s="13" t="s">
        <v>95</v>
      </c>
      <c r="F781" s="14">
        <v>15.296777158547229</v>
      </c>
      <c r="G781" s="14">
        <v>16.888371041353302</v>
      </c>
      <c r="H781" s="14">
        <v>18.675420967819566</v>
      </c>
      <c r="I781" s="14">
        <v>20.659358609511465</v>
      </c>
      <c r="J781" s="14">
        <v>22.819583785198169</v>
      </c>
      <c r="K781" s="14">
        <v>25.193538407278364</v>
      </c>
      <c r="L781" s="14">
        <v>27.816926712258976</v>
      </c>
      <c r="M781" s="14">
        <v>30.753558203155411</v>
      </c>
      <c r="N781" s="14">
        <v>34.046987276235569</v>
      </c>
      <c r="O781" s="14">
        <v>37.733477138852194</v>
      </c>
      <c r="P781" s="14">
        <v>41.804255017749512</v>
      </c>
      <c r="Q781" s="14">
        <v>46.248081866968924</v>
      </c>
      <c r="R781" s="14">
        <v>51.127315273602036</v>
      </c>
      <c r="S781" s="14"/>
      <c r="T781" s="14"/>
    </row>
    <row r="782" spans="1:20" x14ac:dyDescent="0.35">
      <c r="A782" t="s">
        <v>44</v>
      </c>
      <c r="B782" s="17" t="s">
        <v>94</v>
      </c>
      <c r="C782" s="40" t="s">
        <v>96</v>
      </c>
      <c r="D782" s="40" t="s">
        <v>96</v>
      </c>
      <c r="E782" s="40" t="s">
        <v>96</v>
      </c>
      <c r="F782" s="42">
        <v>12.663500725874712</v>
      </c>
      <c r="G782" s="42">
        <v>14.038091157461906</v>
      </c>
      <c r="H782" s="42">
        <v>15.524910762053764</v>
      </c>
      <c r="I782" s="42">
        <v>17.094962547530145</v>
      </c>
      <c r="J782" s="42">
        <v>18.670568551525776</v>
      </c>
      <c r="K782" s="42">
        <v>20.434141308636526</v>
      </c>
      <c r="L782" s="42">
        <v>22.345965320715095</v>
      </c>
      <c r="M782" s="42">
        <v>24.543220292549279</v>
      </c>
      <c r="N782" s="42">
        <v>27.02563639169199</v>
      </c>
      <c r="O782" s="42">
        <v>29.678141393037833</v>
      </c>
      <c r="P782" s="42">
        <v>32.685057880095172</v>
      </c>
      <c r="Q782" s="42">
        <v>36.040435722506004</v>
      </c>
      <c r="R782" s="42">
        <v>39.720256203810322</v>
      </c>
      <c r="S782" s="14"/>
      <c r="T782" s="14"/>
    </row>
    <row r="783" spans="1:20" x14ac:dyDescent="0.35">
      <c r="A783" t="s">
        <v>44</v>
      </c>
      <c r="B783" s="17" t="s">
        <v>94</v>
      </c>
      <c r="C783" s="13" t="s">
        <v>97</v>
      </c>
      <c r="D783" s="13" t="s">
        <v>97</v>
      </c>
      <c r="E783" s="13" t="s">
        <v>97</v>
      </c>
      <c r="F783" s="14">
        <v>18.942075097621281</v>
      </c>
      <c r="G783" s="14">
        <v>20.267470801537677</v>
      </c>
      <c r="H783" s="14">
        <v>21.719384869970369</v>
      </c>
      <c r="I783" s="14">
        <v>23.311509631409859</v>
      </c>
      <c r="J783" s="14">
        <v>25.066967036770713</v>
      </c>
      <c r="K783" s="14">
        <v>27.021463215599603</v>
      </c>
      <c r="L783" s="14">
        <v>29.191403472809672</v>
      </c>
      <c r="M783" s="14">
        <v>31.593982116031949</v>
      </c>
      <c r="N783" s="14">
        <v>34.204834690617325</v>
      </c>
      <c r="O783" s="14">
        <v>37.008638774770752</v>
      </c>
      <c r="P783" s="14">
        <v>39.968256171506731</v>
      </c>
      <c r="Q783" s="14">
        <v>43.071297830312389</v>
      </c>
      <c r="R783" s="14">
        <v>46.34771366488917</v>
      </c>
      <c r="S783" s="22"/>
      <c r="T783" s="22"/>
    </row>
    <row r="784" spans="1:20" x14ac:dyDescent="0.35">
      <c r="A784" t="s">
        <v>44</v>
      </c>
      <c r="B784" s="17" t="s">
        <v>94</v>
      </c>
      <c r="C784" s="13" t="s">
        <v>98</v>
      </c>
      <c r="D784" s="13" t="s">
        <v>98</v>
      </c>
      <c r="E784" s="13" t="s">
        <v>98</v>
      </c>
      <c r="F784" s="14">
        <v>39.489415078042754</v>
      </c>
      <c r="G784" s="14">
        <v>42.787335368647078</v>
      </c>
      <c r="H784" s="14">
        <v>46.446252952017538</v>
      </c>
      <c r="I784" s="14">
        <v>50.402577247873545</v>
      </c>
      <c r="J784" s="14">
        <v>54.628700576686519</v>
      </c>
      <c r="K784" s="14">
        <v>59.063496679047695</v>
      </c>
      <c r="L784" s="14">
        <v>63.878000461478919</v>
      </c>
      <c r="M784" s="14">
        <v>69.21270986218309</v>
      </c>
      <c r="N784" s="14">
        <v>75.223651389539384</v>
      </c>
      <c r="O784" s="14">
        <v>81.957223757877756</v>
      </c>
      <c r="P784" s="14">
        <v>89.320864416003786</v>
      </c>
      <c r="Q784" s="14">
        <v>97.2270143036409</v>
      </c>
      <c r="R784" s="14">
        <v>105.7060536705315</v>
      </c>
      <c r="S784" s="22"/>
      <c r="T784" s="22"/>
    </row>
    <row r="785" spans="1:20" x14ac:dyDescent="0.35">
      <c r="A785" t="s">
        <v>44</v>
      </c>
      <c r="B785" s="17" t="s">
        <v>94</v>
      </c>
      <c r="C785" s="13" t="s">
        <v>48</v>
      </c>
      <c r="D785" s="13" t="s">
        <v>48</v>
      </c>
      <c r="E785" s="13" t="s">
        <v>48</v>
      </c>
      <c r="F785" s="14">
        <v>14.355745672901982</v>
      </c>
      <c r="G785" s="14">
        <v>15.639558891106994</v>
      </c>
      <c r="H785" s="14">
        <v>17.057731085538865</v>
      </c>
      <c r="I785" s="14">
        <v>18.591707750114317</v>
      </c>
      <c r="J785" s="14">
        <v>20.226449264152922</v>
      </c>
      <c r="K785" s="14">
        <v>21.994817970181739</v>
      </c>
      <c r="L785" s="14">
        <v>23.928789959890825</v>
      </c>
      <c r="M785" s="14">
        <v>26.104599631659116</v>
      </c>
      <c r="N785" s="14">
        <v>28.563092425065022</v>
      </c>
      <c r="O785" s="14">
        <v>31.27454477262625</v>
      </c>
      <c r="P785" s="14">
        <v>34.266847211570607</v>
      </c>
      <c r="Q785" s="14">
        <v>37.511181898980389</v>
      </c>
      <c r="R785" s="14">
        <v>41.006418649324644</v>
      </c>
      <c r="S785" s="22"/>
      <c r="T785" s="22"/>
    </row>
    <row r="786" spans="1:20" x14ac:dyDescent="0.35">
      <c r="A786" t="s">
        <v>44</v>
      </c>
      <c r="B786" s="17" t="s">
        <v>94</v>
      </c>
      <c r="C786" s="13" t="s">
        <v>99</v>
      </c>
      <c r="D786" s="13" t="s">
        <v>99</v>
      </c>
      <c r="E786" s="13" t="s">
        <v>99</v>
      </c>
      <c r="F786" s="14">
        <v>9.5000562401064386</v>
      </c>
      <c r="G786" s="14">
        <v>10.088702252273055</v>
      </c>
      <c r="H786" s="14">
        <v>10.675715403805871</v>
      </c>
      <c r="I786" s="14">
        <v>11.278184646675298</v>
      </c>
      <c r="J786" s="14">
        <v>11.928418796808135</v>
      </c>
      <c r="K786" s="14">
        <v>12.656853488052827</v>
      </c>
      <c r="L786" s="14">
        <v>13.484752733756929</v>
      </c>
      <c r="M786" s="14">
        <v>14.396271580670245</v>
      </c>
      <c r="N786" s="14">
        <v>15.359186019706788</v>
      </c>
      <c r="O786" s="14">
        <v>16.371079702134683</v>
      </c>
      <c r="P786" s="14">
        <v>17.448106988042202</v>
      </c>
      <c r="Q786" s="14">
        <v>18.608599764946995</v>
      </c>
      <c r="R786" s="14">
        <v>19.839711420033087</v>
      </c>
      <c r="S786" s="22"/>
      <c r="T786" s="22"/>
    </row>
    <row r="787" spans="1:20" x14ac:dyDescent="0.35">
      <c r="A787" t="s">
        <v>44</v>
      </c>
      <c r="B787" s="17" t="s">
        <v>94</v>
      </c>
      <c r="C787" s="13" t="s">
        <v>100</v>
      </c>
      <c r="D787" s="13" t="s">
        <v>100</v>
      </c>
      <c r="E787" s="13" t="s">
        <v>100</v>
      </c>
      <c r="F787" s="14">
        <v>14.944025844763505</v>
      </c>
      <c r="G787" s="14">
        <v>15.978226443687456</v>
      </c>
      <c r="H787" s="14">
        <v>17.103971629002363</v>
      </c>
      <c r="I787" s="14">
        <v>18.296203159167415</v>
      </c>
      <c r="J787" s="14">
        <v>19.534946725207519</v>
      </c>
      <c r="K787" s="14">
        <v>20.847791892198224</v>
      </c>
      <c r="L787" s="14">
        <v>22.25929065223816</v>
      </c>
      <c r="M787" s="14">
        <v>23.833132740753964</v>
      </c>
      <c r="N787" s="14">
        <v>25.595710940807006</v>
      </c>
      <c r="O787" s="14">
        <v>27.507837311149146</v>
      </c>
      <c r="P787" s="14">
        <v>29.583439869167872</v>
      </c>
      <c r="Q787" s="14">
        <v>31.786073479766383</v>
      </c>
      <c r="R787" s="14">
        <v>34.105024961023538</v>
      </c>
      <c r="S787" s="22"/>
      <c r="T787" s="22"/>
    </row>
    <row r="788" spans="1:20" x14ac:dyDescent="0.35">
      <c r="A788" s="21" t="s">
        <v>15</v>
      </c>
      <c r="B788" s="17" t="s">
        <v>54</v>
      </c>
      <c r="C788" s="13" t="s">
        <v>55</v>
      </c>
      <c r="D788" s="13" t="s">
        <v>55</v>
      </c>
      <c r="E788" s="13" t="s">
        <v>55</v>
      </c>
      <c r="F788" s="14">
        <v>28.858942460460185</v>
      </c>
      <c r="G788" s="14">
        <v>31.475048743714481</v>
      </c>
      <c r="H788" s="14">
        <v>34.385367286200143</v>
      </c>
      <c r="I788" s="14">
        <v>37.591973199228704</v>
      </c>
      <c r="J788" s="14">
        <v>41.089580494931866</v>
      </c>
      <c r="K788" s="14">
        <v>44.917680648906902</v>
      </c>
      <c r="L788" s="14">
        <v>49.143876467947806</v>
      </c>
      <c r="M788" s="14">
        <v>53.850047125079271</v>
      </c>
      <c r="N788" s="14">
        <v>59.087280906819757</v>
      </c>
      <c r="O788" s="14">
        <v>64.88768087909321</v>
      </c>
      <c r="P788" s="14">
        <v>71.215821932180802</v>
      </c>
      <c r="Q788" s="14">
        <v>78.049360332375727</v>
      </c>
      <c r="R788" s="14">
        <v>85.45576289769815</v>
      </c>
      <c r="S788" s="22"/>
      <c r="T788" s="22"/>
    </row>
    <row r="789" spans="1:20" x14ac:dyDescent="0.35">
      <c r="A789" s="21" t="s">
        <v>15</v>
      </c>
      <c r="B789" s="17" t="s">
        <v>54</v>
      </c>
      <c r="C789" s="13" t="s">
        <v>56</v>
      </c>
      <c r="D789" s="13" t="s">
        <v>56</v>
      </c>
      <c r="E789" s="13" t="s">
        <v>56</v>
      </c>
      <c r="F789" s="14">
        <v>100.14406538849033</v>
      </c>
      <c r="G789" s="14">
        <v>106.64748217112104</v>
      </c>
      <c r="H789" s="14">
        <v>113.54319289057537</v>
      </c>
      <c r="I789" s="14">
        <v>120.88553425688221</v>
      </c>
      <c r="J789" s="14">
        <v>128.79976675120008</v>
      </c>
      <c r="K789" s="14">
        <v>137.39166515572254</v>
      </c>
      <c r="L789" s="14">
        <v>146.8625688033392</v>
      </c>
      <c r="M789" s="14">
        <v>157.21457226488923</v>
      </c>
      <c r="N789" s="14">
        <v>168.39166697388259</v>
      </c>
      <c r="O789" s="14">
        <v>180.38763901196626</v>
      </c>
      <c r="P789" s="14">
        <v>193.18736319443963</v>
      </c>
      <c r="Q789" s="14">
        <v>206.84104213242725</v>
      </c>
      <c r="R789" s="14">
        <v>221.29141984432718</v>
      </c>
      <c r="S789" s="22"/>
      <c r="T789" s="22"/>
    </row>
    <row r="790" spans="1:20" x14ac:dyDescent="0.35">
      <c r="A790" s="21" t="s">
        <v>15</v>
      </c>
      <c r="B790" s="17" t="s">
        <v>54</v>
      </c>
      <c r="C790" s="13" t="s">
        <v>57</v>
      </c>
      <c r="D790" s="13" t="s">
        <v>57</v>
      </c>
      <c r="E790" s="13" t="s">
        <v>57</v>
      </c>
      <c r="F790" s="14">
        <v>194.62894294140372</v>
      </c>
      <c r="G790" s="14">
        <v>205.09947636717069</v>
      </c>
      <c r="H790" s="14">
        <v>216.49978478141537</v>
      </c>
      <c r="I790" s="14">
        <v>228.68007919331552</v>
      </c>
      <c r="J790" s="14">
        <v>241.60489255386767</v>
      </c>
      <c r="K790" s="14">
        <v>255.20052413529478</v>
      </c>
      <c r="L790" s="14">
        <v>269.86125624046673</v>
      </c>
      <c r="M790" s="14">
        <v>285.84061219181746</v>
      </c>
      <c r="N790" s="14">
        <v>303.29397873356675</v>
      </c>
      <c r="O790" s="14">
        <v>322.16018152440085</v>
      </c>
      <c r="P790" s="14">
        <v>342.04297477094025</v>
      </c>
      <c r="Q790" s="14">
        <v>362.68465162461064</v>
      </c>
      <c r="R790" s="14">
        <v>384.12313731605462</v>
      </c>
      <c r="S790" s="22"/>
      <c r="T790" s="22"/>
    </row>
    <row r="791" spans="1:20" x14ac:dyDescent="0.35">
      <c r="A791" s="21" t="s">
        <v>15</v>
      </c>
      <c r="B791" s="17" t="s">
        <v>59</v>
      </c>
      <c r="C791" s="18" t="s">
        <v>60</v>
      </c>
      <c r="D791" s="38" t="s">
        <v>61</v>
      </c>
      <c r="E791" s="39" t="s">
        <v>62</v>
      </c>
      <c r="F791" s="22">
        <v>11.205871427086386</v>
      </c>
      <c r="G791" s="22">
        <v>12.255993874006368</v>
      </c>
      <c r="H791" s="22">
        <v>13.424931927558658</v>
      </c>
      <c r="I791" s="22">
        <v>14.714530665452033</v>
      </c>
      <c r="J791" s="22">
        <v>16.114189313204378</v>
      </c>
      <c r="K791" s="22">
        <v>17.646513600112083</v>
      </c>
      <c r="L791" s="22">
        <v>19.332533845375924</v>
      </c>
      <c r="M791" s="22">
        <v>21.205402850574561</v>
      </c>
      <c r="N791" s="22">
        <v>23.286028815012276</v>
      </c>
      <c r="O791" s="22">
        <v>25.591322611135158</v>
      </c>
      <c r="P791" s="22">
        <v>28.113608432416822</v>
      </c>
      <c r="Q791" s="22">
        <v>30.847693618579292</v>
      </c>
      <c r="R791" s="22">
        <v>33.823368427146846</v>
      </c>
      <c r="S791" s="22"/>
      <c r="T791" s="22"/>
    </row>
    <row r="792" spans="1:20" x14ac:dyDescent="0.35">
      <c r="A792" s="21" t="s">
        <v>15</v>
      </c>
      <c r="B792" s="17" t="s">
        <v>59</v>
      </c>
      <c r="C792" s="18" t="s">
        <v>60</v>
      </c>
      <c r="D792" s="38" t="s">
        <v>61</v>
      </c>
      <c r="E792" s="39" t="s">
        <v>63</v>
      </c>
      <c r="F792" s="22">
        <v>26.543746507044904</v>
      </c>
      <c r="G792" s="22">
        <v>28.335904915796814</v>
      </c>
      <c r="H792" s="22">
        <v>30.295037115426396</v>
      </c>
      <c r="I792" s="22">
        <v>32.403528882687745</v>
      </c>
      <c r="J792" s="22">
        <v>34.657105825565367</v>
      </c>
      <c r="K792" s="22">
        <v>37.041812148219172</v>
      </c>
      <c r="L792" s="22">
        <v>39.625520580961783</v>
      </c>
      <c r="M792" s="22">
        <v>42.449130871424806</v>
      </c>
      <c r="N792" s="22">
        <v>45.554533128165751</v>
      </c>
      <c r="O792" s="22">
        <v>48.946338802086125</v>
      </c>
      <c r="P792" s="22">
        <v>52.582888864831702</v>
      </c>
      <c r="Q792" s="22">
        <v>56.440535086759034</v>
      </c>
      <c r="R792" s="22">
        <v>60.518321295611578</v>
      </c>
      <c r="S792" s="14"/>
      <c r="T792" s="14"/>
    </row>
    <row r="793" spans="1:20" x14ac:dyDescent="0.35">
      <c r="A793" s="21" t="s">
        <v>15</v>
      </c>
      <c r="B793" s="17" t="s">
        <v>59</v>
      </c>
      <c r="C793" s="18" t="s">
        <v>60</v>
      </c>
      <c r="D793" s="38" t="s">
        <v>61</v>
      </c>
      <c r="E793" s="39" t="s">
        <v>64</v>
      </c>
      <c r="F793" s="22">
        <v>28.441398803116837</v>
      </c>
      <c r="G793" s="22">
        <v>30.009692585490829</v>
      </c>
      <c r="H793" s="22">
        <v>31.811649623955514</v>
      </c>
      <c r="I793" s="22">
        <v>33.693526778703955</v>
      </c>
      <c r="J793" s="22">
        <v>35.715386128979915</v>
      </c>
      <c r="K793" s="22">
        <v>37.58976449642384</v>
      </c>
      <c r="L793" s="22">
        <v>39.585336079679436</v>
      </c>
      <c r="M793" s="22">
        <v>41.711633472818789</v>
      </c>
      <c r="N793" s="22">
        <v>44.104663909844319</v>
      </c>
      <c r="O793" s="22">
        <v>46.729928142328021</v>
      </c>
      <c r="P793" s="22">
        <v>49.255639453476562</v>
      </c>
      <c r="Q793" s="22">
        <v>51.665110091528646</v>
      </c>
      <c r="R793" s="22">
        <v>53.971752060774818</v>
      </c>
      <c r="S793" s="14"/>
      <c r="T793" s="14"/>
    </row>
    <row r="794" spans="1:20" x14ac:dyDescent="0.35">
      <c r="A794" s="21" t="s">
        <v>15</v>
      </c>
      <c r="B794" s="17" t="s">
        <v>59</v>
      </c>
      <c r="C794" s="18" t="s">
        <v>60</v>
      </c>
      <c r="D794" s="38" t="s">
        <v>65</v>
      </c>
      <c r="E794" s="38" t="s">
        <v>65</v>
      </c>
      <c r="F794" s="41">
        <v>58.231799890827105</v>
      </c>
      <c r="G794" s="41">
        <v>61.684502111348067</v>
      </c>
      <c r="H794" s="41">
        <v>65.401941985958032</v>
      </c>
      <c r="I794" s="41">
        <v>69.426561731492768</v>
      </c>
      <c r="J794" s="41">
        <v>73.709413023608008</v>
      </c>
      <c r="K794" s="41">
        <v>78.29291457251388</v>
      </c>
      <c r="L794" s="41">
        <v>83.19522429801188</v>
      </c>
      <c r="M794" s="41">
        <v>88.470091158042678</v>
      </c>
      <c r="N794" s="41">
        <v>94.142532129091535</v>
      </c>
      <c r="O794" s="41">
        <v>100.27593847999832</v>
      </c>
      <c r="P794" s="41">
        <v>106.87303400843352</v>
      </c>
      <c r="Q794" s="41">
        <v>113.84377258165028</v>
      </c>
      <c r="R794" s="41">
        <v>121.16513103238512</v>
      </c>
      <c r="S794" s="14"/>
      <c r="T794" s="14"/>
    </row>
    <row r="795" spans="1:20" x14ac:dyDescent="0.35">
      <c r="A795" s="21" t="s">
        <v>15</v>
      </c>
      <c r="B795" s="17" t="s">
        <v>59</v>
      </c>
      <c r="C795" s="18" t="s">
        <v>60</v>
      </c>
      <c r="D795" s="38" t="s">
        <v>66</v>
      </c>
      <c r="E795" s="38" t="s">
        <v>66</v>
      </c>
      <c r="F795" s="41">
        <v>38.246745608088141</v>
      </c>
      <c r="G795" s="41">
        <v>40.177384998488769</v>
      </c>
      <c r="H795" s="41">
        <v>42.209575965028556</v>
      </c>
      <c r="I795" s="41">
        <v>44.356064950105441</v>
      </c>
      <c r="J795" s="41">
        <v>46.65375949615192</v>
      </c>
      <c r="K795" s="41">
        <v>49.169981476627726</v>
      </c>
      <c r="L795" s="41">
        <v>51.941727785497662</v>
      </c>
      <c r="M795" s="41">
        <v>54.983629295316959</v>
      </c>
      <c r="N795" s="41">
        <v>58.243190978635411</v>
      </c>
      <c r="O795" s="41">
        <v>61.674617319985096</v>
      </c>
      <c r="P795" s="41">
        <v>65.261193616477399</v>
      </c>
      <c r="Q795" s="41">
        <v>68.986525230339268</v>
      </c>
      <c r="R795" s="41">
        <v>72.84455618317817</v>
      </c>
      <c r="S795" s="14"/>
      <c r="T795" s="14"/>
    </row>
    <row r="796" spans="1:20" x14ac:dyDescent="0.35">
      <c r="A796" s="21" t="s">
        <v>15</v>
      </c>
      <c r="B796" s="17" t="s">
        <v>59</v>
      </c>
      <c r="C796" s="18" t="s">
        <v>60</v>
      </c>
      <c r="D796" s="38" t="s">
        <v>67</v>
      </c>
      <c r="E796" s="38" t="s">
        <v>67</v>
      </c>
      <c r="F796" s="41">
        <v>23.832069033139508</v>
      </c>
      <c r="G796" s="41">
        <v>24.898756008101778</v>
      </c>
      <c r="H796" s="41">
        <v>26.024606953657077</v>
      </c>
      <c r="I796" s="41">
        <v>27.212915193528282</v>
      </c>
      <c r="J796" s="41">
        <v>28.462570501006681</v>
      </c>
      <c r="K796" s="41">
        <v>29.805444862398119</v>
      </c>
      <c r="L796" s="41">
        <v>31.26076339750912</v>
      </c>
      <c r="M796" s="41">
        <v>32.833957691939062</v>
      </c>
      <c r="N796" s="41">
        <v>34.505027288745239</v>
      </c>
      <c r="O796" s="41">
        <v>36.266783802260562</v>
      </c>
      <c r="P796" s="41">
        <v>38.09913159814397</v>
      </c>
      <c r="Q796" s="41">
        <v>39.992466444395589</v>
      </c>
      <c r="R796" s="41">
        <v>41.949661448651398</v>
      </c>
      <c r="S796" s="14"/>
      <c r="T796" s="14"/>
    </row>
    <row r="797" spans="1:20" x14ac:dyDescent="0.35">
      <c r="A797" s="21" t="s">
        <v>15</v>
      </c>
      <c r="B797" s="17" t="s">
        <v>59</v>
      </c>
      <c r="C797" s="18" t="s">
        <v>60</v>
      </c>
      <c r="D797" s="38" t="s">
        <v>68</v>
      </c>
      <c r="E797" s="38" t="s">
        <v>68</v>
      </c>
      <c r="F797" s="41">
        <v>40.398913624438762</v>
      </c>
      <c r="G797" s="41">
        <v>43.265190164159989</v>
      </c>
      <c r="H797" s="41">
        <v>46.396875749526068</v>
      </c>
      <c r="I797" s="41">
        <v>49.821257508533066</v>
      </c>
      <c r="J797" s="41">
        <v>53.54622561560803</v>
      </c>
      <c r="K797" s="41">
        <v>57.629833853158004</v>
      </c>
      <c r="L797" s="41">
        <v>62.106620652583231</v>
      </c>
      <c r="M797" s="41">
        <v>67.015760073854906</v>
      </c>
      <c r="N797" s="41">
        <v>72.346793537036078</v>
      </c>
      <c r="O797" s="41">
        <v>78.109121535711552</v>
      </c>
      <c r="P797" s="41">
        <v>84.254310807573034</v>
      </c>
      <c r="Q797" s="41">
        <v>90.757104487195647</v>
      </c>
      <c r="R797" s="41">
        <v>97.657733177323919</v>
      </c>
      <c r="S797" s="14"/>
      <c r="T797" s="14"/>
    </row>
    <row r="798" spans="1:20" x14ac:dyDescent="0.35">
      <c r="A798" s="21" t="s">
        <v>15</v>
      </c>
      <c r="B798" s="17" t="s">
        <v>59</v>
      </c>
      <c r="C798" s="18" t="s">
        <v>60</v>
      </c>
      <c r="D798" s="38" t="s">
        <v>69</v>
      </c>
      <c r="E798" s="38" t="s">
        <v>69</v>
      </c>
      <c r="F798" s="41">
        <v>45.584553561726395</v>
      </c>
      <c r="G798" s="41">
        <v>47.383500499260919</v>
      </c>
      <c r="H798" s="41">
        <v>49.222579952515105</v>
      </c>
      <c r="I798" s="41">
        <v>51.08115589009244</v>
      </c>
      <c r="J798" s="41">
        <v>52.985906195431085</v>
      </c>
      <c r="K798" s="41">
        <v>55.000531553603025</v>
      </c>
      <c r="L798" s="41">
        <v>57.210661468384231</v>
      </c>
      <c r="M798" s="41">
        <v>59.653500112598145</v>
      </c>
      <c r="N798" s="41">
        <v>62.297298852678558</v>
      </c>
      <c r="O798" s="41">
        <v>65.085733075107612</v>
      </c>
      <c r="P798" s="41">
        <v>68.020406514667314</v>
      </c>
      <c r="Q798" s="41">
        <v>71.068765499460298</v>
      </c>
      <c r="R798" s="41">
        <v>74.189461722394299</v>
      </c>
      <c r="S798" s="14"/>
      <c r="T798" s="14"/>
    </row>
    <row r="799" spans="1:20" x14ac:dyDescent="0.35">
      <c r="A799" s="21" t="s">
        <v>15</v>
      </c>
      <c r="B799" s="17" t="s">
        <v>59</v>
      </c>
      <c r="C799" s="18" t="s">
        <v>70</v>
      </c>
      <c r="D799" s="19" t="s">
        <v>71</v>
      </c>
      <c r="E799" s="19" t="s">
        <v>71</v>
      </c>
      <c r="F799" s="22">
        <v>6.8138727244173314</v>
      </c>
      <c r="G799" s="22">
        <v>7.4797420372001842</v>
      </c>
      <c r="H799" s="22">
        <v>8.2203274359243075</v>
      </c>
      <c r="I799" s="22">
        <v>9.0303779942450184</v>
      </c>
      <c r="J799" s="22">
        <v>9.9058452479448942</v>
      </c>
      <c r="K799" s="22">
        <v>10.863724647270946</v>
      </c>
      <c r="L799" s="22">
        <v>11.921184703674804</v>
      </c>
      <c r="M799" s="22">
        <v>13.115134221619023</v>
      </c>
      <c r="N799" s="22">
        <v>14.467734123342476</v>
      </c>
      <c r="O799" s="22">
        <v>15.969747081225941</v>
      </c>
      <c r="P799" s="22">
        <v>17.63816596413394</v>
      </c>
      <c r="Q799" s="22">
        <v>19.465008380011628</v>
      </c>
      <c r="R799" s="22">
        <v>21.453873985720811</v>
      </c>
      <c r="S799" s="14"/>
      <c r="T799" s="14"/>
    </row>
    <row r="800" spans="1:20" x14ac:dyDescent="0.35">
      <c r="A800" s="21" t="s">
        <v>15</v>
      </c>
      <c r="B800" s="17" t="s">
        <v>59</v>
      </c>
      <c r="C800" s="18" t="s">
        <v>70</v>
      </c>
      <c r="D800" s="19" t="s">
        <v>72</v>
      </c>
      <c r="E800" s="19" t="s">
        <v>72</v>
      </c>
      <c r="F800" s="22">
        <v>5.1094516298724475</v>
      </c>
      <c r="G800" s="22">
        <v>5.6732735094098432</v>
      </c>
      <c r="H800" s="22">
        <v>6.3087226580651752</v>
      </c>
      <c r="I800" s="22">
        <v>7.0162942215385868</v>
      </c>
      <c r="J800" s="22">
        <v>7.7948329705412469</v>
      </c>
      <c r="K800" s="22">
        <v>8.6502293491031654</v>
      </c>
      <c r="L800" s="22">
        <v>9.6022492008154909</v>
      </c>
      <c r="M800" s="22">
        <v>10.676490200184343</v>
      </c>
      <c r="N800" s="22">
        <v>11.897214170268441</v>
      </c>
      <c r="O800" s="22">
        <v>13.27897674546864</v>
      </c>
      <c r="P800" s="22">
        <v>14.826217510773803</v>
      </c>
      <c r="Q800" s="22">
        <v>16.536733640966219</v>
      </c>
      <c r="R800" s="22">
        <v>18.426193757942237</v>
      </c>
      <c r="S800" s="14"/>
      <c r="T800" s="14"/>
    </row>
    <row r="801" spans="1:20" x14ac:dyDescent="0.35">
      <c r="A801" s="21" t="s">
        <v>15</v>
      </c>
      <c r="B801" s="17" t="s">
        <v>59</v>
      </c>
      <c r="C801" s="18" t="s">
        <v>70</v>
      </c>
      <c r="D801" s="19" t="s">
        <v>73</v>
      </c>
      <c r="E801" s="19" t="s">
        <v>73</v>
      </c>
      <c r="F801" s="22">
        <v>4.9385509255966564</v>
      </c>
      <c r="G801" s="22">
        <v>5.2820691404779865</v>
      </c>
      <c r="H801" s="22">
        <v>5.6580191820238124</v>
      </c>
      <c r="I801" s="22">
        <v>6.0635022901521225</v>
      </c>
      <c r="J801" s="22">
        <v>6.49578909543209</v>
      </c>
      <c r="K801" s="22">
        <v>6.9634869769876868</v>
      </c>
      <c r="L801" s="22">
        <v>7.4726564615274196</v>
      </c>
      <c r="M801" s="22">
        <v>8.0365758290517242</v>
      </c>
      <c r="N801" s="22">
        <v>8.6581247310921974</v>
      </c>
      <c r="O801" s="22">
        <v>9.3309981899466017</v>
      </c>
      <c r="P801" s="22">
        <v>10.052358747405608</v>
      </c>
      <c r="Q801" s="22">
        <v>10.814216620821707</v>
      </c>
      <c r="R801" s="22">
        <v>11.619723641125482</v>
      </c>
      <c r="S801" s="14"/>
      <c r="T801" s="14"/>
    </row>
    <row r="802" spans="1:20" x14ac:dyDescent="0.35">
      <c r="A802" s="21" t="s">
        <v>15</v>
      </c>
      <c r="B802" s="17" t="s">
        <v>59</v>
      </c>
      <c r="C802" s="18" t="s">
        <v>70</v>
      </c>
      <c r="D802" s="19" t="s">
        <v>74</v>
      </c>
      <c r="E802" s="19" t="s">
        <v>74</v>
      </c>
      <c r="F802" s="22">
        <v>5.7810484615459234</v>
      </c>
      <c r="G802" s="22">
        <v>6.2353374498602028</v>
      </c>
      <c r="H802" s="22">
        <v>6.7144631885615897</v>
      </c>
      <c r="I802" s="22">
        <v>7.2279609870880988</v>
      </c>
      <c r="J802" s="22">
        <v>7.7910847061787125</v>
      </c>
      <c r="K802" s="22">
        <v>8.4193603282661194</v>
      </c>
      <c r="L802" s="22">
        <v>9.1253305388283028</v>
      </c>
      <c r="M802" s="22">
        <v>9.9050907755833268</v>
      </c>
      <c r="N802" s="22">
        <v>10.747914106550212</v>
      </c>
      <c r="O802" s="22">
        <v>11.654780616284519</v>
      </c>
      <c r="P802" s="22">
        <v>12.63393780994406</v>
      </c>
      <c r="Q802" s="22">
        <v>13.698068932582428</v>
      </c>
      <c r="R802" s="22">
        <v>14.843816693593368</v>
      </c>
      <c r="S802" s="14"/>
      <c r="T802" s="14"/>
    </row>
    <row r="803" spans="1:20" x14ac:dyDescent="0.35">
      <c r="A803" s="21" t="s">
        <v>15</v>
      </c>
      <c r="B803" s="17" t="s">
        <v>59</v>
      </c>
      <c r="C803" s="18" t="s">
        <v>70</v>
      </c>
      <c r="D803" s="19" t="s">
        <v>75</v>
      </c>
      <c r="E803" s="19" t="s">
        <v>75</v>
      </c>
      <c r="F803" s="22">
        <v>4.690623084691893</v>
      </c>
      <c r="G803" s="22">
        <v>5.1036594247120393</v>
      </c>
      <c r="H803" s="22">
        <v>5.5546492679796273</v>
      </c>
      <c r="I803" s="22">
        <v>6.0459413722848199</v>
      </c>
      <c r="J803" s="22">
        <v>6.5830457074772086</v>
      </c>
      <c r="K803" s="22">
        <v>7.1725933452953026</v>
      </c>
      <c r="L803" s="22">
        <v>7.8278251502252223</v>
      </c>
      <c r="M803" s="22">
        <v>8.55591850787747</v>
      </c>
      <c r="N803" s="22">
        <v>9.3609344895940723</v>
      </c>
      <c r="O803" s="22">
        <v>10.245277557513926</v>
      </c>
      <c r="P803" s="22">
        <v>11.211203820370431</v>
      </c>
      <c r="Q803" s="22">
        <v>12.262863909599981</v>
      </c>
      <c r="R803" s="22">
        <v>13.401726384111505</v>
      </c>
      <c r="S803" s="14"/>
      <c r="T803" s="14"/>
    </row>
    <row r="804" spans="1:20" x14ac:dyDescent="0.35">
      <c r="A804" s="21" t="s">
        <v>15</v>
      </c>
      <c r="B804" s="17" t="s">
        <v>59</v>
      </c>
      <c r="C804" s="18" t="s">
        <v>76</v>
      </c>
      <c r="D804" s="19" t="s">
        <v>77</v>
      </c>
      <c r="E804" s="19" t="s">
        <v>77</v>
      </c>
      <c r="F804" s="22">
        <v>6.8506219349615716</v>
      </c>
      <c r="G804" s="22">
        <v>7.3615724729605763</v>
      </c>
      <c r="H804" s="22">
        <v>7.9240379533552314</v>
      </c>
      <c r="I804" s="22">
        <v>8.5326211903524207</v>
      </c>
      <c r="J804" s="22">
        <v>9.1778558653335089</v>
      </c>
      <c r="K804" s="22">
        <v>9.8644509237645899</v>
      </c>
      <c r="L804" s="22">
        <v>10.605983117591629</v>
      </c>
      <c r="M804" s="22">
        <v>11.419845677540938</v>
      </c>
      <c r="N804" s="22">
        <v>12.317642346646716</v>
      </c>
      <c r="O804" s="22">
        <v>13.303856442260072</v>
      </c>
      <c r="P804" s="22">
        <v>14.366327198632588</v>
      </c>
      <c r="Q804" s="22">
        <v>15.493953423618436</v>
      </c>
      <c r="R804" s="22">
        <v>16.696237668189418</v>
      </c>
      <c r="S804" s="14"/>
      <c r="T804" s="14"/>
    </row>
    <row r="805" spans="1:20" x14ac:dyDescent="0.35">
      <c r="A805" s="21" t="s">
        <v>15</v>
      </c>
      <c r="B805" s="17" t="s">
        <v>59</v>
      </c>
      <c r="C805" s="18" t="s">
        <v>76</v>
      </c>
      <c r="D805" s="19" t="s">
        <v>78</v>
      </c>
      <c r="E805" s="19" t="s">
        <v>78</v>
      </c>
      <c r="F805" s="22">
        <v>6.5599468332189508</v>
      </c>
      <c r="G805" s="22">
        <v>6.9400671911035792</v>
      </c>
      <c r="H805" s="22">
        <v>7.3437719984507179</v>
      </c>
      <c r="I805" s="22">
        <v>7.7767708847990411</v>
      </c>
      <c r="J805" s="22">
        <v>8.238224007889368</v>
      </c>
      <c r="K805" s="22">
        <v>8.7366285944276072</v>
      </c>
      <c r="L805" s="22">
        <v>9.2765105126943546</v>
      </c>
      <c r="M805" s="22">
        <v>9.8599593883661445</v>
      </c>
      <c r="N805" s="22">
        <v>10.483349706903928</v>
      </c>
      <c r="O805" s="22">
        <v>11.152764931641014</v>
      </c>
      <c r="P805" s="22">
        <v>11.865365421811894</v>
      </c>
      <c r="Q805" s="22">
        <v>12.615527097195633</v>
      </c>
      <c r="R805" s="22">
        <v>13.40397082206804</v>
      </c>
      <c r="S805" s="14"/>
      <c r="T805" s="14"/>
    </row>
    <row r="806" spans="1:20" x14ac:dyDescent="0.35">
      <c r="A806" s="21" t="s">
        <v>15</v>
      </c>
      <c r="B806" s="17" t="s">
        <v>59</v>
      </c>
      <c r="C806" s="18" t="s">
        <v>76</v>
      </c>
      <c r="D806" s="19" t="s">
        <v>79</v>
      </c>
      <c r="E806" s="19" t="s">
        <v>79</v>
      </c>
      <c r="F806" s="22">
        <v>3.7624272117231188</v>
      </c>
      <c r="G806" s="22">
        <v>4.1129675801551873</v>
      </c>
      <c r="H806" s="22">
        <v>4.4876865027508543</v>
      </c>
      <c r="I806" s="22">
        <v>4.8935946496680547</v>
      </c>
      <c r="J806" s="22">
        <v>5.3433425871824092</v>
      </c>
      <c r="K806" s="22">
        <v>5.8510557614715957</v>
      </c>
      <c r="L806" s="22">
        <v>6.4285260499908734</v>
      </c>
      <c r="M806" s="22">
        <v>7.0761562065111372</v>
      </c>
      <c r="N806" s="22">
        <v>7.7864240634450468</v>
      </c>
      <c r="O806" s="22">
        <v>8.5615133017990797</v>
      </c>
      <c r="P806" s="22">
        <v>9.4092456409182361</v>
      </c>
      <c r="Q806" s="22">
        <v>10.34085515465002</v>
      </c>
      <c r="R806" s="22">
        <v>11.358293523631387</v>
      </c>
      <c r="S806" s="14"/>
      <c r="T806" s="14"/>
    </row>
    <row r="807" spans="1:20" x14ac:dyDescent="0.35">
      <c r="A807" s="21" t="s">
        <v>15</v>
      </c>
      <c r="B807" s="17" t="s">
        <v>59</v>
      </c>
      <c r="C807" s="18" t="s">
        <v>76</v>
      </c>
      <c r="D807" s="19" t="s">
        <v>80</v>
      </c>
      <c r="E807" s="19" t="s">
        <v>80</v>
      </c>
      <c r="F807" s="22">
        <v>3.1096433410672306</v>
      </c>
      <c r="G807" s="22">
        <v>3.2606683123415632</v>
      </c>
      <c r="H807" s="22">
        <v>3.4244177308839827</v>
      </c>
      <c r="I807" s="22">
        <v>3.5997139828773683</v>
      </c>
      <c r="J807" s="22">
        <v>3.7843771605770242</v>
      </c>
      <c r="K807" s="22">
        <v>3.9808052448017532</v>
      </c>
      <c r="L807" s="22">
        <v>4.1916456732735199</v>
      </c>
      <c r="M807" s="22">
        <v>4.4198856704241285</v>
      </c>
      <c r="N807" s="22">
        <v>4.6653065592626248</v>
      </c>
      <c r="O807" s="22">
        <v>4.9268059652285263</v>
      </c>
      <c r="P807" s="22">
        <v>5.1992177660504986</v>
      </c>
      <c r="Q807" s="22">
        <v>5.4792872972899911</v>
      </c>
      <c r="R807" s="22">
        <v>5.7688744350166248</v>
      </c>
      <c r="S807" s="22"/>
      <c r="T807" s="22"/>
    </row>
    <row r="808" spans="1:20" x14ac:dyDescent="0.35">
      <c r="A808" s="21" t="s">
        <v>15</v>
      </c>
      <c r="B808" s="17" t="s">
        <v>59</v>
      </c>
      <c r="C808" s="18" t="s">
        <v>76</v>
      </c>
      <c r="D808" s="19" t="s">
        <v>81</v>
      </c>
      <c r="E808" s="19" t="s">
        <v>81</v>
      </c>
      <c r="F808" s="22">
        <v>3.5306661877910361</v>
      </c>
      <c r="G808" s="22">
        <v>3.7617250071315391</v>
      </c>
      <c r="H808" s="22">
        <v>4.0050497665701963</v>
      </c>
      <c r="I808" s="22">
        <v>4.2612674758251963</v>
      </c>
      <c r="J808" s="22">
        <v>4.5352863518877857</v>
      </c>
      <c r="K808" s="22">
        <v>4.8307382054796024</v>
      </c>
      <c r="L808" s="22">
        <v>5.1574019951288435</v>
      </c>
      <c r="M808" s="22">
        <v>5.5170695780577983</v>
      </c>
      <c r="N808" s="22">
        <v>5.9082136779542713</v>
      </c>
      <c r="O808" s="22">
        <v>6.3309968154794696</v>
      </c>
      <c r="P808" s="22">
        <v>6.7839067214992514</v>
      </c>
      <c r="Q808" s="22">
        <v>7.2665665927695446</v>
      </c>
      <c r="R808" s="22">
        <v>7.7776237992149113</v>
      </c>
      <c r="S808" s="22"/>
      <c r="T808" s="22"/>
    </row>
    <row r="809" spans="1:20" x14ac:dyDescent="0.35">
      <c r="A809" s="21" t="s">
        <v>15</v>
      </c>
      <c r="B809" s="17" t="s">
        <v>47</v>
      </c>
      <c r="C809" s="13" t="s">
        <v>82</v>
      </c>
      <c r="D809" s="13" t="s">
        <v>82</v>
      </c>
      <c r="E809" s="13" t="s">
        <v>82</v>
      </c>
      <c r="F809" s="14">
        <v>129.00300784895052</v>
      </c>
      <c r="G809" s="14">
        <v>138.12253091483552</v>
      </c>
      <c r="H809" s="14">
        <v>147.92856017677551</v>
      </c>
      <c r="I809" s="14">
        <v>158.47750745611091</v>
      </c>
      <c r="J809" s="14">
        <v>169.88934724613193</v>
      </c>
      <c r="K809" s="14">
        <v>182.30934580462943</v>
      </c>
      <c r="L809" s="14">
        <v>196.00644527128702</v>
      </c>
      <c r="M809" s="14">
        <v>211.0646193899685</v>
      </c>
      <c r="N809" s="14">
        <v>227.47894788070235</v>
      </c>
      <c r="O809" s="14">
        <v>245.27531989105947</v>
      </c>
      <c r="P809" s="14">
        <v>264.40318512662043</v>
      </c>
      <c r="Q809" s="14">
        <v>284.89040246480295</v>
      </c>
      <c r="R809" s="14">
        <v>306.7471827420253</v>
      </c>
      <c r="S809" s="22"/>
      <c r="T809" s="22"/>
    </row>
    <row r="810" spans="1:20" x14ac:dyDescent="0.35">
      <c r="A810" s="21" t="s">
        <v>15</v>
      </c>
      <c r="B810" s="17" t="s">
        <v>47</v>
      </c>
      <c r="C810" s="13" t="s">
        <v>83</v>
      </c>
      <c r="D810" s="13" t="s">
        <v>83</v>
      </c>
      <c r="E810" s="13" t="s">
        <v>83</v>
      </c>
      <c r="F810" s="14">
        <v>194.62894294140372</v>
      </c>
      <c r="G810" s="14">
        <v>205.09947636717069</v>
      </c>
      <c r="H810" s="14">
        <v>216.49978478141537</v>
      </c>
      <c r="I810" s="14">
        <v>228.68007919331552</v>
      </c>
      <c r="J810" s="14">
        <v>241.60489255386767</v>
      </c>
      <c r="K810" s="14">
        <v>255.20052413529478</v>
      </c>
      <c r="L810" s="14">
        <v>269.86125624046673</v>
      </c>
      <c r="M810" s="14">
        <v>285.84061219181746</v>
      </c>
      <c r="N810" s="14">
        <v>303.29397873356675</v>
      </c>
      <c r="O810" s="14">
        <v>322.16018152440085</v>
      </c>
      <c r="P810" s="14">
        <v>342.04297477094025</v>
      </c>
      <c r="Q810" s="14">
        <v>362.68465162461064</v>
      </c>
      <c r="R810" s="14">
        <v>384.12313731605462</v>
      </c>
      <c r="S810" s="22"/>
      <c r="T810" s="22"/>
    </row>
    <row r="811" spans="1:20" x14ac:dyDescent="0.35">
      <c r="A811" s="21" t="s">
        <v>15</v>
      </c>
      <c r="B811" s="17" t="s">
        <v>84</v>
      </c>
      <c r="C811" s="13" t="s">
        <v>85</v>
      </c>
      <c r="D811" s="13" t="s">
        <v>85</v>
      </c>
      <c r="E811" s="13" t="s">
        <v>85</v>
      </c>
      <c r="F811" s="14">
        <v>18.922760808077989</v>
      </c>
      <c r="G811" s="14">
        <v>19.696009676529918</v>
      </c>
      <c r="H811" s="14">
        <v>20.490713676980967</v>
      </c>
      <c r="I811" s="14">
        <v>21.313409755923153</v>
      </c>
      <c r="J811" s="14">
        <v>22.180765859538592</v>
      </c>
      <c r="K811" s="14">
        <v>23.128390986725996</v>
      </c>
      <c r="L811" s="14">
        <v>24.175926152025642</v>
      </c>
      <c r="M811" s="14">
        <v>25.321948022361173</v>
      </c>
      <c r="N811" s="14">
        <v>26.534136063441466</v>
      </c>
      <c r="O811" s="14">
        <v>27.797900097781945</v>
      </c>
      <c r="P811" s="14">
        <v>29.106497171027577</v>
      </c>
      <c r="Q811" s="14">
        <v>30.456641236201524</v>
      </c>
      <c r="R811" s="14">
        <v>31.844772085876208</v>
      </c>
      <c r="S811" s="22"/>
      <c r="T811" s="22"/>
    </row>
    <row r="812" spans="1:20" x14ac:dyDescent="0.35">
      <c r="A812" s="21" t="s">
        <v>15</v>
      </c>
      <c r="B812" s="17" t="s">
        <v>84</v>
      </c>
      <c r="C812" s="13" t="s">
        <v>86</v>
      </c>
      <c r="D812" s="13" t="s">
        <v>86</v>
      </c>
      <c r="E812" s="13" t="s">
        <v>86</v>
      </c>
      <c r="F812" s="14">
        <v>61.909067411763118</v>
      </c>
      <c r="G812" s="14">
        <v>64.872070751920518</v>
      </c>
      <c r="H812" s="14">
        <v>68.092332625724339</v>
      </c>
      <c r="I812" s="14">
        <v>71.498080501952131</v>
      </c>
      <c r="J812" s="14">
        <v>74.997553288133801</v>
      </c>
      <c r="K812" s="14">
        <v>78.570864507279879</v>
      </c>
      <c r="L812" s="14">
        <v>82.336193905955724</v>
      </c>
      <c r="M812" s="14">
        <v>86.408295429119107</v>
      </c>
      <c r="N812" s="14">
        <v>90.869897945668271</v>
      </c>
      <c r="O812" s="14">
        <v>95.738255067455995</v>
      </c>
      <c r="P812" s="14">
        <v>100.8832524408144</v>
      </c>
      <c r="Q812" s="14">
        <v>106.1773200387308</v>
      </c>
      <c r="R812" s="14">
        <v>111.64408166664155</v>
      </c>
      <c r="S812" s="22"/>
      <c r="T812" s="22"/>
    </row>
    <row r="813" spans="1:20" x14ac:dyDescent="0.35">
      <c r="A813" s="21" t="s">
        <v>15</v>
      </c>
      <c r="B813" s="17" t="s">
        <v>84</v>
      </c>
      <c r="C813" s="40" t="s">
        <v>87</v>
      </c>
      <c r="D813" s="40" t="s">
        <v>87</v>
      </c>
      <c r="E813" s="40" t="s">
        <v>87</v>
      </c>
      <c r="F813" s="42">
        <v>112.24356683013622</v>
      </c>
      <c r="G813" s="42">
        <v>120.13947748197727</v>
      </c>
      <c r="H813" s="42">
        <v>128.89383224716656</v>
      </c>
      <c r="I813" s="42">
        <v>138.48398864663244</v>
      </c>
      <c r="J813" s="42">
        <v>148.94515009659509</v>
      </c>
      <c r="K813" s="42">
        <v>160.23290223644719</v>
      </c>
      <c r="L813" s="42">
        <v>172.55465732005547</v>
      </c>
      <c r="M813" s="42">
        <v>186.03846666560906</v>
      </c>
      <c r="N813" s="42">
        <v>200.81294165682704</v>
      </c>
      <c r="O813" s="42">
        <v>216.85480075080324</v>
      </c>
      <c r="P813" s="42">
        <v>233.98409080243528</v>
      </c>
      <c r="Q813" s="42">
        <v>252.1771088099739</v>
      </c>
      <c r="R813" s="42">
        <v>271.47420166678501</v>
      </c>
      <c r="S813" s="22"/>
      <c r="T813" s="22"/>
    </row>
    <row r="814" spans="1:20" x14ac:dyDescent="0.35">
      <c r="A814" s="21" t="s">
        <v>15</v>
      </c>
      <c r="B814" s="17" t="s">
        <v>84</v>
      </c>
      <c r="C814" s="13" t="s">
        <v>88</v>
      </c>
      <c r="D814" s="13" t="s">
        <v>88</v>
      </c>
      <c r="E814" s="13" t="s">
        <v>88</v>
      </c>
      <c r="F814" s="14">
        <v>71.586173745641318</v>
      </c>
      <c r="G814" s="14">
        <v>76.265833765451006</v>
      </c>
      <c r="H814" s="14">
        <v>81.281792810398144</v>
      </c>
      <c r="I814" s="14">
        <v>86.629125603000404</v>
      </c>
      <c r="J814" s="14">
        <v>92.371725008815361</v>
      </c>
      <c r="K814" s="14">
        <v>98.559430499750434</v>
      </c>
      <c r="L814" s="14">
        <v>105.36468058946591</v>
      </c>
      <c r="M814" s="14">
        <v>112.85877636419812</v>
      </c>
      <c r="N814" s="14">
        <v>121.04065627854203</v>
      </c>
      <c r="O814" s="14">
        <v>129.90311845591339</v>
      </c>
      <c r="P814" s="14">
        <v>139.35805629468874</v>
      </c>
      <c r="Q814" s="14">
        <v>149.35574699613707</v>
      </c>
      <c r="R814" s="14">
        <v>159.91006770851641</v>
      </c>
      <c r="S814" s="22"/>
      <c r="T814" s="22"/>
    </row>
    <row r="815" spans="1:20" x14ac:dyDescent="0.35">
      <c r="A815" s="21" t="s">
        <v>15</v>
      </c>
      <c r="B815" s="17" t="s">
        <v>84</v>
      </c>
      <c r="C815" s="13" t="s">
        <v>89</v>
      </c>
      <c r="D815" s="13" t="s">
        <v>89</v>
      </c>
      <c r="E815" s="13" t="s">
        <v>89</v>
      </c>
      <c r="F815" s="14">
        <v>18.688112993310348</v>
      </c>
      <c r="G815" s="14">
        <v>19.785587720999608</v>
      </c>
      <c r="H815" s="14">
        <v>20.943676332124227</v>
      </c>
      <c r="I815" s="14">
        <v>22.16271071236082</v>
      </c>
      <c r="J815" s="14">
        <v>23.462644566962762</v>
      </c>
      <c r="K815" s="14">
        <v>24.857800871099332</v>
      </c>
      <c r="L815" s="14">
        <v>26.392474753055712</v>
      </c>
      <c r="M815" s="14">
        <v>28.077273586980112</v>
      </c>
      <c r="N815" s="14">
        <v>29.90496079242655</v>
      </c>
      <c r="O815" s="14">
        <v>31.871935031605155</v>
      </c>
      <c r="P815" s="14">
        <v>33.95997061151283</v>
      </c>
      <c r="Q815" s="14">
        <v>36.158782045234389</v>
      </c>
      <c r="R815" s="14">
        <v>38.464724215985996</v>
      </c>
      <c r="S815" s="22"/>
      <c r="T815" s="22"/>
    </row>
    <row r="816" spans="1:20" x14ac:dyDescent="0.35">
      <c r="A816" s="21" t="s">
        <v>15</v>
      </c>
      <c r="B816" s="17" t="s">
        <v>84</v>
      </c>
      <c r="C816" s="13" t="s">
        <v>90</v>
      </c>
      <c r="D816" s="13" t="s">
        <v>90</v>
      </c>
      <c r="E816" s="13" t="s">
        <v>90</v>
      </c>
      <c r="F816" s="14">
        <v>40.282269001425213</v>
      </c>
      <c r="G816" s="14">
        <v>42.463027885127936</v>
      </c>
      <c r="H816" s="14">
        <v>44.725997265796664</v>
      </c>
      <c r="I816" s="14">
        <v>47.070271429557522</v>
      </c>
      <c r="J816" s="14">
        <v>49.536400979954024</v>
      </c>
      <c r="K816" s="14">
        <v>52.160480838621389</v>
      </c>
      <c r="L816" s="14">
        <v>55.043768791195276</v>
      </c>
      <c r="M816" s="14">
        <v>58.200471513518337</v>
      </c>
      <c r="N816" s="14">
        <v>61.610333877363772</v>
      </c>
      <c r="O816" s="14">
        <v>65.269492011900525</v>
      </c>
      <c r="P816" s="14">
        <v>69.154292577081861</v>
      </c>
      <c r="Q816" s="14">
        <v>73.249454963135946</v>
      </c>
      <c r="R816" s="14">
        <v>77.532472714274704</v>
      </c>
      <c r="S816" s="22"/>
      <c r="T816" s="22"/>
    </row>
    <row r="817" spans="1:32" x14ac:dyDescent="0.35">
      <c r="A817" s="21" t="s">
        <v>15</v>
      </c>
      <c r="B817" s="17" t="s">
        <v>91</v>
      </c>
      <c r="C817" s="13" t="s">
        <v>92</v>
      </c>
      <c r="D817" s="13" t="s">
        <v>92</v>
      </c>
      <c r="E817" s="13" t="s">
        <v>92</v>
      </c>
      <c r="F817" s="14">
        <v>138.79691144070054</v>
      </c>
      <c r="G817" s="14">
        <v>148.55524082067802</v>
      </c>
      <c r="H817" s="14">
        <v>159.2461508327672</v>
      </c>
      <c r="I817" s="14">
        <v>170.69908143829218</v>
      </c>
      <c r="J817" s="14">
        <v>182.75282585417622</v>
      </c>
      <c r="K817" s="14">
        <v>195.54470066948238</v>
      </c>
      <c r="L817" s="14">
        <v>209.34540445478146</v>
      </c>
      <c r="M817" s="14">
        <v>224.60772126420272</v>
      </c>
      <c r="N817" s="14">
        <v>241.56566816786281</v>
      </c>
      <c r="O817" s="14">
        <v>260.08967966068195</v>
      </c>
      <c r="P817" s="14">
        <v>280.07848566920177</v>
      </c>
      <c r="Q817" s="14">
        <v>301.24597809733376</v>
      </c>
      <c r="R817" s="14">
        <v>323.6425755815236</v>
      </c>
      <c r="S817" s="22"/>
      <c r="T817" s="22"/>
    </row>
    <row r="818" spans="1:32" x14ac:dyDescent="0.35">
      <c r="A818" s="21" t="s">
        <v>15</v>
      </c>
      <c r="B818" s="17" t="s">
        <v>91</v>
      </c>
      <c r="C818" s="13" t="s">
        <v>93</v>
      </c>
      <c r="D818" s="13" t="s">
        <v>93</v>
      </c>
      <c r="E818" s="13" t="s">
        <v>93</v>
      </c>
      <c r="F818" s="14">
        <v>184.83503934965367</v>
      </c>
      <c r="G818" s="14">
        <v>194.66676646132819</v>
      </c>
      <c r="H818" s="14">
        <v>205.18219412542371</v>
      </c>
      <c r="I818" s="14">
        <v>216.45850521113422</v>
      </c>
      <c r="J818" s="14">
        <v>228.74141394582341</v>
      </c>
      <c r="K818" s="14">
        <v>241.96516927044183</v>
      </c>
      <c r="L818" s="14">
        <v>256.52229705697232</v>
      </c>
      <c r="M818" s="14">
        <v>272.2975103175832</v>
      </c>
      <c r="N818" s="14">
        <v>289.20725844640629</v>
      </c>
      <c r="O818" s="14">
        <v>307.34582175477829</v>
      </c>
      <c r="P818" s="14">
        <v>326.36767422835891</v>
      </c>
      <c r="Q818" s="14">
        <v>346.32907599207988</v>
      </c>
      <c r="R818" s="14">
        <v>367.22774447655632</v>
      </c>
      <c r="S818" s="22"/>
      <c r="T818" s="22"/>
    </row>
    <row r="819" spans="1:32" x14ac:dyDescent="0.35">
      <c r="A819" s="21" t="s">
        <v>15</v>
      </c>
      <c r="B819" s="17" t="s">
        <v>94</v>
      </c>
      <c r="C819" s="13" t="s">
        <v>95</v>
      </c>
      <c r="D819" s="13" t="s">
        <v>95</v>
      </c>
      <c r="E819" s="13" t="s">
        <v>95</v>
      </c>
      <c r="F819" s="14">
        <v>45.660404213180456</v>
      </c>
      <c r="G819" s="14">
        <v>49.17150270752105</v>
      </c>
      <c r="H819" s="14">
        <v>53.020547267525878</v>
      </c>
      <c r="I819" s="14">
        <v>57.26559558306915</v>
      </c>
      <c r="J819" s="14">
        <v>61.942383551549</v>
      </c>
      <c r="K819" s="14">
        <v>67.126759702516239</v>
      </c>
      <c r="L819" s="14">
        <v>72.856339246599248</v>
      </c>
      <c r="M819" s="14">
        <v>79.174422368000108</v>
      </c>
      <c r="N819" s="14">
        <v>86.05880844100119</v>
      </c>
      <c r="O819" s="14">
        <v>93.544219879509541</v>
      </c>
      <c r="P819" s="14">
        <v>101.58456205884586</v>
      </c>
      <c r="Q819" s="14">
        <v>110.1462050427638</v>
      </c>
      <c r="R819" s="14">
        <v>119.28828435092208</v>
      </c>
      <c r="S819" s="22"/>
      <c r="T819" s="22"/>
    </row>
    <row r="820" spans="1:32" x14ac:dyDescent="0.35">
      <c r="A820" s="21" t="s">
        <v>15</v>
      </c>
      <c r="B820" s="17" t="s">
        <v>94</v>
      </c>
      <c r="C820" s="40" t="s">
        <v>96</v>
      </c>
      <c r="D820" s="40" t="s">
        <v>96</v>
      </c>
      <c r="E820" s="40" t="s">
        <v>96</v>
      </c>
      <c r="F820" s="42">
        <v>35.198298730393425</v>
      </c>
      <c r="G820" s="42">
        <v>37.937135319358688</v>
      </c>
      <c r="H820" s="42">
        <v>40.947333735449732</v>
      </c>
      <c r="I820" s="42">
        <v>43.899891324051438</v>
      </c>
      <c r="J820" s="42">
        <v>46.846627732077351</v>
      </c>
      <c r="K820" s="42">
        <v>49.618206983139288</v>
      </c>
      <c r="L820" s="42">
        <v>52.71206670320953</v>
      </c>
      <c r="M820" s="42">
        <v>56.420059548892198</v>
      </c>
      <c r="N820" s="42">
        <v>60.976456731272975</v>
      </c>
      <c r="O820" s="42">
        <v>66.22805871209772</v>
      </c>
      <c r="P820" s="42">
        <v>71.9091593475911</v>
      </c>
      <c r="Q820" s="42">
        <v>77.874045749514863</v>
      </c>
      <c r="R820" s="42">
        <v>84.172814074545528</v>
      </c>
      <c r="S820" s="22"/>
      <c r="T820" s="22"/>
    </row>
    <row r="821" spans="1:32" x14ac:dyDescent="0.35">
      <c r="A821" s="21" t="s">
        <v>15</v>
      </c>
      <c r="B821" s="17" t="s">
        <v>94</v>
      </c>
      <c r="C821" s="13" t="s">
        <v>97</v>
      </c>
      <c r="D821" s="13" t="s">
        <v>97</v>
      </c>
      <c r="E821" s="13" t="s">
        <v>97</v>
      </c>
      <c r="F821" s="14">
        <v>51.894975566291343</v>
      </c>
      <c r="G821" s="14">
        <v>54.66828039126802</v>
      </c>
      <c r="H821" s="14">
        <v>57.654226978221665</v>
      </c>
      <c r="I821" s="14">
        <v>60.879689397846171</v>
      </c>
      <c r="J821" s="14">
        <v>64.313379952833372</v>
      </c>
      <c r="K821" s="14">
        <v>67.991735324817256</v>
      </c>
      <c r="L821" s="14">
        <v>71.935320976276401</v>
      </c>
      <c r="M821" s="14">
        <v>76.160489235454563</v>
      </c>
      <c r="N821" s="14">
        <v>80.664860634853866</v>
      </c>
      <c r="O821" s="14">
        <v>85.477470862305509</v>
      </c>
      <c r="P821" s="14">
        <v>90.560019655495637</v>
      </c>
      <c r="Q821" s="14">
        <v>95.878107448915998</v>
      </c>
      <c r="R821" s="14">
        <v>101.42825144911023</v>
      </c>
      <c r="S821" s="22"/>
      <c r="T821" s="22"/>
    </row>
    <row r="822" spans="1:32" x14ac:dyDescent="0.35">
      <c r="A822" s="21" t="s">
        <v>15</v>
      </c>
      <c r="B822" s="17" t="s">
        <v>94</v>
      </c>
      <c r="C822" s="13" t="s">
        <v>98</v>
      </c>
      <c r="D822" s="13" t="s">
        <v>98</v>
      </c>
      <c r="E822" s="13" t="s">
        <v>98</v>
      </c>
      <c r="F822" s="14">
        <v>88.976104488831538</v>
      </c>
      <c r="G822" s="14">
        <v>94.146253633099192</v>
      </c>
      <c r="H822" s="14">
        <v>99.72507304645535</v>
      </c>
      <c r="I822" s="14">
        <v>105.77009761622216</v>
      </c>
      <c r="J822" s="14">
        <v>112.31489275121197</v>
      </c>
      <c r="K822" s="14">
        <v>119.42729475167873</v>
      </c>
      <c r="L822" s="14">
        <v>127.16279009864442</v>
      </c>
      <c r="M822" s="14">
        <v>135.50272015476571</v>
      </c>
      <c r="N822" s="14">
        <v>144.41174803818944</v>
      </c>
      <c r="O822" s="14">
        <v>153.86661057552419</v>
      </c>
      <c r="P822" s="14">
        <v>163.82487046272163</v>
      </c>
      <c r="Q822" s="14">
        <v>174.33238036915748</v>
      </c>
      <c r="R822" s="14">
        <v>185.35448401111825</v>
      </c>
      <c r="S822" s="22"/>
      <c r="T822" s="22"/>
    </row>
    <row r="823" spans="1:32" x14ac:dyDescent="0.35">
      <c r="A823" s="21" t="s">
        <v>15</v>
      </c>
      <c r="B823" s="17" t="s">
        <v>94</v>
      </c>
      <c r="C823" s="13" t="s">
        <v>48</v>
      </c>
      <c r="D823" s="13" t="s">
        <v>48</v>
      </c>
      <c r="E823" s="13" t="s">
        <v>48</v>
      </c>
      <c r="F823" s="14">
        <v>43.657661033957879</v>
      </c>
      <c r="G823" s="14">
        <v>46.56601515288537</v>
      </c>
      <c r="H823" s="14">
        <v>49.731556761262993</v>
      </c>
      <c r="I823" s="14">
        <v>53.163618539174635</v>
      </c>
      <c r="J823" s="14">
        <v>56.858295623852598</v>
      </c>
      <c r="K823" s="14">
        <v>60.849310909732367</v>
      </c>
      <c r="L823" s="14">
        <v>65.188422339762297</v>
      </c>
      <c r="M823" s="14">
        <v>69.906622113246897</v>
      </c>
      <c r="N823" s="14">
        <v>75.017596312611659</v>
      </c>
      <c r="O823" s="14">
        <v>80.523258917528011</v>
      </c>
      <c r="P823" s="14">
        <v>86.386515952414598</v>
      </c>
      <c r="Q823" s="14">
        <v>92.605130062684623</v>
      </c>
      <c r="R823" s="14">
        <v>99.186180182485458</v>
      </c>
      <c r="S823" s="14"/>
      <c r="T823" s="14"/>
    </row>
    <row r="824" spans="1:32" x14ac:dyDescent="0.35">
      <c r="A824" s="21" t="s">
        <v>15</v>
      </c>
      <c r="B824" s="17" t="s">
        <v>94</v>
      </c>
      <c r="C824" s="13" t="s">
        <v>99</v>
      </c>
      <c r="D824" s="13" t="s">
        <v>99</v>
      </c>
      <c r="E824" s="13" t="s">
        <v>99</v>
      </c>
      <c r="F824" s="14">
        <v>21.914525191268126</v>
      </c>
      <c r="G824" s="14">
        <v>22.736905826533665</v>
      </c>
      <c r="H824" s="14">
        <v>23.587648672735952</v>
      </c>
      <c r="I824" s="14">
        <v>24.480151931524773</v>
      </c>
      <c r="J824" s="14">
        <v>25.441680889656489</v>
      </c>
      <c r="K824" s="14">
        <v>26.499771904438415</v>
      </c>
      <c r="L824" s="14">
        <v>27.67321433793515</v>
      </c>
      <c r="M824" s="14">
        <v>28.950243242665888</v>
      </c>
      <c r="N824" s="14">
        <v>30.293319877487065</v>
      </c>
      <c r="O824" s="14">
        <v>31.686097911310782</v>
      </c>
      <c r="P824" s="14">
        <v>33.111826114300086</v>
      </c>
      <c r="Q824" s="14">
        <v>34.569572019164376</v>
      </c>
      <c r="R824" s="14">
        <v>36.055254723591979</v>
      </c>
      <c r="S824" s="14"/>
      <c r="T824" s="14"/>
    </row>
    <row r="825" spans="1:32" x14ac:dyDescent="0.35">
      <c r="A825" s="21" t="s">
        <v>15</v>
      </c>
      <c r="B825" s="17" t="s">
        <v>94</v>
      </c>
      <c r="C825" s="13" t="s">
        <v>100</v>
      </c>
      <c r="D825" s="13" t="s">
        <v>100</v>
      </c>
      <c r="E825" s="13" t="s">
        <v>100</v>
      </c>
      <c r="F825" s="14">
        <v>36.329981566431442</v>
      </c>
      <c r="G825" s="14">
        <v>37.99591425134026</v>
      </c>
      <c r="H825" s="14">
        <v>39.761958496539293</v>
      </c>
      <c r="I825" s="14">
        <v>41.698542257538122</v>
      </c>
      <c r="J825" s="14">
        <v>43.776979298818866</v>
      </c>
      <c r="K825" s="14">
        <v>45.996790363601924</v>
      </c>
      <c r="L825" s="14">
        <v>48.339547809326682</v>
      </c>
      <c r="M825" s="14">
        <v>50.790674918760587</v>
      </c>
      <c r="N825" s="14">
        <v>53.350136578852926</v>
      </c>
      <c r="O825" s="14">
        <v>56.109784557184554</v>
      </c>
      <c r="P825" s="14">
        <v>59.069206306191717</v>
      </c>
      <c r="Q825" s="14">
        <v>62.169613397212444</v>
      </c>
      <c r="R825" s="14">
        <v>65.385051266306348</v>
      </c>
      <c r="S825" s="14"/>
      <c r="T825" s="14"/>
      <c r="U825" s="12"/>
      <c r="V825" s="12"/>
      <c r="W825" s="12"/>
      <c r="X825" s="12"/>
      <c r="Y825" s="12"/>
      <c r="Z825" s="12"/>
      <c r="AA825" s="12"/>
      <c r="AB825" s="12"/>
      <c r="AC825" s="12"/>
      <c r="AD825" s="12"/>
      <c r="AE825" s="12"/>
      <c r="AF825" s="12"/>
    </row>
    <row r="826" spans="1:32" x14ac:dyDescent="0.35">
      <c r="A826" s="21" t="s">
        <v>15</v>
      </c>
      <c r="B826" s="17" t="s">
        <v>30</v>
      </c>
      <c r="C826" t="s">
        <v>23</v>
      </c>
      <c r="D826" t="s">
        <v>23</v>
      </c>
      <c r="E826" t="s">
        <v>23</v>
      </c>
      <c r="F826" s="14">
        <v>132.79328193822806</v>
      </c>
      <c r="G826" s="14">
        <v>141.99754609932307</v>
      </c>
      <c r="H826" s="14">
        <v>152.09122419904293</v>
      </c>
      <c r="I826" s="14">
        <v>162.96296032855554</v>
      </c>
      <c r="J826" s="14">
        <v>174.55585652315983</v>
      </c>
      <c r="K826" s="14">
        <v>186.80442078514778</v>
      </c>
      <c r="L826" s="14">
        <v>200.06792697050122</v>
      </c>
      <c r="M826" s="14">
        <v>214.60474353875873</v>
      </c>
      <c r="N826" s="14">
        <v>230.6642238175416</v>
      </c>
      <c r="O826" s="14">
        <v>248.29236760959981</v>
      </c>
      <c r="P826" s="14">
        <v>267.26121295227699</v>
      </c>
      <c r="Q826" s="14">
        <v>287.41313623158538</v>
      </c>
      <c r="R826" s="14">
        <v>308.78858248337332</v>
      </c>
      <c r="S826" s="14"/>
      <c r="T826" s="14"/>
      <c r="U826" s="12"/>
      <c r="V826" s="12"/>
      <c r="W826" s="12"/>
      <c r="X826" s="12"/>
      <c r="Y826" s="12"/>
      <c r="Z826" s="12"/>
      <c r="AA826" s="12"/>
      <c r="AB826" s="12"/>
      <c r="AC826" s="12"/>
      <c r="AD826" s="12"/>
      <c r="AE826" s="12"/>
      <c r="AF826" s="12"/>
    </row>
    <row r="827" spans="1:32" x14ac:dyDescent="0.35">
      <c r="A827" s="21" t="s">
        <v>15</v>
      </c>
      <c r="B827" s="17" t="s">
        <v>30</v>
      </c>
      <c r="C827" t="s">
        <v>24</v>
      </c>
      <c r="D827" t="s">
        <v>24</v>
      </c>
      <c r="E827" t="s">
        <v>24</v>
      </c>
      <c r="F827" s="14">
        <v>33.836298896698736</v>
      </c>
      <c r="G827" s="14">
        <v>35.452276022283385</v>
      </c>
      <c r="H827" s="14">
        <v>37.149389718445335</v>
      </c>
      <c r="I827" s="14">
        <v>38.906964607296004</v>
      </c>
      <c r="J827" s="14">
        <v>40.742003940594024</v>
      </c>
      <c r="K827" s="14">
        <v>42.656608306896331</v>
      </c>
      <c r="L827" s="14">
        <v>44.742022467248617</v>
      </c>
      <c r="M827" s="14">
        <v>47.022438162711033</v>
      </c>
      <c r="N827" s="14">
        <v>49.503340589288939</v>
      </c>
      <c r="O827" s="14">
        <v>52.176017481827991</v>
      </c>
      <c r="P827" s="14">
        <v>55.001363356785703</v>
      </c>
      <c r="Q827" s="14">
        <v>57.954077256838659</v>
      </c>
      <c r="R827" s="14">
        <v>61.016215568201041</v>
      </c>
      <c r="S827" s="14"/>
      <c r="T827" s="14"/>
      <c r="U827" s="12"/>
      <c r="V827" s="12"/>
      <c r="W827" s="12"/>
      <c r="X827" s="12"/>
      <c r="Y827" s="12"/>
      <c r="Z827" s="12"/>
      <c r="AA827" s="12"/>
      <c r="AB827" s="12"/>
      <c r="AC827" s="12"/>
      <c r="AD827" s="12"/>
      <c r="AE827" s="12"/>
      <c r="AF827" s="12"/>
    </row>
    <row r="828" spans="1:32" x14ac:dyDescent="0.35">
      <c r="A828" s="21" t="s">
        <v>15</v>
      </c>
      <c r="B828" s="17" t="s">
        <v>30</v>
      </c>
      <c r="C828" t="s">
        <v>25</v>
      </c>
      <c r="D828" t="s">
        <v>25</v>
      </c>
      <c r="E828" t="s">
        <v>25</v>
      </c>
      <c r="F828" s="14">
        <v>87.590193909098204</v>
      </c>
      <c r="G828" s="14">
        <v>92.107905709355379</v>
      </c>
      <c r="H828" s="14">
        <v>97.032448636991944</v>
      </c>
      <c r="I828" s="14">
        <v>102.34000145836943</v>
      </c>
      <c r="J828" s="14">
        <v>108.0583873714799</v>
      </c>
      <c r="K828" s="14">
        <v>114.23247690669083</v>
      </c>
      <c r="L828" s="14">
        <v>120.97289381627368</v>
      </c>
      <c r="M828" s="14">
        <v>128.3661379130719</v>
      </c>
      <c r="N828" s="14">
        <v>136.37804780868416</v>
      </c>
      <c r="O828" s="14">
        <v>144.9444611948602</v>
      </c>
      <c r="P828" s="14">
        <v>153.87355398716574</v>
      </c>
      <c r="Q828" s="14">
        <v>163.05788154775547</v>
      </c>
      <c r="R828" s="14">
        <v>172.56907192728755</v>
      </c>
      <c r="S828" s="14"/>
      <c r="T828" s="14"/>
      <c r="U828" s="12"/>
      <c r="V828" s="12"/>
      <c r="W828" s="12"/>
      <c r="X828" s="12"/>
      <c r="Y828" s="12"/>
      <c r="Z828" s="12"/>
      <c r="AA828" s="12"/>
      <c r="AB828" s="12"/>
      <c r="AC828" s="12"/>
      <c r="AD828" s="12"/>
      <c r="AE828" s="12"/>
      <c r="AF828" s="12"/>
    </row>
    <row r="829" spans="1:32" x14ac:dyDescent="0.35">
      <c r="A829" s="21" t="s">
        <v>15</v>
      </c>
      <c r="B829" s="17" t="s">
        <v>30</v>
      </c>
      <c r="C829" t="s">
        <v>16</v>
      </c>
      <c r="D829" t="s">
        <v>16</v>
      </c>
      <c r="E829" t="s">
        <v>16</v>
      </c>
      <c r="F829" s="14">
        <v>69.412176046329193</v>
      </c>
      <c r="G829" s="14">
        <v>73.664279451044393</v>
      </c>
      <c r="H829" s="14">
        <v>78.155282403710686</v>
      </c>
      <c r="I829" s="14">
        <v>82.947660255205463</v>
      </c>
      <c r="J829" s="14">
        <v>88.137991964765874</v>
      </c>
      <c r="K829" s="14">
        <v>93.816363941189266</v>
      </c>
      <c r="L829" s="14">
        <v>100.08485825773022</v>
      </c>
      <c r="M829" s="14">
        <v>106.91191196724427</v>
      </c>
      <c r="N829" s="14">
        <v>114.22731439875442</v>
      </c>
      <c r="O829" s="14">
        <v>122.02265512917228</v>
      </c>
      <c r="P829" s="14">
        <v>130.31002960133222</v>
      </c>
      <c r="Q829" s="14">
        <v>139.14995905323411</v>
      </c>
      <c r="R829" s="14">
        <v>148.49645007921799</v>
      </c>
      <c r="S829" s="14"/>
      <c r="T829" s="14"/>
      <c r="U829" s="12"/>
      <c r="V829" s="12"/>
      <c r="W829" s="12"/>
      <c r="X829" s="12"/>
      <c r="Y829" s="12"/>
      <c r="Z829" s="12"/>
      <c r="AA829" s="12"/>
      <c r="AB829" s="12"/>
      <c r="AC829" s="12"/>
      <c r="AD829" s="12"/>
      <c r="AE829" s="12"/>
      <c r="AF829" s="12"/>
    </row>
    <row r="830" spans="1:32" x14ac:dyDescent="0.35">
      <c r="A830" t="s">
        <v>23</v>
      </c>
      <c r="B830" s="17" t="s">
        <v>54</v>
      </c>
      <c r="C830" s="13" t="s">
        <v>55</v>
      </c>
      <c r="D830" s="13" t="s">
        <v>55</v>
      </c>
      <c r="E830" s="13" t="s">
        <v>55</v>
      </c>
      <c r="F830" s="14">
        <v>11.719323406492601</v>
      </c>
      <c r="G830" s="14">
        <v>12.90116441874069</v>
      </c>
      <c r="H830" s="14">
        <v>14.224994814459608</v>
      </c>
      <c r="I830" s="14">
        <v>15.690601583215498</v>
      </c>
      <c r="J830" s="14">
        <v>17.281029795792826</v>
      </c>
      <c r="K830" s="14">
        <v>19.023463896828744</v>
      </c>
      <c r="L830" s="14">
        <v>20.943449760764473</v>
      </c>
      <c r="M830" s="14">
        <v>23.087384325831405</v>
      </c>
      <c r="N830" s="14">
        <v>25.485905677371715</v>
      </c>
      <c r="O830" s="14">
        <v>28.16382126879525</v>
      </c>
      <c r="P830" s="14">
        <v>31.112016627948069</v>
      </c>
      <c r="Q830" s="14">
        <v>34.31962397499742</v>
      </c>
      <c r="R830" s="14">
        <v>37.830492393925638</v>
      </c>
      <c r="S830" s="22"/>
      <c r="T830" s="22"/>
      <c r="U830" s="12"/>
      <c r="V830" s="12"/>
      <c r="W830" s="12"/>
      <c r="X830" s="12"/>
      <c r="Y830" s="12"/>
      <c r="Z830" s="12"/>
      <c r="AA830" s="12"/>
      <c r="AB830" s="12"/>
      <c r="AC830" s="12"/>
      <c r="AD830" s="12"/>
      <c r="AE830" s="12"/>
      <c r="AF830" s="12"/>
    </row>
    <row r="831" spans="1:32" x14ac:dyDescent="0.35">
      <c r="A831" t="s">
        <v>23</v>
      </c>
      <c r="B831" s="17" t="s">
        <v>54</v>
      </c>
      <c r="C831" s="13" t="s">
        <v>56</v>
      </c>
      <c r="D831" s="13" t="s">
        <v>56</v>
      </c>
      <c r="E831" s="13" t="s">
        <v>56</v>
      </c>
      <c r="F831" s="14">
        <v>42.647033104128987</v>
      </c>
      <c r="G831" s="14">
        <v>45.650171724800863</v>
      </c>
      <c r="H831" s="14">
        <v>48.912610747641196</v>
      </c>
      <c r="I831" s="14">
        <v>52.477496378083501</v>
      </c>
      <c r="J831" s="14">
        <v>56.381541656980637</v>
      </c>
      <c r="K831" s="14">
        <v>60.665969023644557</v>
      </c>
      <c r="L831" s="14">
        <v>65.368412952558501</v>
      </c>
      <c r="M831" s="14">
        <v>70.480962975386191</v>
      </c>
      <c r="N831" s="14">
        <v>75.992197613823961</v>
      </c>
      <c r="O831" s="14">
        <v>81.899461123559206</v>
      </c>
      <c r="P831" s="14">
        <v>88.198066988266703</v>
      </c>
      <c r="Q831" s="14">
        <v>94.93382800173832</v>
      </c>
      <c r="R831" s="14">
        <v>102.09192013148133</v>
      </c>
      <c r="S831" s="22"/>
      <c r="T831" s="22"/>
      <c r="U831" s="12"/>
      <c r="V831" s="12"/>
      <c r="W831" s="12"/>
      <c r="X831" s="12"/>
      <c r="Y831" s="12"/>
      <c r="Z831" s="12"/>
      <c r="AA831" s="12"/>
      <c r="AB831" s="12"/>
      <c r="AC831" s="12"/>
      <c r="AD831" s="12"/>
      <c r="AE831" s="12"/>
      <c r="AF831" s="12"/>
    </row>
    <row r="832" spans="1:32" x14ac:dyDescent="0.35">
      <c r="A832" t="s">
        <v>23</v>
      </c>
      <c r="B832" s="17" t="s">
        <v>54</v>
      </c>
      <c r="C832" s="13" t="s">
        <v>57</v>
      </c>
      <c r="D832" s="13" t="s">
        <v>57</v>
      </c>
      <c r="E832" s="13" t="s">
        <v>57</v>
      </c>
      <c r="F832" s="14">
        <v>78.426925427606491</v>
      </c>
      <c r="G832" s="14">
        <v>83.446209955781512</v>
      </c>
      <c r="H832" s="14">
        <v>88.95361863694211</v>
      </c>
      <c r="I832" s="14">
        <v>94.794862367256542</v>
      </c>
      <c r="J832" s="14">
        <v>100.89328507038637</v>
      </c>
      <c r="K832" s="14">
        <v>107.11498786467449</v>
      </c>
      <c r="L832" s="14">
        <v>113.75606425717827</v>
      </c>
      <c r="M832" s="14">
        <v>121.03639623754114</v>
      </c>
      <c r="N832" s="14">
        <v>129.18612052634592</v>
      </c>
      <c r="O832" s="14">
        <v>138.22908521724537</v>
      </c>
      <c r="P832" s="14">
        <v>147.95112933606222</v>
      </c>
      <c r="Q832" s="14">
        <v>158.15968425484965</v>
      </c>
      <c r="R832" s="14">
        <v>168.86616995796635</v>
      </c>
      <c r="S832" s="22"/>
      <c r="T832" s="22"/>
      <c r="U832" s="12"/>
      <c r="V832" s="12"/>
      <c r="W832" s="12"/>
      <c r="X832" s="12"/>
      <c r="Y832" s="12"/>
      <c r="Z832" s="12"/>
      <c r="AA832" s="12"/>
      <c r="AB832" s="12"/>
      <c r="AC832" s="12"/>
      <c r="AD832" s="12"/>
      <c r="AE832" s="12"/>
      <c r="AF832" s="12"/>
    </row>
    <row r="833" spans="1:32" x14ac:dyDescent="0.35">
      <c r="A833" t="s">
        <v>23</v>
      </c>
      <c r="B833" s="17" t="s">
        <v>59</v>
      </c>
      <c r="C833" s="18" t="s">
        <v>60</v>
      </c>
      <c r="D833" s="38" t="s">
        <v>61</v>
      </c>
      <c r="E833" s="39" t="s">
        <v>62</v>
      </c>
      <c r="F833" s="22">
        <v>4.6027343633436084</v>
      </c>
      <c r="G833" s="22">
        <v>5.0723268239550716</v>
      </c>
      <c r="H833" s="22">
        <v>5.5987959082996541</v>
      </c>
      <c r="I833" s="22">
        <v>6.1822439837285135</v>
      </c>
      <c r="J833" s="22">
        <v>6.8161775290573461</v>
      </c>
      <c r="K833" s="22">
        <v>7.5114853741557583</v>
      </c>
      <c r="L833" s="22">
        <v>8.2784562621215851</v>
      </c>
      <c r="M833" s="22">
        <v>9.135665223774696</v>
      </c>
      <c r="N833" s="22">
        <v>10.095531324781112</v>
      </c>
      <c r="O833" s="22">
        <v>11.168217336639851</v>
      </c>
      <c r="P833" s="22">
        <v>12.350478181501979</v>
      </c>
      <c r="Q833" s="22">
        <v>13.638359328055612</v>
      </c>
      <c r="R833" s="22">
        <v>15.049633898987935</v>
      </c>
      <c r="S833" s="22"/>
      <c r="T833" s="22"/>
      <c r="U833" s="12"/>
      <c r="V833" s="12"/>
      <c r="W833" s="12"/>
      <c r="X833" s="12"/>
      <c r="Y833" s="12"/>
      <c r="Z833" s="12"/>
      <c r="AA833" s="12"/>
      <c r="AB833" s="12"/>
      <c r="AC833" s="12"/>
      <c r="AD833" s="12"/>
      <c r="AE833" s="12"/>
      <c r="AF833" s="12"/>
    </row>
    <row r="834" spans="1:32" x14ac:dyDescent="0.35">
      <c r="A834" t="s">
        <v>23</v>
      </c>
      <c r="B834" s="17" t="s">
        <v>59</v>
      </c>
      <c r="C834" s="18" t="s">
        <v>60</v>
      </c>
      <c r="D834" s="38" t="s">
        <v>61</v>
      </c>
      <c r="E834" s="39" t="s">
        <v>63</v>
      </c>
      <c r="F834" s="22">
        <v>11.444440391361184</v>
      </c>
      <c r="G834" s="22">
        <v>12.275279732183462</v>
      </c>
      <c r="H834" s="22">
        <v>13.179295863582098</v>
      </c>
      <c r="I834" s="22">
        <v>14.16855916450689</v>
      </c>
      <c r="J834" s="22">
        <v>15.253499983944545</v>
      </c>
      <c r="K834" s="22">
        <v>16.445851839873583</v>
      </c>
      <c r="L834" s="22">
        <v>17.756469073084574</v>
      </c>
      <c r="M834" s="22">
        <v>19.18392041413432</v>
      </c>
      <c r="N834" s="22">
        <v>20.725805543298645</v>
      </c>
      <c r="O834" s="22">
        <v>22.382093882269643</v>
      </c>
      <c r="P834" s="22">
        <v>24.152198188700279</v>
      </c>
      <c r="Q834" s="22">
        <v>26.04935381453928</v>
      </c>
      <c r="R834" s="22">
        <v>28.070263496062804</v>
      </c>
      <c r="S834" s="22"/>
      <c r="T834" s="22"/>
      <c r="U834" s="12"/>
      <c r="V834" s="12"/>
      <c r="W834" s="12"/>
      <c r="X834" s="12"/>
      <c r="Y834" s="12"/>
      <c r="Z834" s="12"/>
      <c r="AA834" s="12"/>
      <c r="AB834" s="12"/>
      <c r="AC834" s="12"/>
      <c r="AD834" s="12"/>
      <c r="AE834" s="12"/>
      <c r="AF834" s="12"/>
    </row>
    <row r="835" spans="1:32" x14ac:dyDescent="0.35">
      <c r="A835" t="s">
        <v>23</v>
      </c>
      <c r="B835" s="17" t="s">
        <v>59</v>
      </c>
      <c r="C835" s="18" t="s">
        <v>60</v>
      </c>
      <c r="D835" s="38" t="s">
        <v>61</v>
      </c>
      <c r="E835" s="39" t="s">
        <v>64</v>
      </c>
      <c r="F835" s="22">
        <v>10.315969380923498</v>
      </c>
      <c r="G835" s="22">
        <v>11.274546981637553</v>
      </c>
      <c r="H835" s="22">
        <v>12.48000830698069</v>
      </c>
      <c r="I835" s="22">
        <v>13.690899126307752</v>
      </c>
      <c r="J835" s="22">
        <v>14.774525346767547</v>
      </c>
      <c r="K835" s="22">
        <v>15.487428151018062</v>
      </c>
      <c r="L835" s="22">
        <v>16.064868894201275</v>
      </c>
      <c r="M835" s="22">
        <v>16.698734627780183</v>
      </c>
      <c r="N835" s="22">
        <v>17.68841747668381</v>
      </c>
      <c r="O835" s="22">
        <v>18.996253407347062</v>
      </c>
      <c r="P835" s="22">
        <v>20.423107141004756</v>
      </c>
      <c r="Q835" s="22">
        <v>21.854984322888619</v>
      </c>
      <c r="R835" s="22">
        <v>23.287793172122861</v>
      </c>
      <c r="S835" s="22"/>
      <c r="T835" s="22"/>
      <c r="U835" s="12"/>
      <c r="V835" s="12"/>
      <c r="W835" s="12"/>
      <c r="X835" s="12"/>
      <c r="Y835" s="12"/>
      <c r="Z835" s="12"/>
      <c r="AA835" s="12"/>
      <c r="AB835" s="12"/>
      <c r="AC835" s="12"/>
      <c r="AD835" s="12"/>
      <c r="AE835" s="12"/>
      <c r="AF835" s="12"/>
    </row>
    <row r="836" spans="1:32" x14ac:dyDescent="0.35">
      <c r="A836" t="s">
        <v>23</v>
      </c>
      <c r="B836" s="17" t="s">
        <v>59</v>
      </c>
      <c r="C836" s="18" t="s">
        <v>60</v>
      </c>
      <c r="D836" s="38" t="s">
        <v>65</v>
      </c>
      <c r="E836" s="38" t="s">
        <v>65</v>
      </c>
      <c r="F836" s="41">
        <v>23.935682993602505</v>
      </c>
      <c r="G836" s="41">
        <v>25.495137122096846</v>
      </c>
      <c r="H836" s="41">
        <v>27.160866560630375</v>
      </c>
      <c r="I836" s="41">
        <v>29.009707213359864</v>
      </c>
      <c r="J836" s="41">
        <v>31.041966188939607</v>
      </c>
      <c r="K836" s="41">
        <v>33.255445454939604</v>
      </c>
      <c r="L836" s="41">
        <v>35.633458363689172</v>
      </c>
      <c r="M836" s="41">
        <v>38.151820830877469</v>
      </c>
      <c r="N836" s="41">
        <v>40.810982190567202</v>
      </c>
      <c r="O836" s="41">
        <v>43.709235155490838</v>
      </c>
      <c r="P836" s="41">
        <v>46.874986714852035</v>
      </c>
      <c r="Q836" s="41">
        <v>50.275352174368862</v>
      </c>
      <c r="R836" s="41">
        <v>53.881147466603977</v>
      </c>
      <c r="S836" s="22"/>
      <c r="T836" s="22"/>
      <c r="U836" s="12"/>
      <c r="V836" s="12"/>
      <c r="W836" s="12"/>
      <c r="X836" s="12"/>
      <c r="Y836" s="12"/>
      <c r="Z836" s="12"/>
      <c r="AA836" s="12"/>
      <c r="AB836" s="12"/>
      <c r="AC836" s="12"/>
      <c r="AD836" s="12"/>
      <c r="AE836" s="12"/>
      <c r="AF836" s="12"/>
    </row>
    <row r="837" spans="1:32" x14ac:dyDescent="0.35">
      <c r="A837" t="s">
        <v>23</v>
      </c>
      <c r="B837" s="17" t="s">
        <v>59</v>
      </c>
      <c r="C837" s="18" t="s">
        <v>60</v>
      </c>
      <c r="D837" s="38" t="s">
        <v>66</v>
      </c>
      <c r="E837" s="38" t="s">
        <v>66</v>
      </c>
      <c r="F837" s="41">
        <v>15.913995517308253</v>
      </c>
      <c r="G837" s="41">
        <v>16.78172390968971</v>
      </c>
      <c r="H837" s="41">
        <v>17.724735702360412</v>
      </c>
      <c r="I837" s="41">
        <v>18.750279179506332</v>
      </c>
      <c r="J837" s="41">
        <v>19.87266059759218</v>
      </c>
      <c r="K837" s="41">
        <v>21.115220912789013</v>
      </c>
      <c r="L837" s="41">
        <v>22.484742549278419</v>
      </c>
      <c r="M837" s="41">
        <v>23.988060092363902</v>
      </c>
      <c r="N837" s="41">
        <v>25.599884641113903</v>
      </c>
      <c r="O837" s="41">
        <v>27.302945579416612</v>
      </c>
      <c r="P837" s="41">
        <v>29.064698658963117</v>
      </c>
      <c r="Q837" s="41">
        <v>30.872313194844356</v>
      </c>
      <c r="R837" s="41">
        <v>32.743938442384305</v>
      </c>
      <c r="S837" s="22"/>
      <c r="T837" s="22"/>
      <c r="U837" s="12"/>
      <c r="V837" s="12"/>
      <c r="W837" s="12"/>
      <c r="X837" s="12"/>
      <c r="Y837" s="12"/>
      <c r="Z837" s="12"/>
      <c r="AA837" s="12"/>
      <c r="AB837" s="12"/>
      <c r="AC837" s="12"/>
      <c r="AD837" s="12"/>
      <c r="AE837" s="12"/>
      <c r="AF837" s="12"/>
    </row>
    <row r="838" spans="1:32" x14ac:dyDescent="0.35">
      <c r="A838" t="s">
        <v>23</v>
      </c>
      <c r="B838" s="17" t="s">
        <v>59</v>
      </c>
      <c r="C838" s="18" t="s">
        <v>60</v>
      </c>
      <c r="D838" s="38" t="s">
        <v>67</v>
      </c>
      <c r="E838" s="38" t="s">
        <v>67</v>
      </c>
      <c r="F838" s="41">
        <v>9.6897146400196288</v>
      </c>
      <c r="G838" s="41">
        <v>10.219436774757003</v>
      </c>
      <c r="H838" s="41">
        <v>10.796183434835175</v>
      </c>
      <c r="I838" s="41">
        <v>11.409983047731238</v>
      </c>
      <c r="J838" s="41">
        <v>12.039641091971903</v>
      </c>
      <c r="K838" s="41">
        <v>12.697635122793567</v>
      </c>
      <c r="L838" s="41">
        <v>13.392833776698804</v>
      </c>
      <c r="M838" s="41">
        <v>14.145387598901836</v>
      </c>
      <c r="N838" s="41">
        <v>14.961743782914471</v>
      </c>
      <c r="O838" s="41">
        <v>15.842951180481132</v>
      </c>
      <c r="P838" s="41">
        <v>16.769815010184374</v>
      </c>
      <c r="Q838" s="41">
        <v>17.724380756011911</v>
      </c>
      <c r="R838" s="41">
        <v>18.719111111122857</v>
      </c>
      <c r="S838" s="22"/>
      <c r="T838" s="22"/>
      <c r="U838" s="12"/>
      <c r="V838" s="12"/>
      <c r="W838" s="12"/>
      <c r="X838" s="12"/>
      <c r="Y838" s="12"/>
      <c r="Z838" s="12"/>
      <c r="AA838" s="12"/>
      <c r="AB838" s="12"/>
      <c r="AC838" s="12"/>
      <c r="AD838" s="12"/>
      <c r="AE838" s="12"/>
      <c r="AF838" s="12"/>
    </row>
    <row r="839" spans="1:32" x14ac:dyDescent="0.35">
      <c r="A839" t="s">
        <v>23</v>
      </c>
      <c r="B839" s="17" t="s">
        <v>59</v>
      </c>
      <c r="C839" s="18" t="s">
        <v>60</v>
      </c>
      <c r="D839" s="38" t="s">
        <v>68</v>
      </c>
      <c r="E839" s="38" t="s">
        <v>68</v>
      </c>
      <c r="F839" s="41">
        <v>16.887443621050735</v>
      </c>
      <c r="G839" s="41">
        <v>18.154741992019343</v>
      </c>
      <c r="H839" s="41">
        <v>19.547401184020032</v>
      </c>
      <c r="I839" s="41">
        <v>21.079470949928108</v>
      </c>
      <c r="J839" s="41">
        <v>22.773778933007094</v>
      </c>
      <c r="K839" s="41">
        <v>24.66500065498181</v>
      </c>
      <c r="L839" s="41">
        <v>26.770828331670664</v>
      </c>
      <c r="M839" s="41">
        <v>29.109987248892711</v>
      </c>
      <c r="N839" s="41">
        <v>31.663238555268247</v>
      </c>
      <c r="O839" s="41">
        <v>34.41932796445554</v>
      </c>
      <c r="P839" s="41">
        <v>37.346479283102255</v>
      </c>
      <c r="Q839" s="41">
        <v>40.435424962489911</v>
      </c>
      <c r="R839" s="41">
        <v>43.716453385442655</v>
      </c>
      <c r="S839" s="14"/>
      <c r="T839" s="14"/>
      <c r="U839" s="12"/>
      <c r="V839" s="12"/>
      <c r="W839" s="12"/>
      <c r="X839" s="12"/>
      <c r="Y839" s="12"/>
      <c r="Z839" s="12"/>
      <c r="AA839" s="12"/>
      <c r="AB839" s="12"/>
      <c r="AC839" s="12"/>
      <c r="AD839" s="12"/>
      <c r="AE839" s="12"/>
      <c r="AF839" s="12"/>
    </row>
    <row r="840" spans="1:32" x14ac:dyDescent="0.35">
      <c r="A840" t="s">
        <v>23</v>
      </c>
      <c r="B840" s="17" t="s">
        <v>59</v>
      </c>
      <c r="C840" s="18" t="s">
        <v>60</v>
      </c>
      <c r="D840" s="38" t="s">
        <v>69</v>
      </c>
      <c r="E840" s="38" t="s">
        <v>69</v>
      </c>
      <c r="F840" s="41">
        <v>19.008499512286765</v>
      </c>
      <c r="G840" s="41">
        <v>19.888113006097281</v>
      </c>
      <c r="H840" s="41">
        <v>20.733309568164564</v>
      </c>
      <c r="I840" s="41">
        <v>21.578108851962433</v>
      </c>
      <c r="J840" s="41">
        <v>22.483667099465602</v>
      </c>
      <c r="K840" s="41">
        <v>23.503965519383094</v>
      </c>
      <c r="L840" s="41">
        <v>24.672665359134509</v>
      </c>
      <c r="M840" s="41">
        <v>25.953389732362673</v>
      </c>
      <c r="N840" s="41">
        <v>27.28217088175618</v>
      </c>
      <c r="O840" s="41">
        <v>28.65158202493679</v>
      </c>
      <c r="P840" s="41">
        <v>30.087048746810954</v>
      </c>
      <c r="Q840" s="41">
        <v>31.616177098259879</v>
      </c>
      <c r="R840" s="41">
        <v>33.211864060788777</v>
      </c>
      <c r="S840" s="14"/>
      <c r="T840" s="14"/>
      <c r="U840" s="12"/>
      <c r="V840" s="12"/>
      <c r="W840" s="12"/>
      <c r="X840" s="12"/>
      <c r="Y840" s="12"/>
      <c r="Z840" s="12"/>
      <c r="AA840" s="12"/>
      <c r="AB840" s="12"/>
      <c r="AC840" s="12"/>
      <c r="AD840" s="12"/>
      <c r="AE840" s="12"/>
      <c r="AF840" s="12"/>
    </row>
    <row r="841" spans="1:32" x14ac:dyDescent="0.35">
      <c r="A841" t="s">
        <v>23</v>
      </c>
      <c r="B841" s="17" t="s">
        <v>59</v>
      </c>
      <c r="C841" s="18" t="s">
        <v>70</v>
      </c>
      <c r="D841" s="19" t="s">
        <v>71</v>
      </c>
      <c r="E841" s="19" t="s">
        <v>71</v>
      </c>
      <c r="F841" s="22">
        <v>2.8117394552965354</v>
      </c>
      <c r="G841" s="22">
        <v>3.1083684665035061</v>
      </c>
      <c r="H841" s="22">
        <v>3.4401762966180693</v>
      </c>
      <c r="I841" s="22">
        <v>3.8048233591420519</v>
      </c>
      <c r="J841" s="22">
        <v>4.2005121313733165</v>
      </c>
      <c r="K841" s="22">
        <v>4.6352509427539639</v>
      </c>
      <c r="L841" s="22">
        <v>5.1173013775304428</v>
      </c>
      <c r="M841" s="22">
        <v>5.6648353327291217</v>
      </c>
      <c r="N841" s="22">
        <v>6.2893642857587757</v>
      </c>
      <c r="O841" s="22">
        <v>6.9874624686889408</v>
      </c>
      <c r="P841" s="22">
        <v>7.7682877877881022</v>
      </c>
      <c r="Q841" s="22">
        <v>8.6285994099725354</v>
      </c>
      <c r="R841" s="22">
        <v>9.5712447380654631</v>
      </c>
      <c r="S841" s="14"/>
      <c r="T841" s="14"/>
      <c r="U841" s="12"/>
      <c r="V841" s="12"/>
      <c r="W841" s="12"/>
      <c r="X841" s="12"/>
      <c r="Y841" s="12"/>
      <c r="Z841" s="12"/>
      <c r="AA841" s="12"/>
      <c r="AB841" s="12"/>
      <c r="AC841" s="12"/>
      <c r="AD841" s="12"/>
      <c r="AE841" s="12"/>
      <c r="AF841" s="12"/>
    </row>
    <row r="842" spans="1:32" x14ac:dyDescent="0.35">
      <c r="A842" t="s">
        <v>23</v>
      </c>
      <c r="B842" s="17" t="s">
        <v>59</v>
      </c>
      <c r="C842" s="18" t="s">
        <v>70</v>
      </c>
      <c r="D842" s="19" t="s">
        <v>72</v>
      </c>
      <c r="E842" s="19" t="s">
        <v>72</v>
      </c>
      <c r="F842" s="22">
        <v>2.1147484944195258</v>
      </c>
      <c r="G842" s="22">
        <v>2.3640641687736208</v>
      </c>
      <c r="H842" s="22">
        <v>2.6475007364407022</v>
      </c>
      <c r="I842" s="22">
        <v>2.9640370827496705</v>
      </c>
      <c r="J842" s="22">
        <v>3.3144666036617587</v>
      </c>
      <c r="K842" s="22">
        <v>3.6974878144331913</v>
      </c>
      <c r="L842" s="22">
        <v>4.1260036198281913</v>
      </c>
      <c r="M842" s="22">
        <v>4.6124337450082837</v>
      </c>
      <c r="N842" s="22">
        <v>5.1715857310388733</v>
      </c>
      <c r="O842" s="22">
        <v>5.8123129884032316</v>
      </c>
      <c r="P842" s="22">
        <v>6.5343597994157685</v>
      </c>
      <c r="Q842" s="22">
        <v>7.3373919150947629</v>
      </c>
      <c r="R842" s="22">
        <v>8.2295337774440949</v>
      </c>
      <c r="S842" s="14"/>
      <c r="T842" s="14"/>
      <c r="U842" s="12"/>
      <c r="V842" s="12"/>
      <c r="W842" s="12"/>
      <c r="X842" s="12"/>
      <c r="Y842" s="12"/>
      <c r="Z842" s="12"/>
      <c r="AA842" s="12"/>
      <c r="AB842" s="12"/>
      <c r="AC842" s="12"/>
      <c r="AD842" s="12"/>
      <c r="AE842" s="12"/>
      <c r="AF842" s="12"/>
    </row>
    <row r="843" spans="1:32" x14ac:dyDescent="0.35">
      <c r="A843" t="s">
        <v>23</v>
      </c>
      <c r="B843" s="17" t="s">
        <v>59</v>
      </c>
      <c r="C843" s="18" t="s">
        <v>70</v>
      </c>
      <c r="D843" s="19" t="s">
        <v>73</v>
      </c>
      <c r="E843" s="19" t="s">
        <v>73</v>
      </c>
      <c r="F843" s="22">
        <v>2.0556664995399703</v>
      </c>
      <c r="G843" s="22">
        <v>2.21854035225061</v>
      </c>
      <c r="H843" s="22">
        <v>2.3970921448187212</v>
      </c>
      <c r="I843" s="22">
        <v>2.5882162615108824</v>
      </c>
      <c r="J843" s="22">
        <v>2.7894025872400943</v>
      </c>
      <c r="K843" s="22">
        <v>3.0048327571335505</v>
      </c>
      <c r="L843" s="22">
        <v>3.2384033713161453</v>
      </c>
      <c r="M843" s="22">
        <v>3.4998450253107376</v>
      </c>
      <c r="N843" s="22">
        <v>3.793767792265045</v>
      </c>
      <c r="O843" s="22">
        <v>4.1152200045915022</v>
      </c>
      <c r="P843" s="22">
        <v>4.4669958089094761</v>
      </c>
      <c r="Q843" s="22">
        <v>4.8443749943037346</v>
      </c>
      <c r="R843" s="22">
        <v>5.2463692342174122</v>
      </c>
      <c r="S843" s="14"/>
      <c r="T843" s="14"/>
      <c r="U843" s="12"/>
      <c r="V843" s="12"/>
      <c r="W843" s="12"/>
      <c r="X843" s="12"/>
      <c r="Y843" s="12"/>
      <c r="Z843" s="12"/>
      <c r="AA843" s="12"/>
      <c r="AB843" s="12"/>
      <c r="AC843" s="12"/>
      <c r="AD843" s="12"/>
      <c r="AE843" s="12"/>
      <c r="AF843" s="12"/>
    </row>
    <row r="844" spans="1:32" x14ac:dyDescent="0.35">
      <c r="A844" t="s">
        <v>23</v>
      </c>
      <c r="B844" s="17" t="s">
        <v>59</v>
      </c>
      <c r="C844" s="18" t="s">
        <v>70</v>
      </c>
      <c r="D844" s="19" t="s">
        <v>74</v>
      </c>
      <c r="E844" s="19" t="s">
        <v>74</v>
      </c>
      <c r="F844" s="22">
        <v>2.3788951445839999</v>
      </c>
      <c r="G844" s="22">
        <v>2.5800987975682639</v>
      </c>
      <c r="H844" s="22">
        <v>2.8010229371975912</v>
      </c>
      <c r="I844" s="22">
        <v>3.0448320944092919</v>
      </c>
      <c r="J844" s="22">
        <v>3.3144666036617587</v>
      </c>
      <c r="K844" s="22">
        <v>3.6132659074171096</v>
      </c>
      <c r="L844" s="22">
        <v>3.9445079099778764</v>
      </c>
      <c r="M844" s="22">
        <v>4.3088679065740836</v>
      </c>
      <c r="N844" s="22">
        <v>4.7068125574331985</v>
      </c>
      <c r="O844" s="22">
        <v>5.1393464160775819</v>
      </c>
      <c r="P844" s="22">
        <v>5.6073697792405799</v>
      </c>
      <c r="Q844" s="22">
        <v>6.115010541602059</v>
      </c>
      <c r="R844" s="22">
        <v>6.6626770415425245</v>
      </c>
      <c r="S844" s="14"/>
      <c r="T844" s="14"/>
      <c r="U844" s="12"/>
      <c r="V844" s="12"/>
      <c r="W844" s="12"/>
      <c r="X844" s="12"/>
      <c r="Y844" s="12"/>
      <c r="Z844" s="12"/>
      <c r="AA844" s="12"/>
      <c r="AB844" s="12"/>
      <c r="AC844" s="12"/>
      <c r="AD844" s="12"/>
      <c r="AE844" s="12"/>
      <c r="AF844" s="12"/>
    </row>
    <row r="845" spans="1:32" x14ac:dyDescent="0.35">
      <c r="A845" t="s">
        <v>23</v>
      </c>
      <c r="B845" s="17" t="s">
        <v>59</v>
      </c>
      <c r="C845" s="18" t="s">
        <v>70</v>
      </c>
      <c r="D845" s="19" t="s">
        <v>75</v>
      </c>
      <c r="E845" s="19" t="s">
        <v>75</v>
      </c>
      <c r="F845" s="22">
        <v>1.9369187459691932</v>
      </c>
      <c r="G845" s="22">
        <v>2.1182097656199002</v>
      </c>
      <c r="H845" s="22">
        <v>2.3186882734006553</v>
      </c>
      <c r="I845" s="22">
        <v>2.5414259294732733</v>
      </c>
      <c r="J845" s="22">
        <v>2.7894025872400943</v>
      </c>
      <c r="K845" s="22">
        <v>3.0660250381519245</v>
      </c>
      <c r="L845" s="22">
        <v>3.3747519174710505</v>
      </c>
      <c r="M845" s="22">
        <v>3.7169196854201361</v>
      </c>
      <c r="N845" s="22">
        <v>4.0937180641273931</v>
      </c>
      <c r="O845" s="22">
        <v>4.5068327761337317</v>
      </c>
      <c r="P845" s="22">
        <v>4.9579024391845206</v>
      </c>
      <c r="Q845" s="22">
        <v>5.4514617210463614</v>
      </c>
      <c r="R845" s="22">
        <v>5.9888669875616882</v>
      </c>
      <c r="S845" s="14"/>
      <c r="T845" s="14"/>
      <c r="U845" s="12"/>
      <c r="V845" s="12"/>
      <c r="W845" s="12"/>
      <c r="X845" s="12"/>
      <c r="Y845" s="12"/>
      <c r="Z845" s="12"/>
      <c r="AA845" s="12"/>
      <c r="AB845" s="12"/>
      <c r="AC845" s="12"/>
      <c r="AD845" s="12"/>
      <c r="AE845" s="12"/>
      <c r="AF845" s="12"/>
    </row>
    <row r="846" spans="1:32" x14ac:dyDescent="0.35">
      <c r="A846" t="s">
        <v>23</v>
      </c>
      <c r="B846" s="17" t="s">
        <v>59</v>
      </c>
      <c r="C846" s="18" t="s">
        <v>76</v>
      </c>
      <c r="D846" s="19" t="s">
        <v>77</v>
      </c>
      <c r="E846" s="19" t="s">
        <v>77</v>
      </c>
      <c r="F846" s="22">
        <v>2.7794361611669038</v>
      </c>
      <c r="G846" s="22">
        <v>3.009439398990871</v>
      </c>
      <c r="H846" s="22">
        <v>3.2637957472662307</v>
      </c>
      <c r="I846" s="22">
        <v>3.5410116344054106</v>
      </c>
      <c r="J846" s="22">
        <v>3.8358649470964359</v>
      </c>
      <c r="K846" s="22">
        <v>4.1532273838922702</v>
      </c>
      <c r="L846" s="22">
        <v>4.4972537900907747</v>
      </c>
      <c r="M846" s="22">
        <v>4.8762555711992448</v>
      </c>
      <c r="N846" s="22">
        <v>5.2946143713515195</v>
      </c>
      <c r="O846" s="22">
        <v>5.7551433019105112</v>
      </c>
      <c r="P846" s="22">
        <v>6.253460990034311</v>
      </c>
      <c r="Q846" s="22">
        <v>6.7850359828988296</v>
      </c>
      <c r="R846" s="22">
        <v>7.3563727496074947</v>
      </c>
      <c r="S846" s="14"/>
      <c r="T846" s="14"/>
      <c r="U846" s="12"/>
      <c r="V846" s="12"/>
      <c r="W846" s="12"/>
      <c r="X846" s="12"/>
      <c r="Y846" s="12"/>
      <c r="Z846" s="12"/>
      <c r="AA846" s="12"/>
      <c r="AB846" s="12"/>
      <c r="AC846" s="12"/>
      <c r="AD846" s="12"/>
      <c r="AE846" s="12"/>
      <c r="AF846" s="12"/>
    </row>
    <row r="847" spans="1:32" x14ac:dyDescent="0.35">
      <c r="A847" t="s">
        <v>23</v>
      </c>
      <c r="B847" s="17" t="s">
        <v>59</v>
      </c>
      <c r="C847" s="18" t="s">
        <v>76</v>
      </c>
      <c r="D847" s="19" t="s">
        <v>78</v>
      </c>
      <c r="E847" s="19" t="s">
        <v>78</v>
      </c>
      <c r="F847" s="22">
        <v>2.6787947669467735</v>
      </c>
      <c r="G847" s="22">
        <v>2.8600738534202206</v>
      </c>
      <c r="H847" s="22">
        <v>3.0586763334752352</v>
      </c>
      <c r="I847" s="22">
        <v>3.2723455976660261</v>
      </c>
      <c r="J847" s="22">
        <v>3.4954810268762757</v>
      </c>
      <c r="K847" s="22">
        <v>3.7319701811962935</v>
      </c>
      <c r="L847" s="22">
        <v>3.9848247186097079</v>
      </c>
      <c r="M847" s="22">
        <v>4.2605513563587962</v>
      </c>
      <c r="N847" s="22">
        <v>4.5618371607742736</v>
      </c>
      <c r="O847" s="22">
        <v>4.8898367141995962</v>
      </c>
      <c r="P847" s="22">
        <v>5.2394923956835822</v>
      </c>
      <c r="Q847" s="22">
        <v>5.6058641555665387</v>
      </c>
      <c r="R847" s="22">
        <v>5.9933725214173315</v>
      </c>
      <c r="S847" s="14"/>
      <c r="T847" s="14"/>
      <c r="U847" s="12"/>
      <c r="V847" s="12"/>
      <c r="W847" s="12"/>
      <c r="X847" s="12"/>
      <c r="Y847" s="12"/>
      <c r="Z847" s="12"/>
      <c r="AA847" s="12"/>
      <c r="AB847" s="12"/>
      <c r="AC847" s="12"/>
      <c r="AD847" s="12"/>
      <c r="AE847" s="12"/>
      <c r="AF847" s="12"/>
    </row>
    <row r="848" spans="1:32" x14ac:dyDescent="0.35">
      <c r="A848" t="s">
        <v>23</v>
      </c>
      <c r="B848" s="17" t="s">
        <v>59</v>
      </c>
      <c r="C848" s="18" t="s">
        <v>76</v>
      </c>
      <c r="D848" s="19" t="s">
        <v>79</v>
      </c>
      <c r="E848" s="19" t="s">
        <v>79</v>
      </c>
      <c r="F848" s="22">
        <v>1.5547908959553229</v>
      </c>
      <c r="G848" s="22">
        <v>1.7133993127895786</v>
      </c>
      <c r="H848" s="22">
        <v>1.8817159985617946</v>
      </c>
      <c r="I848" s="22">
        <v>2.0632713838100956</v>
      </c>
      <c r="J848" s="22">
        <v>2.2648622383879986</v>
      </c>
      <c r="K848" s="22">
        <v>2.4938794256772336</v>
      </c>
      <c r="L848" s="22">
        <v>2.7568876179779798</v>
      </c>
      <c r="M848" s="22">
        <v>3.0536571637596821</v>
      </c>
      <c r="N848" s="22">
        <v>3.3802051984204411</v>
      </c>
      <c r="O848" s="22">
        <v>3.7382781592729772</v>
      </c>
      <c r="P848" s="22">
        <v>4.1339327995491102</v>
      </c>
      <c r="Q848" s="22">
        <v>4.5744505809488629</v>
      </c>
      <c r="R848" s="22">
        <v>5.0602962923056927</v>
      </c>
      <c r="S848" s="14"/>
      <c r="T848" s="14"/>
      <c r="U848" s="12"/>
      <c r="V848" s="12"/>
      <c r="W848" s="12"/>
      <c r="X848" s="12"/>
      <c r="Y848" s="12"/>
      <c r="Z848" s="12"/>
      <c r="AA848" s="12"/>
      <c r="AB848" s="12"/>
      <c r="AC848" s="12"/>
      <c r="AD848" s="12"/>
      <c r="AE848" s="12"/>
      <c r="AF848" s="12"/>
    </row>
    <row r="849" spans="1:32" x14ac:dyDescent="0.35">
      <c r="A849" t="s">
        <v>23</v>
      </c>
      <c r="B849" s="17" t="s">
        <v>59</v>
      </c>
      <c r="C849" s="18" t="s">
        <v>76</v>
      </c>
      <c r="D849" s="19" t="s">
        <v>80</v>
      </c>
      <c r="E849" s="19" t="s">
        <v>80</v>
      </c>
      <c r="F849" s="22">
        <v>1.2437168597127166</v>
      </c>
      <c r="G849" s="22">
        <v>1.3171268385772825</v>
      </c>
      <c r="H849" s="22">
        <v>1.3971981686850101</v>
      </c>
      <c r="I849" s="22">
        <v>1.482720058139088</v>
      </c>
      <c r="J849" s="22">
        <v>1.5710027087084384</v>
      </c>
      <c r="K849" s="22">
        <v>1.6637051758626633</v>
      </c>
      <c r="L849" s="22">
        <v>1.7620408344108318</v>
      </c>
      <c r="M849" s="22">
        <v>1.8687270465453181</v>
      </c>
      <c r="N849" s="22">
        <v>1.9847152024494441</v>
      </c>
      <c r="O849" s="22">
        <v>2.1102554787402692</v>
      </c>
      <c r="P849" s="22">
        <v>2.2429048830410503</v>
      </c>
      <c r="Q849" s="22">
        <v>2.3803452421206823</v>
      </c>
      <c r="R849" s="22">
        <v>2.5243045338751098</v>
      </c>
      <c r="S849" s="14"/>
      <c r="T849" s="14"/>
      <c r="U849" s="12"/>
      <c r="V849" s="12"/>
      <c r="W849" s="12"/>
      <c r="X849" s="12"/>
      <c r="Y849" s="12"/>
      <c r="Z849" s="12"/>
      <c r="AA849" s="12"/>
      <c r="AB849" s="12"/>
      <c r="AC849" s="12"/>
      <c r="AD849" s="12"/>
      <c r="AE849" s="12"/>
      <c r="AF849" s="12"/>
    </row>
    <row r="850" spans="1:32" x14ac:dyDescent="0.35">
      <c r="A850" t="s">
        <v>23</v>
      </c>
      <c r="B850" s="17" t="s">
        <v>59</v>
      </c>
      <c r="C850" s="18" t="s">
        <v>76</v>
      </c>
      <c r="D850" s="19" t="s">
        <v>81</v>
      </c>
      <c r="E850" s="19" t="s">
        <v>81</v>
      </c>
      <c r="F850" s="22">
        <v>1.4400944947409522</v>
      </c>
      <c r="G850" s="22">
        <v>1.546918802392963</v>
      </c>
      <c r="H850" s="22">
        <v>1.6647610337059209</v>
      </c>
      <c r="I850" s="22">
        <v>1.7910254102186263</v>
      </c>
      <c r="J850" s="22">
        <v>1.9244783181678369</v>
      </c>
      <c r="K850" s="22">
        <v>2.0627431286950828</v>
      </c>
      <c r="L850" s="22">
        <v>2.2116292034092049</v>
      </c>
      <c r="M850" s="22">
        <v>2.3756849367655457</v>
      </c>
      <c r="N850" s="22">
        <v>2.5598290575390759</v>
      </c>
      <c r="O850" s="22">
        <v>2.7650727705439775</v>
      </c>
      <c r="P850" s="22">
        <v>2.9876943443107566</v>
      </c>
      <c r="Q850" s="22">
        <v>3.2242560365725961</v>
      </c>
      <c r="R850" s="22">
        <v>3.475339573820353</v>
      </c>
      <c r="S850" s="14"/>
      <c r="T850" s="14"/>
      <c r="U850" s="12"/>
      <c r="V850" s="12"/>
      <c r="W850" s="12"/>
      <c r="X850" s="12"/>
      <c r="Y850" s="12"/>
      <c r="Z850" s="12"/>
      <c r="AA850" s="12"/>
      <c r="AB850" s="12"/>
      <c r="AC850" s="12"/>
      <c r="AD850" s="12"/>
      <c r="AE850" s="12"/>
      <c r="AF850" s="12"/>
    </row>
    <row r="851" spans="1:32" x14ac:dyDescent="0.35">
      <c r="A851" t="s">
        <v>23</v>
      </c>
      <c r="B851" s="17" t="s">
        <v>47</v>
      </c>
      <c r="C851" s="13" t="s">
        <v>82</v>
      </c>
      <c r="D851" s="13" t="s">
        <v>82</v>
      </c>
      <c r="E851" s="13" t="s">
        <v>82</v>
      </c>
      <c r="F851" s="14">
        <v>54.366356510621586</v>
      </c>
      <c r="G851" s="14">
        <v>58.551336143541555</v>
      </c>
      <c r="H851" s="14">
        <v>63.137605562100802</v>
      </c>
      <c r="I851" s="14">
        <v>68.168097961298997</v>
      </c>
      <c r="J851" s="14">
        <v>73.662571452773463</v>
      </c>
      <c r="K851" s="14">
        <v>79.689432920473308</v>
      </c>
      <c r="L851" s="14">
        <v>86.311862713322967</v>
      </c>
      <c r="M851" s="14">
        <v>93.568347301217599</v>
      </c>
      <c r="N851" s="14">
        <v>101.47810329119568</v>
      </c>
      <c r="O851" s="14">
        <v>110.06328239235445</v>
      </c>
      <c r="P851" s="14">
        <v>119.31008361621477</v>
      </c>
      <c r="Q851" s="14">
        <v>129.25345197673573</v>
      </c>
      <c r="R851" s="14">
        <v>139.92241252540697</v>
      </c>
      <c r="S851" s="14"/>
      <c r="T851" s="14"/>
      <c r="U851" s="12"/>
      <c r="V851" s="12"/>
      <c r="W851" s="12"/>
      <c r="X851" s="12"/>
      <c r="Y851" s="12"/>
      <c r="Z851" s="12"/>
      <c r="AA851" s="12"/>
      <c r="AB851" s="12"/>
      <c r="AC851" s="12"/>
      <c r="AD851" s="12"/>
      <c r="AE851" s="12"/>
      <c r="AF851" s="12"/>
    </row>
    <row r="852" spans="1:32" x14ac:dyDescent="0.35">
      <c r="A852" t="s">
        <v>23</v>
      </c>
      <c r="B852" s="17" t="s">
        <v>47</v>
      </c>
      <c r="C852" s="13" t="s">
        <v>83</v>
      </c>
      <c r="D852" s="13" t="s">
        <v>83</v>
      </c>
      <c r="E852" s="13" t="s">
        <v>83</v>
      </c>
      <c r="F852" s="14">
        <v>78.426925427606491</v>
      </c>
      <c r="G852" s="14">
        <v>83.446209955781512</v>
      </c>
      <c r="H852" s="14">
        <v>88.95361863694211</v>
      </c>
      <c r="I852" s="14">
        <v>94.794862367256542</v>
      </c>
      <c r="J852" s="14">
        <v>100.89328507038637</v>
      </c>
      <c r="K852" s="14">
        <v>107.11498786467449</v>
      </c>
      <c r="L852" s="14">
        <v>113.75606425717827</v>
      </c>
      <c r="M852" s="14">
        <v>121.03639623754114</v>
      </c>
      <c r="N852" s="14">
        <v>129.18612052634592</v>
      </c>
      <c r="O852" s="14">
        <v>138.22908521724537</v>
      </c>
      <c r="P852" s="14">
        <v>147.95112933606222</v>
      </c>
      <c r="Q852" s="14">
        <v>158.15968425484965</v>
      </c>
      <c r="R852" s="14">
        <v>168.86616995796635</v>
      </c>
      <c r="S852" s="14"/>
      <c r="T852" s="14"/>
      <c r="U852" s="12"/>
      <c r="V852" s="12"/>
      <c r="W852" s="12"/>
      <c r="X852" s="12"/>
      <c r="Y852" s="12"/>
      <c r="Z852" s="12"/>
      <c r="AA852" s="12"/>
      <c r="AB852" s="12"/>
      <c r="AC852" s="12"/>
      <c r="AD852" s="12"/>
      <c r="AE852" s="12"/>
      <c r="AF852" s="12"/>
    </row>
    <row r="853" spans="1:32" x14ac:dyDescent="0.35">
      <c r="A853" t="s">
        <v>23</v>
      </c>
      <c r="B853" s="17" t="s">
        <v>84</v>
      </c>
      <c r="C853" s="13" t="s">
        <v>85</v>
      </c>
      <c r="D853" s="13" t="s">
        <v>85</v>
      </c>
      <c r="E853" s="13" t="s">
        <v>85</v>
      </c>
      <c r="F853" s="14">
        <v>7.7276256989017069</v>
      </c>
      <c r="G853" s="14">
        <v>8.1095878605279168</v>
      </c>
      <c r="H853" s="14">
        <v>8.479798393199351</v>
      </c>
      <c r="I853" s="14">
        <v>8.8520563366799951</v>
      </c>
      <c r="J853" s="14">
        <v>9.2514603957274701</v>
      </c>
      <c r="K853" s="14">
        <v>9.7004608843485229</v>
      </c>
      <c r="L853" s="14">
        <v>10.213391287879805</v>
      </c>
      <c r="M853" s="14">
        <v>10.775761323982252</v>
      </c>
      <c r="N853" s="14">
        <v>11.3614470618931</v>
      </c>
      <c r="O853" s="14">
        <v>11.967554750937863</v>
      </c>
      <c r="P853" s="14">
        <v>12.604877032174235</v>
      </c>
      <c r="Q853" s="14">
        <v>13.285248810781491</v>
      </c>
      <c r="R853" s="14">
        <v>13.997656707197581</v>
      </c>
      <c r="S853" s="14"/>
      <c r="T853" s="14"/>
      <c r="U853" s="12"/>
      <c r="V853" s="12"/>
      <c r="W853" s="12"/>
      <c r="X853" s="12"/>
      <c r="Y853" s="12"/>
      <c r="Z853" s="12"/>
      <c r="AA853" s="12"/>
      <c r="AB853" s="12"/>
      <c r="AC853" s="12"/>
      <c r="AD853" s="12"/>
      <c r="AE853" s="12"/>
      <c r="AF853" s="12"/>
    </row>
    <row r="854" spans="1:32" x14ac:dyDescent="0.35">
      <c r="A854" t="s">
        <v>23</v>
      </c>
      <c r="B854" s="17" t="s">
        <v>84</v>
      </c>
      <c r="C854" s="13" t="s">
        <v>86</v>
      </c>
      <c r="D854" s="13" t="s">
        <v>86</v>
      </c>
      <c r="E854" s="13" t="s">
        <v>86</v>
      </c>
      <c r="F854" s="14">
        <v>25.857648223730038</v>
      </c>
      <c r="G854" s="14">
        <v>27.306071717924734</v>
      </c>
      <c r="H854" s="14">
        <v>28.883899381249222</v>
      </c>
      <c r="I854" s="14">
        <v>30.564947385679311</v>
      </c>
      <c r="J854" s="14">
        <v>32.292833456784571</v>
      </c>
      <c r="K854" s="14">
        <v>34.101202508581366</v>
      </c>
      <c r="L854" s="14">
        <v>36.014178794883193</v>
      </c>
      <c r="M854" s="14">
        <v>38.086347126926739</v>
      </c>
      <c r="N854" s="14">
        <v>40.335674042302294</v>
      </c>
      <c r="O854" s="14">
        <v>42.765662806133648</v>
      </c>
      <c r="P854" s="14">
        <v>45.325188467132875</v>
      </c>
      <c r="Q854" s="14">
        <v>47.966216889591379</v>
      </c>
      <c r="R854" s="14">
        <v>50.722784363010355</v>
      </c>
      <c r="S854" s="22"/>
      <c r="T854" s="22"/>
      <c r="U854" s="12"/>
      <c r="V854" s="12"/>
      <c r="W854" s="12"/>
      <c r="X854" s="12"/>
      <c r="Y854" s="12"/>
      <c r="Z854" s="12"/>
      <c r="AA854" s="12"/>
      <c r="AB854" s="12"/>
      <c r="AC854" s="12"/>
      <c r="AD854" s="12"/>
      <c r="AE854" s="12"/>
      <c r="AF854" s="12"/>
    </row>
    <row r="855" spans="1:32" x14ac:dyDescent="0.35">
      <c r="A855" t="s">
        <v>23</v>
      </c>
      <c r="B855" s="17" t="s">
        <v>84</v>
      </c>
      <c r="C855" s="40" t="s">
        <v>87</v>
      </c>
      <c r="D855" s="40" t="s">
        <v>87</v>
      </c>
      <c r="E855" s="40" t="s">
        <v>87</v>
      </c>
      <c r="F855" s="42">
        <v>46.606283377386063</v>
      </c>
      <c r="G855" s="42">
        <v>50.28223646516129</v>
      </c>
      <c r="H855" s="42">
        <v>54.355521434531923</v>
      </c>
      <c r="I855" s="42">
        <v>58.825162374719994</v>
      </c>
      <c r="J855" s="42">
        <v>63.712887630953347</v>
      </c>
      <c r="K855" s="42">
        <v>68.984915869753095</v>
      </c>
      <c r="L855" s="42">
        <v>74.754875710561166</v>
      </c>
      <c r="M855" s="42">
        <v>81.081798212492942</v>
      </c>
      <c r="N855" s="42">
        <v>88.052898870236163</v>
      </c>
      <c r="O855" s="42">
        <v>95.684300398100902</v>
      </c>
      <c r="P855" s="42">
        <v>103.9269485409082</v>
      </c>
      <c r="Q855" s="42">
        <v>112.7860578180684</v>
      </c>
      <c r="R855" s="42">
        <v>122.2626230121011</v>
      </c>
      <c r="S855" s="22"/>
      <c r="T855" s="22"/>
      <c r="U855" s="12"/>
      <c r="V855" s="12"/>
      <c r="W855" s="12"/>
      <c r="X855" s="12"/>
      <c r="Y855" s="12"/>
      <c r="Z855" s="12"/>
      <c r="AA855" s="12"/>
      <c r="AB855" s="12"/>
      <c r="AC855" s="12"/>
      <c r="AD855" s="12"/>
      <c r="AE855" s="12"/>
      <c r="AF855" s="12"/>
    </row>
    <row r="856" spans="1:32" x14ac:dyDescent="0.35">
      <c r="A856" t="s">
        <v>23</v>
      </c>
      <c r="B856" s="17" t="s">
        <v>84</v>
      </c>
      <c r="C856" s="13" t="s">
        <v>88</v>
      </c>
      <c r="D856" s="13" t="s">
        <v>88</v>
      </c>
      <c r="E856" s="13" t="s">
        <v>88</v>
      </c>
      <c r="F856" s="14">
        <v>28.996904057101439</v>
      </c>
      <c r="G856" s="14">
        <v>31.183152774733784</v>
      </c>
      <c r="H856" s="14">
        <v>33.596602065944239</v>
      </c>
      <c r="I856" s="14">
        <v>36.185643656277058</v>
      </c>
      <c r="J856" s="14">
        <v>38.925956004664641</v>
      </c>
      <c r="K856" s="14">
        <v>41.769987655136141</v>
      </c>
      <c r="L856" s="14">
        <v>44.835734988799658</v>
      </c>
      <c r="M856" s="14">
        <v>48.216167187021213</v>
      </c>
      <c r="N856" s="14">
        <v>52.0121907916363</v>
      </c>
      <c r="O856" s="14">
        <v>56.245771735823602</v>
      </c>
      <c r="P856" s="14">
        <v>60.842697553464561</v>
      </c>
      <c r="Q856" s="14">
        <v>65.73420316185323</v>
      </c>
      <c r="R856" s="14">
        <v>70.933159498299332</v>
      </c>
      <c r="S856" s="22"/>
      <c r="T856" s="22"/>
      <c r="U856" s="12"/>
      <c r="V856" s="12"/>
      <c r="W856" s="12"/>
      <c r="X856" s="12"/>
      <c r="Y856" s="12"/>
      <c r="Z856" s="12"/>
      <c r="AA856" s="12"/>
      <c r="AB856" s="12"/>
      <c r="AC856" s="12"/>
      <c r="AD856" s="12"/>
      <c r="AE856" s="12"/>
      <c r="AF856" s="12"/>
    </row>
    <row r="857" spans="1:32" x14ac:dyDescent="0.35">
      <c r="A857" t="s">
        <v>23</v>
      </c>
      <c r="B857" s="17" t="s">
        <v>84</v>
      </c>
      <c r="C857" s="13" t="s">
        <v>89</v>
      </c>
      <c r="D857" s="13" t="s">
        <v>89</v>
      </c>
      <c r="E857" s="13" t="s">
        <v>89</v>
      </c>
      <c r="F857" s="14">
        <v>7.4806113911554757</v>
      </c>
      <c r="G857" s="14">
        <v>7.9905593688241714</v>
      </c>
      <c r="H857" s="14">
        <v>8.5512512575118862</v>
      </c>
      <c r="I857" s="14">
        <v>9.1484360816288284</v>
      </c>
      <c r="J857" s="14">
        <v>9.7751279652969512</v>
      </c>
      <c r="K857" s="14">
        <v>10.418682879979151</v>
      </c>
      <c r="L857" s="14">
        <v>11.108079743322246</v>
      </c>
      <c r="M857" s="14">
        <v>11.865309668083093</v>
      </c>
      <c r="N857" s="14">
        <v>12.713710452458063</v>
      </c>
      <c r="O857" s="14">
        <v>13.656677347602958</v>
      </c>
      <c r="P857" s="14">
        <v>14.674135654943688</v>
      </c>
      <c r="Q857" s="14">
        <v>15.747831762517148</v>
      </c>
      <c r="R857" s="14">
        <v>16.879532949177424</v>
      </c>
      <c r="S857" s="22"/>
      <c r="T857" s="22"/>
      <c r="U857" s="12"/>
      <c r="V857" s="12"/>
      <c r="W857" s="12"/>
      <c r="X857" s="12"/>
      <c r="Y857" s="12"/>
      <c r="Z857" s="12"/>
      <c r="AA857" s="12"/>
      <c r="AB857" s="12"/>
      <c r="AC857" s="12"/>
      <c r="AD857" s="12"/>
      <c r="AE857" s="12"/>
      <c r="AF857" s="12"/>
    </row>
    <row r="858" spans="1:32" x14ac:dyDescent="0.35">
      <c r="A858" t="s">
        <v>23</v>
      </c>
      <c r="B858" s="17" t="s">
        <v>84</v>
      </c>
      <c r="C858" s="13" t="s">
        <v>90</v>
      </c>
      <c r="D858" s="13" t="s">
        <v>90</v>
      </c>
      <c r="E858" s="13" t="s">
        <v>90</v>
      </c>
      <c r="F858" s="14">
        <v>16.124209189953341</v>
      </c>
      <c r="G858" s="14">
        <v>17.125937912151183</v>
      </c>
      <c r="H858" s="14">
        <v>18.224151666606286</v>
      </c>
      <c r="I858" s="14">
        <v>19.386714493570356</v>
      </c>
      <c r="J858" s="14">
        <v>20.597591069732861</v>
      </c>
      <c r="K858" s="14">
        <v>21.82917098734951</v>
      </c>
      <c r="L858" s="14">
        <v>23.141666445055147</v>
      </c>
      <c r="M858" s="14">
        <v>24.579360020252484</v>
      </c>
      <c r="N858" s="14">
        <v>26.188302599015671</v>
      </c>
      <c r="O858" s="14">
        <v>27.972400571000836</v>
      </c>
      <c r="P858" s="14">
        <v>29.887365703653444</v>
      </c>
      <c r="Q858" s="14">
        <v>31.893577788773733</v>
      </c>
      <c r="R858" s="14">
        <v>33.99282595358752</v>
      </c>
      <c r="S858" s="22"/>
      <c r="T858" s="22"/>
      <c r="U858" s="12"/>
      <c r="V858" s="12"/>
      <c r="W858" s="12"/>
      <c r="X858" s="12"/>
      <c r="Y858" s="12"/>
      <c r="Z858" s="12"/>
      <c r="AA858" s="12"/>
      <c r="AB858" s="12"/>
      <c r="AC858" s="12"/>
      <c r="AD858" s="12"/>
      <c r="AE858" s="12"/>
      <c r="AF858" s="12"/>
    </row>
    <row r="859" spans="1:32" x14ac:dyDescent="0.35">
      <c r="A859" t="s">
        <v>23</v>
      </c>
      <c r="B859" s="17" t="s">
        <v>91</v>
      </c>
      <c r="C859" s="13" t="s">
        <v>92</v>
      </c>
      <c r="D859" s="13" t="s">
        <v>92</v>
      </c>
      <c r="E859" s="13" t="s">
        <v>92</v>
      </c>
      <c r="F859" s="14">
        <v>58.592342701774911</v>
      </c>
      <c r="G859" s="14">
        <v>63.148611909508546</v>
      </c>
      <c r="H859" s="14">
        <v>68.138122378992449</v>
      </c>
      <c r="I859" s="14">
        <v>73.47076143333544</v>
      </c>
      <c r="J859" s="14">
        <v>79.073803004991404</v>
      </c>
      <c r="K859" s="14">
        <v>85.064607926853711</v>
      </c>
      <c r="L859" s="14">
        <v>91.551821686346912</v>
      </c>
      <c r="M859" s="14">
        <v>98.808420074848812</v>
      </c>
      <c r="N859" s="14">
        <v>106.96131974869807</v>
      </c>
      <c r="O859" s="14">
        <v>115.86715406410534</v>
      </c>
      <c r="P859" s="14">
        <v>125.60140806288352</v>
      </c>
      <c r="Q859" s="14">
        <v>136.02785670355016</v>
      </c>
      <c r="R859" s="14">
        <v>147.11578595204764</v>
      </c>
      <c r="S859" s="22"/>
      <c r="T859" s="22"/>
      <c r="U859" s="12"/>
      <c r="V859" s="12"/>
      <c r="W859" s="12"/>
      <c r="X859" s="12"/>
      <c r="Y859" s="12"/>
      <c r="Z859" s="12"/>
      <c r="AA859" s="12"/>
      <c r="AB859" s="12"/>
      <c r="AC859" s="12"/>
      <c r="AD859" s="12"/>
      <c r="AE859" s="12"/>
      <c r="AF859" s="12"/>
    </row>
    <row r="860" spans="1:32" x14ac:dyDescent="0.35">
      <c r="A860" t="s">
        <v>23</v>
      </c>
      <c r="B860" s="17" t="s">
        <v>91</v>
      </c>
      <c r="C860" s="13" t="s">
        <v>93</v>
      </c>
      <c r="D860" s="13" t="s">
        <v>93</v>
      </c>
      <c r="E860" s="13" t="s">
        <v>93</v>
      </c>
      <c r="F860" s="14">
        <v>74.200939236453152</v>
      </c>
      <c r="G860" s="14">
        <v>78.848934189814528</v>
      </c>
      <c r="H860" s="14">
        <v>83.953101820050477</v>
      </c>
      <c r="I860" s="14">
        <v>89.492198895220099</v>
      </c>
      <c r="J860" s="14">
        <v>95.482053518168428</v>
      </c>
      <c r="K860" s="14">
        <v>101.73981285829407</v>
      </c>
      <c r="L860" s="14">
        <v>108.51610528415431</v>
      </c>
      <c r="M860" s="14">
        <v>115.79632346390991</v>
      </c>
      <c r="N860" s="14">
        <v>123.70290406884352</v>
      </c>
      <c r="O860" s="14">
        <v>132.42521354549447</v>
      </c>
      <c r="P860" s="14">
        <v>141.65980488939346</v>
      </c>
      <c r="Q860" s="14">
        <v>151.38527952803523</v>
      </c>
      <c r="R860" s="14">
        <v>161.67279653132567</v>
      </c>
      <c r="S860" s="22"/>
      <c r="T860" s="22"/>
      <c r="U860" s="12"/>
      <c r="V860" s="12"/>
      <c r="W860" s="12"/>
      <c r="X860" s="12"/>
      <c r="Y860" s="12"/>
      <c r="Z860" s="12"/>
      <c r="AA860" s="12"/>
      <c r="AB860" s="12"/>
      <c r="AC860" s="12"/>
      <c r="AD860" s="12"/>
      <c r="AE860" s="12"/>
      <c r="AF860" s="12"/>
    </row>
    <row r="861" spans="1:32" x14ac:dyDescent="0.35">
      <c r="A861" t="s">
        <v>23</v>
      </c>
      <c r="B861" s="17" t="s">
        <v>94</v>
      </c>
      <c r="C861" s="13" t="s">
        <v>95</v>
      </c>
      <c r="D861" s="13" t="s">
        <v>95</v>
      </c>
      <c r="E861" s="13" t="s">
        <v>95</v>
      </c>
      <c r="F861" s="14">
        <v>21.231607861372748</v>
      </c>
      <c r="G861" s="14">
        <v>22.962156682028454</v>
      </c>
      <c r="H861" s="14">
        <v>24.872029575676613</v>
      </c>
      <c r="I861" s="14">
        <v>26.982209156559993</v>
      </c>
      <c r="J861" s="14">
        <v>29.325383895890855</v>
      </c>
      <c r="K861" s="14">
        <v>31.950244400581838</v>
      </c>
      <c r="L861" s="14">
        <v>34.884601851470549</v>
      </c>
      <c r="M861" s="14">
        <v>38.158224211372961</v>
      </c>
      <c r="N861" s="14">
        <v>41.75176751774611</v>
      </c>
      <c r="O861" s="14">
        <v>45.655897550893734</v>
      </c>
      <c r="P861" s="14">
        <v>49.833783718321165</v>
      </c>
      <c r="Q861" s="14">
        <v>54.277701640464819</v>
      </c>
      <c r="R861" s="14">
        <v>59.032793977586806</v>
      </c>
      <c r="S861" s="22"/>
      <c r="T861" s="22"/>
      <c r="U861" s="12"/>
      <c r="V861" s="12"/>
      <c r="W861" s="12"/>
      <c r="X861" s="12"/>
      <c r="Y861" s="12"/>
      <c r="Z861" s="12"/>
      <c r="AA861" s="12"/>
      <c r="AB861" s="12"/>
      <c r="AC861" s="12"/>
      <c r="AD861" s="12"/>
      <c r="AE861" s="12"/>
      <c r="AF861" s="12"/>
    </row>
    <row r="862" spans="1:32" x14ac:dyDescent="0.35">
      <c r="A862" t="s">
        <v>23</v>
      </c>
      <c r="B862" s="17" t="s">
        <v>94</v>
      </c>
      <c r="C862" s="40" t="s">
        <v>96</v>
      </c>
      <c r="D862" s="40" t="s">
        <v>96</v>
      </c>
      <c r="E862" s="40" t="s">
        <v>96</v>
      </c>
      <c r="F862" s="42">
        <v>13.612063680021151</v>
      </c>
      <c r="G862" s="42">
        <v>15.133942512599688</v>
      </c>
      <c r="H862" s="42">
        <v>16.895618234282409</v>
      </c>
      <c r="I862" s="42">
        <v>18.649741844920896</v>
      </c>
      <c r="J862" s="42">
        <v>20.248479356686545</v>
      </c>
      <c r="K862" s="42">
        <v>21.509769055109047</v>
      </c>
      <c r="L862" s="42">
        <v>22.722178640430826</v>
      </c>
      <c r="M862" s="42">
        <v>24.153153334995011</v>
      </c>
      <c r="N862" s="42">
        <v>26.117610059402409</v>
      </c>
      <c r="O862" s="42">
        <v>28.642128207458853</v>
      </c>
      <c r="P862" s="42">
        <v>31.558613791430076</v>
      </c>
      <c r="Q862" s="42">
        <v>34.680065834382845</v>
      </c>
      <c r="R862" s="42">
        <v>38.047152765302428</v>
      </c>
      <c r="S862" s="22"/>
      <c r="T862" s="22"/>
      <c r="U862" s="12"/>
      <c r="V862" s="12"/>
      <c r="W862" s="12"/>
      <c r="X862" s="12"/>
      <c r="Y862" s="12"/>
      <c r="Z862" s="12"/>
      <c r="AA862" s="12"/>
      <c r="AB862" s="12"/>
      <c r="AC862" s="12"/>
      <c r="AD862" s="12"/>
      <c r="AE862" s="12"/>
      <c r="AF862" s="12"/>
    </row>
    <row r="863" spans="1:32" x14ac:dyDescent="0.35">
      <c r="A863" t="s">
        <v>23</v>
      </c>
      <c r="B863" s="17" t="s">
        <v>94</v>
      </c>
      <c r="C863" s="13" t="s">
        <v>97</v>
      </c>
      <c r="D863" s="13" t="s">
        <v>97</v>
      </c>
      <c r="E863" s="13" t="s">
        <v>97</v>
      </c>
      <c r="F863" s="14">
        <v>22.357048124704335</v>
      </c>
      <c r="G863" s="14">
        <v>23.667714938825128</v>
      </c>
      <c r="H863" s="14">
        <v>25.080013456792887</v>
      </c>
      <c r="I863" s="14">
        <v>26.612116589365634</v>
      </c>
      <c r="J863" s="14">
        <v>28.278048756751893</v>
      </c>
      <c r="K863" s="14">
        <v>30.093379354131962</v>
      </c>
      <c r="L863" s="14">
        <v>32.071103041911648</v>
      </c>
      <c r="M863" s="14">
        <v>34.201175275092474</v>
      </c>
      <c r="N863" s="14">
        <v>36.472150880250318</v>
      </c>
      <c r="O863" s="14">
        <v>38.877160610327259</v>
      </c>
      <c r="P863" s="14">
        <v>41.408546558037635</v>
      </c>
      <c r="Q863" s="14">
        <v>44.082574016755423</v>
      </c>
      <c r="R863" s="14">
        <v>46.886521797632845</v>
      </c>
      <c r="S863" s="22"/>
      <c r="T863" s="22"/>
      <c r="U863" s="12"/>
      <c r="V863" s="12"/>
      <c r="W863" s="12"/>
      <c r="X863" s="12"/>
      <c r="Y863" s="12"/>
      <c r="Z863" s="12"/>
      <c r="AA863" s="12"/>
      <c r="AB863" s="12"/>
      <c r="AC863" s="12"/>
      <c r="AD863" s="12"/>
      <c r="AE863" s="12"/>
      <c r="AF863" s="12"/>
    </row>
    <row r="864" spans="1:32" x14ac:dyDescent="0.35">
      <c r="A864" t="s">
        <v>23</v>
      </c>
      <c r="B864" s="17" t="s">
        <v>94</v>
      </c>
      <c r="C864" s="13" t="s">
        <v>98</v>
      </c>
      <c r="D864" s="13" t="s">
        <v>98</v>
      </c>
      <c r="E864" s="13" t="s">
        <v>98</v>
      </c>
      <c r="F864" s="14">
        <v>32.446860570864118</v>
      </c>
      <c r="G864" s="14">
        <v>34.562506653733465</v>
      </c>
      <c r="H864" s="14">
        <v>36.852308424329898</v>
      </c>
      <c r="I864" s="14">
        <v>39.346019364641805</v>
      </c>
      <c r="J864" s="14">
        <v>42.067961422081517</v>
      </c>
      <c r="K864" s="14">
        <v>45.045314769117148</v>
      </c>
      <c r="L864" s="14">
        <v>48.302030310223074</v>
      </c>
      <c r="M864" s="14">
        <v>51.827898411598376</v>
      </c>
      <c r="N864" s="14">
        <v>55.610277938616051</v>
      </c>
      <c r="O864" s="14">
        <v>59.643139780735098</v>
      </c>
      <c r="P864" s="14">
        <v>63.919046487437861</v>
      </c>
      <c r="Q864" s="14">
        <v>68.467257052981708</v>
      </c>
      <c r="R864" s="14">
        <v>73.272686754703955</v>
      </c>
      <c r="S864" s="22"/>
      <c r="T864" s="22"/>
      <c r="U864" s="12"/>
      <c r="V864" s="12"/>
      <c r="W864" s="12"/>
      <c r="X864" s="12"/>
      <c r="Y864" s="12"/>
      <c r="Z864" s="12"/>
      <c r="AA864" s="12"/>
      <c r="AB864" s="12"/>
      <c r="AC864" s="12"/>
      <c r="AD864" s="12"/>
      <c r="AE864" s="12"/>
      <c r="AF864" s="12"/>
    </row>
    <row r="865" spans="1:32" x14ac:dyDescent="0.35">
      <c r="A865" t="s">
        <v>23</v>
      </c>
      <c r="B865" s="17" t="s">
        <v>94</v>
      </c>
      <c r="C865" s="13" t="s">
        <v>48</v>
      </c>
      <c r="D865" s="13" t="s">
        <v>48</v>
      </c>
      <c r="E865" s="13" t="s">
        <v>48</v>
      </c>
      <c r="F865" s="14">
        <v>19.326073601156612</v>
      </c>
      <c r="G865" s="14">
        <v>20.709186297443384</v>
      </c>
      <c r="H865" s="14">
        <v>22.212979814793595</v>
      </c>
      <c r="I865" s="14">
        <v>23.857439392703895</v>
      </c>
      <c r="J865" s="14">
        <v>25.659710908904493</v>
      </c>
      <c r="K865" s="14">
        <v>27.639065448395186</v>
      </c>
      <c r="L865" s="14">
        <v>29.813221325170815</v>
      </c>
      <c r="M865" s="14">
        <v>32.179199843766959</v>
      </c>
      <c r="N865" s="14">
        <v>34.732406198724483</v>
      </c>
      <c r="O865" s="14">
        <v>37.472232198087021</v>
      </c>
      <c r="P865" s="14">
        <v>40.397137805848928</v>
      </c>
      <c r="Q865" s="14">
        <v>43.528706418418018</v>
      </c>
      <c r="R865" s="14">
        <v>46.860810559428629</v>
      </c>
      <c r="S865" s="22"/>
      <c r="T865" s="22"/>
      <c r="U865" s="12"/>
      <c r="V865" s="12"/>
      <c r="W865" s="12"/>
      <c r="X865" s="12"/>
      <c r="Y865" s="12"/>
      <c r="Z865" s="12"/>
      <c r="AA865" s="12"/>
      <c r="AB865" s="12"/>
      <c r="AC865" s="12"/>
      <c r="AD865" s="12"/>
      <c r="AE865" s="12"/>
      <c r="AF865" s="12"/>
    </row>
    <row r="866" spans="1:32" x14ac:dyDescent="0.35">
      <c r="A866" t="s">
        <v>23</v>
      </c>
      <c r="B866" s="17" t="s">
        <v>94</v>
      </c>
      <c r="C866" s="13" t="s">
        <v>99</v>
      </c>
      <c r="D866" s="13" t="s">
        <v>99</v>
      </c>
      <c r="E866" s="13" t="s">
        <v>99</v>
      </c>
      <c r="F866" s="14">
        <v>8.962623932602181</v>
      </c>
      <c r="G866" s="14">
        <v>9.3339886405380756</v>
      </c>
      <c r="H866" s="14">
        <v>9.7362974259762449</v>
      </c>
      <c r="I866" s="14">
        <v>10.172173480477888</v>
      </c>
      <c r="J866" s="14">
        <v>10.64790724791275</v>
      </c>
      <c r="K866" s="14">
        <v>11.174284624380229</v>
      </c>
      <c r="L866" s="14">
        <v>11.752756702411148</v>
      </c>
      <c r="M866" s="14">
        <v>12.384680724988558</v>
      </c>
      <c r="N866" s="14">
        <v>13.054710362113784</v>
      </c>
      <c r="O866" s="14">
        <v>13.752286458369214</v>
      </c>
      <c r="P866" s="14">
        <v>14.459632834735604</v>
      </c>
      <c r="Q866" s="14">
        <v>15.169622301253421</v>
      </c>
      <c r="R866" s="14">
        <v>15.890686315055243</v>
      </c>
      <c r="S866" s="22"/>
      <c r="T866" s="22"/>
      <c r="U866" s="12"/>
      <c r="V866" s="12"/>
      <c r="W866" s="12"/>
      <c r="X866" s="12"/>
      <c r="Y866" s="12"/>
      <c r="Z866" s="12"/>
      <c r="AA866" s="12"/>
      <c r="AB866" s="12"/>
      <c r="AC866" s="12"/>
      <c r="AD866" s="12"/>
      <c r="AE866" s="12"/>
      <c r="AF866" s="12"/>
    </row>
    <row r="867" spans="1:32" x14ac:dyDescent="0.35">
      <c r="A867" t="s">
        <v>23</v>
      </c>
      <c r="B867" s="17" t="s">
        <v>94</v>
      </c>
      <c r="C867" s="13" t="s">
        <v>100</v>
      </c>
      <c r="D867" s="13" t="s">
        <v>100</v>
      </c>
      <c r="E867" s="13" t="s">
        <v>100</v>
      </c>
      <c r="F867" s="14">
        <v>14.857004167506922</v>
      </c>
      <c r="G867" s="14">
        <v>15.628050374154883</v>
      </c>
      <c r="H867" s="14">
        <v>16.441977267191287</v>
      </c>
      <c r="I867" s="14">
        <v>17.343260499885428</v>
      </c>
      <c r="J867" s="14">
        <v>18.328364934931781</v>
      </c>
      <c r="K867" s="14">
        <v>19.39236313343239</v>
      </c>
      <c r="L867" s="14">
        <v>20.522035098883158</v>
      </c>
      <c r="M867" s="14">
        <v>21.7004117369444</v>
      </c>
      <c r="N867" s="14">
        <v>22.925300860688463</v>
      </c>
      <c r="O867" s="14">
        <v>24.24952280372861</v>
      </c>
      <c r="P867" s="14">
        <v>25.684451756465734</v>
      </c>
      <c r="Q867" s="14">
        <v>27.207208967329152</v>
      </c>
      <c r="R867" s="14">
        <v>28.797930313663421</v>
      </c>
      <c r="S867" s="22"/>
      <c r="T867" s="22"/>
      <c r="U867" s="12"/>
      <c r="V867" s="12"/>
      <c r="W867" s="12"/>
      <c r="X867" s="12"/>
      <c r="Y867" s="12"/>
      <c r="Z867" s="12"/>
      <c r="AA867" s="12"/>
      <c r="AB867" s="12"/>
      <c r="AC867" s="12"/>
      <c r="AD867" s="12"/>
      <c r="AE867" s="12"/>
      <c r="AF867" s="12"/>
    </row>
    <row r="868" spans="1:32" x14ac:dyDescent="0.35">
      <c r="A868" t="s">
        <v>24</v>
      </c>
      <c r="B868" s="17" t="s">
        <v>54</v>
      </c>
      <c r="C868" s="13" t="s">
        <v>55</v>
      </c>
      <c r="D868" s="13" t="s">
        <v>55</v>
      </c>
      <c r="E868" s="13" t="s">
        <v>55</v>
      </c>
      <c r="F868" s="14">
        <v>2.9750369282540974</v>
      </c>
      <c r="G868" s="14">
        <v>3.1965447832546441</v>
      </c>
      <c r="H868" s="14">
        <v>3.4378938770326752</v>
      </c>
      <c r="I868" s="14">
        <v>3.7023359292606215</v>
      </c>
      <c r="J868" s="14">
        <v>3.9927163861782144</v>
      </c>
      <c r="K868" s="14">
        <v>4.3122412058114952</v>
      </c>
      <c r="L868" s="14">
        <v>4.6639076488277427</v>
      </c>
      <c r="M868" s="14">
        <v>5.0475063798187012</v>
      </c>
      <c r="N868" s="14">
        <v>5.4625713502254181</v>
      </c>
      <c r="O868" s="14">
        <v>5.9092576322313217</v>
      </c>
      <c r="P868" s="14">
        <v>6.3875741762463152</v>
      </c>
      <c r="Q868" s="14">
        <v>6.9011854651312499</v>
      </c>
      <c r="R868" s="14">
        <v>7.4494010826537487</v>
      </c>
      <c r="S868" s="22"/>
      <c r="T868" s="22"/>
      <c r="U868" s="12"/>
      <c r="V868" s="12"/>
      <c r="W868" s="12"/>
      <c r="X868" s="12"/>
      <c r="Y868" s="12"/>
      <c r="Z868" s="12"/>
      <c r="AA868" s="12"/>
      <c r="AB868" s="12"/>
      <c r="AC868" s="12"/>
      <c r="AD868" s="12"/>
      <c r="AE868" s="12"/>
      <c r="AF868" s="12"/>
    </row>
    <row r="869" spans="1:32" x14ac:dyDescent="0.35">
      <c r="A869" t="s">
        <v>24</v>
      </c>
      <c r="B869" s="17" t="s">
        <v>54</v>
      </c>
      <c r="C869" s="13" t="s">
        <v>56</v>
      </c>
      <c r="D869" s="13" t="s">
        <v>56</v>
      </c>
      <c r="E869" s="13" t="s">
        <v>56</v>
      </c>
      <c r="F869" s="14">
        <v>10.99936677549352</v>
      </c>
      <c r="G869" s="14">
        <v>11.558910716102178</v>
      </c>
      <c r="H869" s="14">
        <v>12.103258976349776</v>
      </c>
      <c r="I869" s="14">
        <v>12.652042595250112</v>
      </c>
      <c r="J869" s="14">
        <v>13.24115128069306</v>
      </c>
      <c r="K869" s="14">
        <v>13.902882460315308</v>
      </c>
      <c r="L869" s="14">
        <v>14.65807772697223</v>
      </c>
      <c r="M869" s="14">
        <v>15.486324313320956</v>
      </c>
      <c r="N869" s="14">
        <v>16.350377032866433</v>
      </c>
      <c r="O869" s="14">
        <v>17.246217040933814</v>
      </c>
      <c r="P869" s="14">
        <v>18.189526423978378</v>
      </c>
      <c r="Q869" s="14">
        <v>19.197577016387548</v>
      </c>
      <c r="R869" s="14">
        <v>20.254718438457331</v>
      </c>
      <c r="S869" s="22"/>
      <c r="T869" s="22"/>
      <c r="U869" s="12"/>
      <c r="V869" s="12"/>
      <c r="W869" s="12"/>
      <c r="X869" s="12"/>
      <c r="Y869" s="12"/>
      <c r="Z869" s="12"/>
      <c r="AA869" s="12"/>
      <c r="AB869" s="12"/>
      <c r="AC869" s="12"/>
      <c r="AD869" s="12"/>
      <c r="AE869" s="12"/>
      <c r="AF869" s="12"/>
    </row>
    <row r="870" spans="1:32" x14ac:dyDescent="0.35">
      <c r="A870" t="s">
        <v>24</v>
      </c>
      <c r="B870" s="17" t="s">
        <v>54</v>
      </c>
      <c r="C870" s="13" t="s">
        <v>57</v>
      </c>
      <c r="D870" s="13" t="s">
        <v>57</v>
      </c>
      <c r="E870" s="13" t="s">
        <v>57</v>
      </c>
      <c r="F870" s="14">
        <v>19.861895192951117</v>
      </c>
      <c r="G870" s="14">
        <v>20.696820522926565</v>
      </c>
      <c r="H870" s="14">
        <v>21.608236865062885</v>
      </c>
      <c r="I870" s="14">
        <v>22.552586082785275</v>
      </c>
      <c r="J870" s="14">
        <v>23.508136273722751</v>
      </c>
      <c r="K870" s="14">
        <v>24.441484640769524</v>
      </c>
      <c r="L870" s="14">
        <v>25.420037091448645</v>
      </c>
      <c r="M870" s="14">
        <v>26.488607469571377</v>
      </c>
      <c r="N870" s="14">
        <v>27.690392206197085</v>
      </c>
      <c r="O870" s="14">
        <v>29.020542808662853</v>
      </c>
      <c r="P870" s="14">
        <v>30.424262756561014</v>
      </c>
      <c r="Q870" s="14">
        <v>31.855314775319865</v>
      </c>
      <c r="R870" s="14">
        <v>33.312096047089959</v>
      </c>
      <c r="S870" s="14"/>
      <c r="T870" s="14"/>
      <c r="U870" s="12"/>
      <c r="V870" s="12"/>
      <c r="W870" s="12"/>
      <c r="X870" s="12"/>
      <c r="Y870" s="12"/>
      <c r="Z870" s="12"/>
      <c r="AA870" s="12"/>
      <c r="AB870" s="12"/>
      <c r="AC870" s="12"/>
      <c r="AD870" s="12"/>
      <c r="AE870" s="12"/>
      <c r="AF870" s="12"/>
    </row>
    <row r="871" spans="1:32" x14ac:dyDescent="0.35">
      <c r="A871" t="s">
        <v>24</v>
      </c>
      <c r="B871" s="17" t="s">
        <v>59</v>
      </c>
      <c r="C871" s="18" t="s">
        <v>60</v>
      </c>
      <c r="D871" s="38" t="s">
        <v>61</v>
      </c>
      <c r="E871" s="39" t="s">
        <v>62</v>
      </c>
      <c r="F871" s="22">
        <v>1.1338049362210987</v>
      </c>
      <c r="G871" s="22">
        <v>1.2246808073445834</v>
      </c>
      <c r="H871" s="22">
        <v>1.3250054220590151</v>
      </c>
      <c r="I871" s="22">
        <v>1.4341012425734818</v>
      </c>
      <c r="J871" s="22">
        <v>1.549786717576414</v>
      </c>
      <c r="K871" s="22">
        <v>1.673978936472226</v>
      </c>
      <c r="L871" s="22">
        <v>1.8082872705650108</v>
      </c>
      <c r="M871" s="22">
        <v>1.9559764682375951</v>
      </c>
      <c r="N871" s="22">
        <v>2.1187030919462453</v>
      </c>
      <c r="O871" s="22">
        <v>2.2974795030670223</v>
      </c>
      <c r="P871" s="22">
        <v>2.4904355558103703</v>
      </c>
      <c r="Q871" s="22">
        <v>2.6956584158783103</v>
      </c>
      <c r="R871" s="22">
        <v>2.915637331666558</v>
      </c>
      <c r="S871" s="14"/>
      <c r="T871" s="14"/>
      <c r="U871" s="12"/>
      <c r="V871" s="12"/>
      <c r="W871" s="12"/>
      <c r="X871" s="12"/>
      <c r="Y871" s="12"/>
      <c r="Z871" s="12"/>
      <c r="AA871" s="12"/>
      <c r="AB871" s="12"/>
      <c r="AC871" s="12"/>
      <c r="AD871" s="12"/>
      <c r="AE871" s="12"/>
      <c r="AF871" s="12"/>
    </row>
    <row r="872" spans="1:32" x14ac:dyDescent="0.35">
      <c r="A872" t="s">
        <v>24</v>
      </c>
      <c r="B872" s="17" t="s">
        <v>59</v>
      </c>
      <c r="C872" s="18" t="s">
        <v>60</v>
      </c>
      <c r="D872" s="38" t="s">
        <v>61</v>
      </c>
      <c r="E872" s="39" t="s">
        <v>63</v>
      </c>
      <c r="F872" s="22">
        <v>2.8740078032597389</v>
      </c>
      <c r="G872" s="22">
        <v>3.0300815085339714</v>
      </c>
      <c r="H872" s="22">
        <v>3.2006909980293616</v>
      </c>
      <c r="I872" s="22">
        <v>3.3798398000692442</v>
      </c>
      <c r="J872" s="22">
        <v>3.5645094504257515</v>
      </c>
      <c r="K872" s="22">
        <v>3.7497638298791913</v>
      </c>
      <c r="L872" s="22">
        <v>3.945896155330185</v>
      </c>
      <c r="M872" s="22">
        <v>4.1601790229310396</v>
      </c>
      <c r="N872" s="22">
        <v>4.3999658381167457</v>
      </c>
      <c r="O872" s="22">
        <v>4.6653068672840723</v>
      </c>
      <c r="P872" s="22">
        <v>4.9482044551949169</v>
      </c>
      <c r="Q872" s="22">
        <v>5.2416589454374005</v>
      </c>
      <c r="R872" s="22">
        <v>5.5456746033790356</v>
      </c>
      <c r="S872" s="14"/>
      <c r="T872" s="14"/>
      <c r="U872" s="12"/>
      <c r="V872" s="12"/>
      <c r="W872" s="12"/>
      <c r="X872" s="12"/>
      <c r="Y872" s="12"/>
      <c r="Z872" s="12"/>
      <c r="AA872" s="12"/>
      <c r="AB872" s="12"/>
      <c r="AC872" s="12"/>
      <c r="AD872" s="12"/>
      <c r="AE872" s="12"/>
      <c r="AF872" s="12"/>
    </row>
    <row r="873" spans="1:32" x14ac:dyDescent="0.35">
      <c r="A873" t="s">
        <v>24</v>
      </c>
      <c r="B873" s="17" t="s">
        <v>59</v>
      </c>
      <c r="C873" s="18" t="s">
        <v>60</v>
      </c>
      <c r="D873" s="38" t="s">
        <v>61</v>
      </c>
      <c r="E873" s="39" t="s">
        <v>64</v>
      </c>
      <c r="F873" s="22">
        <v>2.8856903936761809</v>
      </c>
      <c r="G873" s="22">
        <v>3.0933787183306372</v>
      </c>
      <c r="H873" s="22">
        <v>3.2748609407890505</v>
      </c>
      <c r="I873" s="22">
        <v>3.4022590526963281</v>
      </c>
      <c r="J873" s="22">
        <v>3.4956300407556897</v>
      </c>
      <c r="K873" s="22">
        <v>3.5408202905020119</v>
      </c>
      <c r="L873" s="22">
        <v>3.6075033855614151</v>
      </c>
      <c r="M873" s="22">
        <v>3.7052512047982367</v>
      </c>
      <c r="N873" s="22">
        <v>3.8427215880614183</v>
      </c>
      <c r="O873" s="22">
        <v>4.015403769244033</v>
      </c>
      <c r="P873" s="22">
        <v>4.2002947279697871</v>
      </c>
      <c r="Q873" s="22">
        <v>4.394808572877035</v>
      </c>
      <c r="R873" s="22">
        <v>4.592388348629548</v>
      </c>
      <c r="S873" s="14"/>
      <c r="T873" s="14"/>
      <c r="U873" s="12"/>
      <c r="V873" s="12"/>
      <c r="W873" s="12"/>
      <c r="X873" s="12"/>
      <c r="Y873" s="12"/>
      <c r="Z873" s="12"/>
      <c r="AA873" s="12"/>
      <c r="AB873" s="12"/>
      <c r="AC873" s="12"/>
      <c r="AD873" s="12"/>
      <c r="AE873" s="12"/>
      <c r="AF873" s="12"/>
    </row>
    <row r="874" spans="1:32" x14ac:dyDescent="0.35">
      <c r="A874" t="s">
        <v>24</v>
      </c>
      <c r="B874" s="17" t="s">
        <v>59</v>
      </c>
      <c r="C874" s="18" t="s">
        <v>60</v>
      </c>
      <c r="D874" s="38" t="s">
        <v>65</v>
      </c>
      <c r="E874" s="38" t="s">
        <v>65</v>
      </c>
      <c r="F874" s="41">
        <v>6.1208556741381068</v>
      </c>
      <c r="G874" s="41">
        <v>6.3823643747531902</v>
      </c>
      <c r="H874" s="41">
        <v>6.6617321135330272</v>
      </c>
      <c r="I874" s="41">
        <v>6.9627657420127687</v>
      </c>
      <c r="J874" s="41">
        <v>7.2879296648934595</v>
      </c>
      <c r="K874" s="41">
        <v>7.6399048550300579</v>
      </c>
      <c r="L874" s="41">
        <v>8.0205206702158787</v>
      </c>
      <c r="M874" s="41">
        <v>8.4256938218374344</v>
      </c>
      <c r="N874" s="41">
        <v>8.8511947030384537</v>
      </c>
      <c r="O874" s="41">
        <v>9.2941162128641839</v>
      </c>
      <c r="P874" s="41">
        <v>9.7515010625538956</v>
      </c>
      <c r="Q874" s="41">
        <v>10.226170854963662</v>
      </c>
      <c r="R874" s="41">
        <v>10.71402669224441</v>
      </c>
      <c r="S874" s="14"/>
      <c r="T874" s="14"/>
      <c r="U874" s="12"/>
      <c r="V874" s="12"/>
      <c r="W874" s="12"/>
      <c r="X874" s="12"/>
      <c r="Y874" s="12"/>
      <c r="Z874" s="12"/>
      <c r="AA874" s="12"/>
      <c r="AB874" s="12"/>
      <c r="AC874" s="12"/>
      <c r="AD874" s="12"/>
      <c r="AE874" s="12"/>
      <c r="AF874" s="12"/>
    </row>
    <row r="875" spans="1:32" x14ac:dyDescent="0.35">
      <c r="A875" t="s">
        <v>24</v>
      </c>
      <c r="B875" s="17" t="s">
        <v>59</v>
      </c>
      <c r="C875" s="18" t="s">
        <v>60</v>
      </c>
      <c r="D875" s="38" t="s">
        <v>66</v>
      </c>
      <c r="E875" s="38" t="s">
        <v>66</v>
      </c>
      <c r="F875" s="41">
        <v>4.0017806554870505</v>
      </c>
      <c r="G875" s="41">
        <v>4.1459872167454765</v>
      </c>
      <c r="H875" s="41">
        <v>4.2997337629357339</v>
      </c>
      <c r="I875" s="41">
        <v>4.4652730152535112</v>
      </c>
      <c r="J875" s="41">
        <v>4.6439365771646699</v>
      </c>
      <c r="K875" s="41">
        <v>4.8371569723646699</v>
      </c>
      <c r="L875" s="41">
        <v>5.0457875996543029</v>
      </c>
      <c r="M875" s="41">
        <v>5.2669366779922786</v>
      </c>
      <c r="N875" s="41">
        <v>5.4976905966377263</v>
      </c>
      <c r="O875" s="41">
        <v>5.7360279375614445</v>
      </c>
      <c r="P875" s="41">
        <v>5.9799450332416688</v>
      </c>
      <c r="Q875" s="41">
        <v>6.2310308428305836</v>
      </c>
      <c r="R875" s="41">
        <v>6.4866152145159335</v>
      </c>
      <c r="S875" s="14"/>
      <c r="T875" s="14"/>
      <c r="U875" s="12"/>
      <c r="V875" s="12"/>
      <c r="W875" s="12"/>
      <c r="X875" s="12"/>
      <c r="Y875" s="12"/>
      <c r="Z875" s="12"/>
      <c r="AA875" s="12"/>
      <c r="AB875" s="12"/>
      <c r="AC875" s="12"/>
      <c r="AD875" s="12"/>
      <c r="AE875" s="12"/>
      <c r="AF875" s="12"/>
    </row>
    <row r="876" spans="1:32" x14ac:dyDescent="0.35">
      <c r="A876" t="s">
        <v>24</v>
      </c>
      <c r="B876" s="17" t="s">
        <v>59</v>
      </c>
      <c r="C876" s="18" t="s">
        <v>60</v>
      </c>
      <c r="D876" s="38" t="s">
        <v>67</v>
      </c>
      <c r="E876" s="38" t="s">
        <v>67</v>
      </c>
      <c r="F876" s="41">
        <v>2.5235038447783933</v>
      </c>
      <c r="G876" s="41">
        <v>2.5865538893763032</v>
      </c>
      <c r="H876" s="41">
        <v>2.6554901700088758</v>
      </c>
      <c r="I876" s="41">
        <v>2.730689542587732</v>
      </c>
      <c r="J876" s="41">
        <v>2.8134798241216612</v>
      </c>
      <c r="K876" s="41">
        <v>2.9062827917485148</v>
      </c>
      <c r="L876" s="41">
        <v>3.0089282028473563</v>
      </c>
      <c r="M876" s="41">
        <v>3.1212167474410881</v>
      </c>
      <c r="N876" s="41">
        <v>3.2387361323491914</v>
      </c>
      <c r="O876" s="41">
        <v>3.35852117456239</v>
      </c>
      <c r="P876" s="41">
        <v>3.4760194385022256</v>
      </c>
      <c r="Q876" s="41">
        <v>3.5895176811995344</v>
      </c>
      <c r="R876" s="41">
        <v>3.7010932383950705</v>
      </c>
      <c r="S876" s="14"/>
      <c r="T876" s="14"/>
      <c r="U876" s="12"/>
      <c r="V876" s="12"/>
      <c r="W876" s="12"/>
      <c r="X876" s="12"/>
      <c r="Y876" s="12"/>
      <c r="Z876" s="12"/>
      <c r="AA876" s="12"/>
      <c r="AB876" s="12"/>
      <c r="AC876" s="12"/>
      <c r="AD876" s="12"/>
      <c r="AE876" s="12"/>
      <c r="AF876" s="12"/>
    </row>
    <row r="877" spans="1:32" x14ac:dyDescent="0.35">
      <c r="A877" t="s">
        <v>24</v>
      </c>
      <c r="B877" s="17" t="s">
        <v>59</v>
      </c>
      <c r="C877" s="18" t="s">
        <v>60</v>
      </c>
      <c r="D877" s="38" t="s">
        <v>68</v>
      </c>
      <c r="E877" s="38" t="s">
        <v>68</v>
      </c>
      <c r="F877" s="41">
        <v>4.2027313722162694</v>
      </c>
      <c r="G877" s="41">
        <v>4.4427389485785449</v>
      </c>
      <c r="H877" s="41">
        <v>4.6972672431134406</v>
      </c>
      <c r="I877" s="41">
        <v>4.9792239291207601</v>
      </c>
      <c r="J877" s="41">
        <v>5.2879861754575801</v>
      </c>
      <c r="K877" s="41">
        <v>5.6225131433614353</v>
      </c>
      <c r="L877" s="41">
        <v>5.9793354963024177</v>
      </c>
      <c r="M877" s="41">
        <v>6.3538198707477296</v>
      </c>
      <c r="N877" s="41">
        <v>6.7455654583253128</v>
      </c>
      <c r="O877" s="41">
        <v>7.1703483165149686</v>
      </c>
      <c r="P877" s="41">
        <v>7.6319982114922764</v>
      </c>
      <c r="Q877" s="41">
        <v>8.1242378161277156</v>
      </c>
      <c r="R877" s="41">
        <v>8.6415616889509757</v>
      </c>
      <c r="S877" s="22"/>
      <c r="T877" s="22"/>
      <c r="U877" s="12"/>
      <c r="V877" s="12"/>
      <c r="W877" s="12"/>
      <c r="X877" s="12"/>
      <c r="Y877" s="12"/>
      <c r="Z877" s="12"/>
      <c r="AA877" s="12"/>
      <c r="AB877" s="12"/>
      <c r="AC877" s="12"/>
      <c r="AD877" s="12"/>
      <c r="AE877" s="12"/>
      <c r="AF877" s="12"/>
    </row>
    <row r="878" spans="1:32" x14ac:dyDescent="0.35">
      <c r="A878" t="s">
        <v>24</v>
      </c>
      <c r="B878" s="17" t="s">
        <v>59</v>
      </c>
      <c r="C878" s="18" t="s">
        <v>60</v>
      </c>
      <c r="D878" s="38" t="s">
        <v>69</v>
      </c>
      <c r="E878" s="38" t="s">
        <v>69</v>
      </c>
      <c r="F878" s="41">
        <v>4.7566025828978358</v>
      </c>
      <c r="G878" s="41">
        <v>4.8760790178587508</v>
      </c>
      <c r="H878" s="41">
        <v>5.0046515629782036</v>
      </c>
      <c r="I878" s="41">
        <v>5.1328608227625612</v>
      </c>
      <c r="J878" s="41">
        <v>5.2540888281790057</v>
      </c>
      <c r="K878" s="41">
        <v>5.3755529545397662</v>
      </c>
      <c r="L878" s="41">
        <v>5.5025128673820154</v>
      </c>
      <c r="M878" s="41">
        <v>5.6489788604843989</v>
      </c>
      <c r="N878" s="41">
        <v>5.8177026694985763</v>
      </c>
      <c r="O878" s="41">
        <v>5.9958292014804817</v>
      </c>
      <c r="P878" s="41">
        <v>6.1839064869381364</v>
      </c>
      <c r="Q878" s="41">
        <v>6.3716994778084697</v>
      </c>
      <c r="R878" s="41">
        <v>6.5556378206127643</v>
      </c>
      <c r="S878" s="22"/>
      <c r="T878" s="22"/>
      <c r="U878" s="12"/>
      <c r="V878" s="12"/>
      <c r="W878" s="12"/>
      <c r="X878" s="12"/>
      <c r="Y878" s="12"/>
      <c r="Z878" s="12"/>
      <c r="AA878" s="12"/>
      <c r="AB878" s="12"/>
      <c r="AC878" s="12"/>
      <c r="AD878" s="12"/>
      <c r="AE878" s="12"/>
      <c r="AF878" s="12"/>
    </row>
    <row r="879" spans="1:32" x14ac:dyDescent="0.35">
      <c r="A879" t="s">
        <v>24</v>
      </c>
      <c r="B879" s="17" t="s">
        <v>59</v>
      </c>
      <c r="C879" s="18" t="s">
        <v>70</v>
      </c>
      <c r="D879" s="19" t="s">
        <v>71</v>
      </c>
      <c r="E879" s="19" t="s">
        <v>71</v>
      </c>
      <c r="F879" s="22">
        <v>0.7128200621233598</v>
      </c>
      <c r="G879" s="22">
        <v>0.77019596317824468</v>
      </c>
      <c r="H879" s="22">
        <v>0.83299700410925603</v>
      </c>
      <c r="I879" s="22">
        <v>0.90209886083874424</v>
      </c>
      <c r="J879" s="22">
        <v>0.97829699862154418</v>
      </c>
      <c r="K879" s="22">
        <v>1.0624920278853986</v>
      </c>
      <c r="L879" s="22">
        <v>1.1555521569164655</v>
      </c>
      <c r="M879" s="22">
        <v>1.2575692471141007</v>
      </c>
      <c r="N879" s="22">
        <v>1.3685718831820033</v>
      </c>
      <c r="O879" s="22">
        <v>1.4887435656460573</v>
      </c>
      <c r="P879" s="22">
        <v>1.6182337635814468</v>
      </c>
      <c r="Q879" s="22">
        <v>1.7581200455889825</v>
      </c>
      <c r="R879" s="22">
        <v>1.908393274967926</v>
      </c>
      <c r="S879" s="22"/>
      <c r="T879" s="22"/>
      <c r="U879" s="12"/>
      <c r="V879" s="12"/>
      <c r="W879" s="12"/>
      <c r="X879" s="12"/>
      <c r="Y879" s="12"/>
      <c r="Z879" s="12"/>
      <c r="AA879" s="12"/>
      <c r="AB879" s="12"/>
      <c r="AC879" s="12"/>
      <c r="AD879" s="12"/>
      <c r="AE879" s="12"/>
      <c r="AF879" s="12"/>
    </row>
    <row r="880" spans="1:32" x14ac:dyDescent="0.35">
      <c r="A880" t="s">
        <v>24</v>
      </c>
      <c r="B880" s="17" t="s">
        <v>59</v>
      </c>
      <c r="C880" s="18" t="s">
        <v>70</v>
      </c>
      <c r="D880" s="19" t="s">
        <v>72</v>
      </c>
      <c r="E880" s="19" t="s">
        <v>72</v>
      </c>
      <c r="F880" s="22">
        <v>0.51102421297157075</v>
      </c>
      <c r="G880" s="22">
        <v>0.55854615029559718</v>
      </c>
      <c r="H880" s="22">
        <v>0.61058971692293218</v>
      </c>
      <c r="I880" s="22">
        <v>0.66915240063140069</v>
      </c>
      <c r="J880" s="22">
        <v>0.73465981505679145</v>
      </c>
      <c r="K880" s="22">
        <v>0.80749963602445651</v>
      </c>
      <c r="L880" s="22">
        <v>0.8877240256254596</v>
      </c>
      <c r="M880" s="22">
        <v>0.97517882923945909</v>
      </c>
      <c r="N880" s="22">
        <v>1.0702988655635224</v>
      </c>
      <c r="O880" s="22">
        <v>1.1761066379148208</v>
      </c>
      <c r="P880" s="22">
        <v>1.2940338874131283</v>
      </c>
      <c r="Q880" s="22">
        <v>1.4239326455339165</v>
      </c>
      <c r="R880" s="22">
        <v>1.5657030753663608</v>
      </c>
      <c r="S880" s="22"/>
      <c r="T880" s="22"/>
      <c r="U880" s="12"/>
      <c r="V880" s="12"/>
      <c r="W880" s="12"/>
      <c r="X880" s="12"/>
      <c r="Y880" s="12"/>
      <c r="Z880" s="12"/>
      <c r="AA880" s="12"/>
      <c r="AB880" s="12"/>
      <c r="AC880" s="12"/>
      <c r="AD880" s="12"/>
      <c r="AE880" s="12"/>
      <c r="AF880" s="12"/>
    </row>
    <row r="881" spans="1:32" x14ac:dyDescent="0.35">
      <c r="A881" t="s">
        <v>24</v>
      </c>
      <c r="B881" s="17" t="s">
        <v>59</v>
      </c>
      <c r="C881" s="18" t="s">
        <v>70</v>
      </c>
      <c r="D881" s="19" t="s">
        <v>73</v>
      </c>
      <c r="E881" s="19" t="s">
        <v>73</v>
      </c>
      <c r="F881" s="22">
        <v>0.52962069486987229</v>
      </c>
      <c r="G881" s="22">
        <v>0.55654848661919998</v>
      </c>
      <c r="H881" s="22">
        <v>0.58577296347536756</v>
      </c>
      <c r="I881" s="22">
        <v>0.61750831196564293</v>
      </c>
      <c r="J881" s="22">
        <v>0.65219799908102905</v>
      </c>
      <c r="K881" s="22">
        <v>0.69057563906978447</v>
      </c>
      <c r="L881" s="22">
        <v>0.73282289846557869</v>
      </c>
      <c r="M881" s="22">
        <v>0.77912035895605491</v>
      </c>
      <c r="N881" s="22">
        <v>0.82860245509677488</v>
      </c>
      <c r="O881" s="22">
        <v>0.88067476782442333</v>
      </c>
      <c r="P881" s="22">
        <v>0.93425813955941872</v>
      </c>
      <c r="Q881" s="22">
        <v>0.98892177773432066</v>
      </c>
      <c r="R881" s="22">
        <v>1.0452331007068698</v>
      </c>
      <c r="S881" s="22"/>
      <c r="T881" s="22"/>
      <c r="U881" s="12"/>
      <c r="V881" s="12"/>
      <c r="W881" s="12"/>
      <c r="X881" s="12"/>
      <c r="Y881" s="12"/>
      <c r="Z881" s="12"/>
      <c r="AA881" s="12"/>
      <c r="AB881" s="12"/>
      <c r="AC881" s="12"/>
      <c r="AD881" s="12"/>
      <c r="AE881" s="12"/>
      <c r="AF881" s="12"/>
    </row>
    <row r="882" spans="1:32" x14ac:dyDescent="0.35">
      <c r="A882" t="s">
        <v>24</v>
      </c>
      <c r="B882" s="17" t="s">
        <v>59</v>
      </c>
      <c r="C882" s="18" t="s">
        <v>70</v>
      </c>
      <c r="D882" s="19" t="s">
        <v>74</v>
      </c>
      <c r="E882" s="19" t="s">
        <v>74</v>
      </c>
      <c r="F882" s="22">
        <v>0.5752193704367552</v>
      </c>
      <c r="G882" s="22">
        <v>0.61267779591725724</v>
      </c>
      <c r="H882" s="22">
        <v>0.65026133378677731</v>
      </c>
      <c r="I882" s="22">
        <v>0.68901137556842362</v>
      </c>
      <c r="J882" s="22">
        <v>0.73091155069425684</v>
      </c>
      <c r="K882" s="22">
        <v>0.77785437054712692</v>
      </c>
      <c r="L882" s="22">
        <v>0.83119107824140626</v>
      </c>
      <c r="M882" s="22">
        <v>0.89000128138482126</v>
      </c>
      <c r="N882" s="22">
        <v>0.95234075236519666</v>
      </c>
      <c r="O882" s="22">
        <v>1.0180902231359792</v>
      </c>
      <c r="P882" s="22">
        <v>1.0882837578817619</v>
      </c>
      <c r="Q882" s="22">
        <v>1.1641033680370354</v>
      </c>
      <c r="R882" s="22">
        <v>1.24479445305544</v>
      </c>
      <c r="S882" s="22"/>
      <c r="T882" s="22"/>
      <c r="U882" s="12"/>
      <c r="V882" s="12"/>
      <c r="W882" s="12"/>
      <c r="X882" s="12"/>
      <c r="Y882" s="12"/>
      <c r="Z882" s="12"/>
      <c r="AA882" s="12"/>
      <c r="AB882" s="12"/>
      <c r="AC882" s="12"/>
      <c r="AD882" s="12"/>
      <c r="AE882" s="12"/>
      <c r="AF882" s="12"/>
    </row>
    <row r="883" spans="1:32" x14ac:dyDescent="0.35">
      <c r="A883" t="s">
        <v>24</v>
      </c>
      <c r="B883" s="17" t="s">
        <v>59</v>
      </c>
      <c r="C883" s="18" t="s">
        <v>70</v>
      </c>
      <c r="D883" s="19" t="s">
        <v>75</v>
      </c>
      <c r="E883" s="19" t="s">
        <v>75</v>
      </c>
      <c r="F883" s="22">
        <v>0.48851524083361553</v>
      </c>
      <c r="G883" s="22">
        <v>0.52508352429902472</v>
      </c>
      <c r="H883" s="22">
        <v>0.56504551659364244</v>
      </c>
      <c r="I883" s="22">
        <v>0.6076250710400305</v>
      </c>
      <c r="J883" s="22">
        <v>0.65219799908102905</v>
      </c>
      <c r="K883" s="22">
        <v>0.6997145186090028</v>
      </c>
      <c r="L883" s="22">
        <v>0.75104275763939377</v>
      </c>
      <c r="M883" s="22">
        <v>0.80838935783682431</v>
      </c>
      <c r="N883" s="22">
        <v>0.87274197887859362</v>
      </c>
      <c r="O883" s="22">
        <v>0.94287200938965665</v>
      </c>
      <c r="P883" s="22">
        <v>1.0193445607154892</v>
      </c>
      <c r="Q883" s="22">
        <v>1.1010001481304124</v>
      </c>
      <c r="R883" s="22">
        <v>1.187545335568376</v>
      </c>
      <c r="S883" s="22"/>
      <c r="T883" s="22"/>
      <c r="U883" s="12"/>
      <c r="V883" s="12"/>
      <c r="W883" s="12"/>
      <c r="X883" s="12"/>
      <c r="Y883" s="12"/>
      <c r="Z883" s="12"/>
      <c r="AA883" s="12"/>
      <c r="AB883" s="12"/>
      <c r="AC883" s="12"/>
      <c r="AD883" s="12"/>
      <c r="AE883" s="12"/>
      <c r="AF883" s="12"/>
    </row>
    <row r="884" spans="1:32" x14ac:dyDescent="0.35">
      <c r="A884" t="s">
        <v>24</v>
      </c>
      <c r="B884" s="17" t="s">
        <v>59</v>
      </c>
      <c r="C884" s="18" t="s">
        <v>76</v>
      </c>
      <c r="D884" s="19" t="s">
        <v>77</v>
      </c>
      <c r="E884" s="19" t="s">
        <v>77</v>
      </c>
      <c r="F884" s="22">
        <v>0.74787132356277419</v>
      </c>
      <c r="G884" s="22">
        <v>0.79008962925090387</v>
      </c>
      <c r="H884" s="22">
        <v>0.83551892596806621</v>
      </c>
      <c r="I884" s="22">
        <v>0.88474400978370893</v>
      </c>
      <c r="J884" s="22">
        <v>0.938206866743999</v>
      </c>
      <c r="K884" s="22">
        <v>0.99639701312184847</v>
      </c>
      <c r="L884" s="22">
        <v>1.0597145901973868</v>
      </c>
      <c r="M884" s="22">
        <v>1.1277950569461681</v>
      </c>
      <c r="N884" s="22">
        <v>1.2002304990636119</v>
      </c>
      <c r="O884" s="22">
        <v>1.2767667530912632</v>
      </c>
      <c r="P884" s="22">
        <v>1.3571256756795547</v>
      </c>
      <c r="Q884" s="22">
        <v>1.4418153083490355</v>
      </c>
      <c r="R884" s="22">
        <v>1.5303913423022018</v>
      </c>
      <c r="S884" s="22"/>
      <c r="T884" s="22"/>
      <c r="U884" s="12"/>
      <c r="V884" s="12"/>
      <c r="W884" s="12"/>
      <c r="X884" s="12"/>
      <c r="Y884" s="12"/>
      <c r="Z884" s="12"/>
      <c r="AA884" s="12"/>
      <c r="AB884" s="12"/>
      <c r="AC884" s="12"/>
      <c r="AD884" s="12"/>
      <c r="AE884" s="12"/>
      <c r="AF884" s="12"/>
    </row>
    <row r="885" spans="1:32" x14ac:dyDescent="0.35">
      <c r="A885" t="s">
        <v>24</v>
      </c>
      <c r="B885" s="17" t="s">
        <v>59</v>
      </c>
      <c r="C885" s="18" t="s">
        <v>76</v>
      </c>
      <c r="D885" s="19" t="s">
        <v>78</v>
      </c>
      <c r="E885" s="19" t="s">
        <v>78</v>
      </c>
      <c r="F885" s="22">
        <v>0.6945869023458987</v>
      </c>
      <c r="G885" s="22">
        <v>0.72097322074295811</v>
      </c>
      <c r="H885" s="22">
        <v>0.7495635379775486</v>
      </c>
      <c r="I885" s="22">
        <v>0.78053688172919777</v>
      </c>
      <c r="J885" s="22">
        <v>0.8143511747645934</v>
      </c>
      <c r="K885" s="22">
        <v>0.85180196828764143</v>
      </c>
      <c r="L885" s="22">
        <v>0.89296260576260633</v>
      </c>
      <c r="M885" s="22">
        <v>0.93789812614163537</v>
      </c>
      <c r="N885" s="22">
        <v>0.98540751724618159</v>
      </c>
      <c r="O885" s="22">
        <v>1.0346665663943666</v>
      </c>
      <c r="P885" s="22">
        <v>1.0843186686616602</v>
      </c>
      <c r="Q885" s="22">
        <v>1.1338234242208001</v>
      </c>
      <c r="R885" s="22">
        <v>1.1838104163176537</v>
      </c>
      <c r="S885" s="22"/>
      <c r="T885" s="22"/>
      <c r="U885" s="12"/>
      <c r="V885" s="12"/>
      <c r="W885" s="12"/>
      <c r="X885" s="12"/>
      <c r="Y885" s="12"/>
      <c r="Z885" s="12"/>
      <c r="AA885" s="12"/>
      <c r="AB885" s="12"/>
      <c r="AC885" s="12"/>
      <c r="AD885" s="12"/>
      <c r="AE885" s="12"/>
      <c r="AF885" s="12"/>
    </row>
    <row r="886" spans="1:32" x14ac:dyDescent="0.35">
      <c r="A886" t="s">
        <v>24</v>
      </c>
      <c r="B886" s="17" t="s">
        <v>59</v>
      </c>
      <c r="C886" s="18" t="s">
        <v>76</v>
      </c>
      <c r="D886" s="19" t="s">
        <v>79</v>
      </c>
      <c r="E886" s="19" t="s">
        <v>79</v>
      </c>
      <c r="F886" s="22">
        <v>0.38976992110322839</v>
      </c>
      <c r="G886" s="22">
        <v>0.42006447886445458</v>
      </c>
      <c r="H886" s="22">
        <v>0.45315372463246845</v>
      </c>
      <c r="I886" s="22">
        <v>0.48949143846589543</v>
      </c>
      <c r="J886" s="22">
        <v>0.52948308321196003</v>
      </c>
      <c r="K886" s="22">
        <v>0.57358671278703099</v>
      </c>
      <c r="L886" s="22">
        <v>0.62223801908380449</v>
      </c>
      <c r="M886" s="22">
        <v>0.67544998724452077</v>
      </c>
      <c r="N886" s="22">
        <v>0.73320122916309638</v>
      </c>
      <c r="O886" s="22">
        <v>0.79555330175862804</v>
      </c>
      <c r="P886" s="22">
        <v>0.86254867630384002</v>
      </c>
      <c r="Q886" s="22">
        <v>0.93472380588455528</v>
      </c>
      <c r="R886" s="22">
        <v>1.0120316333304009</v>
      </c>
      <c r="S886" s="14"/>
      <c r="T886" s="14"/>
      <c r="U886" s="12"/>
      <c r="V886" s="12"/>
      <c r="W886" s="12"/>
      <c r="X886" s="12"/>
      <c r="Y886" s="12"/>
      <c r="Z886" s="12"/>
      <c r="AA886" s="12"/>
      <c r="AB886" s="12"/>
      <c r="AC886" s="12"/>
      <c r="AD886" s="12"/>
      <c r="AE886" s="12"/>
      <c r="AF886" s="12"/>
    </row>
    <row r="887" spans="1:32" x14ac:dyDescent="0.35">
      <c r="A887" t="s">
        <v>24</v>
      </c>
      <c r="B887" s="17" t="s">
        <v>59</v>
      </c>
      <c r="C887" s="18" t="s">
        <v>76</v>
      </c>
      <c r="D887" s="19" t="s">
        <v>80</v>
      </c>
      <c r="E887" s="19" t="s">
        <v>80</v>
      </c>
      <c r="F887" s="22">
        <v>0.3155820327927541</v>
      </c>
      <c r="G887" s="22">
        <v>0.3270393166219499</v>
      </c>
      <c r="H887" s="22">
        <v>0.33956663861028874</v>
      </c>
      <c r="I887" s="22">
        <v>0.3524606338892437</v>
      </c>
      <c r="J887" s="22">
        <v>0.3653742913392472</v>
      </c>
      <c r="K887" s="22">
        <v>0.37778675542891976</v>
      </c>
      <c r="L887" s="22">
        <v>0.39074682360258911</v>
      </c>
      <c r="M887" s="22">
        <v>0.40493298377068587</v>
      </c>
      <c r="N887" s="22">
        <v>0.42098395260832255</v>
      </c>
      <c r="O887" s="22">
        <v>0.43879378294642951</v>
      </c>
      <c r="P887" s="22">
        <v>0.45750332716048586</v>
      </c>
      <c r="Q887" s="22">
        <v>0.47640061535296446</v>
      </c>
      <c r="R887" s="22">
        <v>0.49545658898892475</v>
      </c>
      <c r="S887" s="14"/>
      <c r="T887" s="14"/>
      <c r="U887" s="12"/>
      <c r="V887" s="12"/>
      <c r="W887" s="12"/>
      <c r="X887" s="12"/>
      <c r="Y887" s="12"/>
      <c r="Z887" s="12"/>
      <c r="AA887" s="12"/>
      <c r="AB887" s="12"/>
      <c r="AC887" s="12"/>
      <c r="AD887" s="12"/>
      <c r="AE887" s="12"/>
      <c r="AF887" s="12"/>
    </row>
    <row r="888" spans="1:32" x14ac:dyDescent="0.35">
      <c r="A888" t="s">
        <v>24</v>
      </c>
      <c r="B888" s="17" t="s">
        <v>59</v>
      </c>
      <c r="C888" s="18" t="s">
        <v>76</v>
      </c>
      <c r="D888" s="19" t="s">
        <v>81</v>
      </c>
      <c r="E888" s="19" t="s">
        <v>81</v>
      </c>
      <c r="F888" s="22">
        <v>0.37231187298423507</v>
      </c>
      <c r="G888" s="22">
        <v>0.38919297497234007</v>
      </c>
      <c r="H888" s="22">
        <v>0.40748814292227786</v>
      </c>
      <c r="I888" s="22">
        <v>0.42732247630732867</v>
      </c>
      <c r="J888" s="22">
        <v>0.44897688342534614</v>
      </c>
      <c r="K888" s="22">
        <v>0.47292589123724599</v>
      </c>
      <c r="L888" s="22">
        <v>0.49925586385534282</v>
      </c>
      <c r="M888" s="22">
        <v>0.52805025960696494</v>
      </c>
      <c r="N888" s="22">
        <v>0.55868137814796592</v>
      </c>
      <c r="O888" s="22">
        <v>0.59071689114776782</v>
      </c>
      <c r="P888" s="22">
        <v>0.6234079281256395</v>
      </c>
      <c r="Q888" s="22">
        <v>0.65645351088392734</v>
      </c>
      <c r="R888" s="22">
        <v>0.690221409202596</v>
      </c>
      <c r="S888" s="14"/>
      <c r="T888" s="14"/>
      <c r="U888" s="12"/>
      <c r="V888" s="12"/>
      <c r="W888" s="12"/>
      <c r="X888" s="12"/>
      <c r="Y888" s="12"/>
      <c r="Z888" s="12"/>
      <c r="AA888" s="12"/>
      <c r="AB888" s="12"/>
      <c r="AC888" s="12"/>
      <c r="AD888" s="12"/>
      <c r="AE888" s="12"/>
      <c r="AF888" s="12"/>
    </row>
    <row r="889" spans="1:32" x14ac:dyDescent="0.35">
      <c r="A889" t="s">
        <v>24</v>
      </c>
      <c r="B889" s="17" t="s">
        <v>47</v>
      </c>
      <c r="C889" s="13" t="s">
        <v>82</v>
      </c>
      <c r="D889" s="13" t="s">
        <v>82</v>
      </c>
      <c r="E889" s="13" t="s">
        <v>82</v>
      </c>
      <c r="F889" s="14">
        <v>13.974403703747617</v>
      </c>
      <c r="G889" s="14">
        <v>14.755455499356822</v>
      </c>
      <c r="H889" s="14">
        <v>15.541152853382451</v>
      </c>
      <c r="I889" s="14">
        <v>16.354378524510732</v>
      </c>
      <c r="J889" s="14">
        <v>17.233867666871276</v>
      </c>
      <c r="K889" s="14">
        <v>18.215123666126804</v>
      </c>
      <c r="L889" s="14">
        <v>19.321985375799972</v>
      </c>
      <c r="M889" s="14">
        <v>20.533830693139656</v>
      </c>
      <c r="N889" s="14">
        <v>21.81294838309185</v>
      </c>
      <c r="O889" s="14">
        <v>23.155474673165138</v>
      </c>
      <c r="P889" s="14">
        <v>24.577100600224693</v>
      </c>
      <c r="Q889" s="14">
        <v>26.098762481518797</v>
      </c>
      <c r="R889" s="14">
        <v>27.704119521111082</v>
      </c>
      <c r="S889" s="14"/>
      <c r="T889" s="14"/>
      <c r="U889" s="12"/>
      <c r="V889" s="12"/>
      <c r="W889" s="12"/>
      <c r="X889" s="12"/>
      <c r="Y889" s="12"/>
      <c r="Z889" s="12"/>
      <c r="AA889" s="12"/>
      <c r="AB889" s="12"/>
      <c r="AC889" s="12"/>
      <c r="AD889" s="12"/>
      <c r="AE889" s="12"/>
      <c r="AF889" s="12"/>
    </row>
    <row r="890" spans="1:32" x14ac:dyDescent="0.35">
      <c r="A890" t="s">
        <v>24</v>
      </c>
      <c r="B890" s="17" t="s">
        <v>47</v>
      </c>
      <c r="C890" s="13" t="s">
        <v>83</v>
      </c>
      <c r="D890" s="13" t="s">
        <v>83</v>
      </c>
      <c r="E890" s="13" t="s">
        <v>83</v>
      </c>
      <c r="F890" s="14">
        <v>19.861895192951117</v>
      </c>
      <c r="G890" s="14">
        <v>20.696820522926565</v>
      </c>
      <c r="H890" s="14">
        <v>21.608236865062885</v>
      </c>
      <c r="I890" s="14">
        <v>22.552586082785275</v>
      </c>
      <c r="J890" s="14">
        <v>23.508136273722751</v>
      </c>
      <c r="K890" s="14">
        <v>24.441484640769524</v>
      </c>
      <c r="L890" s="14">
        <v>25.420037091448645</v>
      </c>
      <c r="M890" s="14">
        <v>26.488607469571377</v>
      </c>
      <c r="N890" s="14">
        <v>27.690392206197085</v>
      </c>
      <c r="O890" s="14">
        <v>29.020542808662853</v>
      </c>
      <c r="P890" s="14">
        <v>30.424262756561014</v>
      </c>
      <c r="Q890" s="14">
        <v>31.855314775319865</v>
      </c>
      <c r="R890" s="14">
        <v>33.312096047089959</v>
      </c>
      <c r="S890" s="14"/>
      <c r="T890" s="14"/>
      <c r="U890" s="12"/>
      <c r="V890" s="12"/>
      <c r="W890" s="12"/>
      <c r="X890" s="12"/>
      <c r="Y890" s="12"/>
      <c r="Z890" s="12"/>
      <c r="AA890" s="12"/>
      <c r="AB890" s="12"/>
      <c r="AC890" s="12"/>
      <c r="AD890" s="12"/>
      <c r="AE890" s="12"/>
      <c r="AF890" s="12"/>
    </row>
    <row r="891" spans="1:32" x14ac:dyDescent="0.35">
      <c r="A891" t="s">
        <v>24</v>
      </c>
      <c r="B891" s="17" t="s">
        <v>84</v>
      </c>
      <c r="C891" s="13" t="s">
        <v>85</v>
      </c>
      <c r="D891" s="13" t="s">
        <v>85</v>
      </c>
      <c r="E891" s="13" t="s">
        <v>85</v>
      </c>
      <c r="F891" s="14">
        <v>1.8959280757911445</v>
      </c>
      <c r="G891" s="14">
        <v>1.9491785915787598</v>
      </c>
      <c r="H891" s="14">
        <v>2.0063612161565083</v>
      </c>
      <c r="I891" s="14">
        <v>2.0637166239301759</v>
      </c>
      <c r="J891" s="14">
        <v>2.1185842049108894</v>
      </c>
      <c r="K891" s="14">
        <v>2.1738512461235362</v>
      </c>
      <c r="L891" s="14">
        <v>2.2316469521345486</v>
      </c>
      <c r="M891" s="14">
        <v>2.2976742007539328</v>
      </c>
      <c r="N891" s="14">
        <v>2.3731224242404423</v>
      </c>
      <c r="O891" s="14">
        <v>2.4528279663020207</v>
      </c>
      <c r="P891" s="14">
        <v>2.5370501818875053</v>
      </c>
      <c r="Q891" s="14">
        <v>2.6216272670243983</v>
      </c>
      <c r="R891" s="14">
        <v>2.705091438986821</v>
      </c>
      <c r="S891" s="14"/>
      <c r="T891" s="14"/>
      <c r="U891" s="12"/>
      <c r="V891" s="12"/>
      <c r="W891" s="12"/>
      <c r="X891" s="12"/>
      <c r="Y891" s="12"/>
      <c r="Z891" s="12"/>
      <c r="AA891" s="12"/>
      <c r="AB891" s="12"/>
      <c r="AC891" s="12"/>
      <c r="AD891" s="12"/>
      <c r="AE891" s="12"/>
      <c r="AF891" s="12"/>
    </row>
    <row r="892" spans="1:32" x14ac:dyDescent="0.35">
      <c r="A892" t="s">
        <v>24</v>
      </c>
      <c r="B892" s="17" t="s">
        <v>84</v>
      </c>
      <c r="C892" s="13" t="s">
        <v>86</v>
      </c>
      <c r="D892" s="13" t="s">
        <v>86</v>
      </c>
      <c r="E892" s="13" t="s">
        <v>86</v>
      </c>
      <c r="F892" s="14">
        <v>6.6428571471572209</v>
      </c>
      <c r="G892" s="14">
        <v>6.8427035369671554</v>
      </c>
      <c r="H892" s="14">
        <v>7.049816647768929</v>
      </c>
      <c r="I892" s="14">
        <v>7.2824786849032295</v>
      </c>
      <c r="J892" s="14">
        <v>7.5372707290098946</v>
      </c>
      <c r="K892" s="14">
        <v>7.8104106805663625</v>
      </c>
      <c r="L892" s="14">
        <v>8.0950222236657989</v>
      </c>
      <c r="M892" s="14">
        <v>8.3832588048841288</v>
      </c>
      <c r="N892" s="14">
        <v>8.6735879064346904</v>
      </c>
      <c r="O892" s="14">
        <v>8.9853951069300262</v>
      </c>
      <c r="P892" s="14">
        <v>9.321090095585399</v>
      </c>
      <c r="Q892" s="14">
        <v>9.6703858193723526</v>
      </c>
      <c r="R892" s="14">
        <v>10.024839152096709</v>
      </c>
      <c r="S892" s="14"/>
      <c r="T892" s="14"/>
      <c r="U892" s="12"/>
      <c r="V892" s="12"/>
      <c r="W892" s="12"/>
      <c r="X892" s="12"/>
      <c r="Y892" s="12"/>
      <c r="Z892" s="12"/>
      <c r="AA892" s="12"/>
      <c r="AB892" s="12"/>
      <c r="AC892" s="12"/>
      <c r="AD892" s="12"/>
      <c r="AE892" s="12"/>
      <c r="AF892" s="12"/>
    </row>
    <row r="893" spans="1:32" x14ac:dyDescent="0.35">
      <c r="A893" t="s">
        <v>24</v>
      </c>
      <c r="B893" s="17" t="s">
        <v>84</v>
      </c>
      <c r="C893" s="40" t="s">
        <v>87</v>
      </c>
      <c r="D893" s="40" t="s">
        <v>87</v>
      </c>
      <c r="E893" s="40" t="s">
        <v>87</v>
      </c>
      <c r="F893" s="42">
        <v>11.880501299205811</v>
      </c>
      <c r="G893" s="42">
        <v>12.645928880086824</v>
      </c>
      <c r="H893" s="42">
        <v>13.441463243834654</v>
      </c>
      <c r="I893" s="42">
        <v>14.23065302407668</v>
      </c>
      <c r="J893" s="42">
        <v>15.033799454079194</v>
      </c>
      <c r="K893" s="42">
        <v>15.83412057285528</v>
      </c>
      <c r="L893" s="42">
        <v>16.719331651842321</v>
      </c>
      <c r="M893" s="42">
        <v>17.710216370559905</v>
      </c>
      <c r="N893" s="42">
        <v>18.829757644963568</v>
      </c>
      <c r="O893" s="42">
        <v>20.06485547055199</v>
      </c>
      <c r="P893" s="42">
        <v>21.3943471358549</v>
      </c>
      <c r="Q893" s="42">
        <v>22.817889902185911</v>
      </c>
      <c r="R893" s="42">
        <v>24.318334475792561</v>
      </c>
      <c r="S893" s="14"/>
      <c r="T893" s="14"/>
      <c r="U893" s="12"/>
      <c r="V893" s="12"/>
      <c r="W893" s="12"/>
      <c r="X893" s="12"/>
      <c r="Y893" s="12"/>
      <c r="Z893" s="12"/>
      <c r="AA893" s="12"/>
      <c r="AB893" s="12"/>
      <c r="AC893" s="12"/>
      <c r="AD893" s="12"/>
      <c r="AE893" s="12"/>
      <c r="AF893" s="12"/>
    </row>
    <row r="894" spans="1:32" x14ac:dyDescent="0.35">
      <c r="A894" t="s">
        <v>24</v>
      </c>
      <c r="B894" s="17" t="s">
        <v>84</v>
      </c>
      <c r="C894" s="13" t="s">
        <v>88</v>
      </c>
      <c r="D894" s="13" t="s">
        <v>88</v>
      </c>
      <c r="E894" s="13" t="s">
        <v>88</v>
      </c>
      <c r="F894" s="14">
        <v>7.5044553259312874</v>
      </c>
      <c r="G894" s="14">
        <v>7.8524663250208127</v>
      </c>
      <c r="H894" s="14">
        <v>8.2297034016672601</v>
      </c>
      <c r="I894" s="14">
        <v>8.6387793405292168</v>
      </c>
      <c r="J894" s="14">
        <v>9.0854668787524684</v>
      </c>
      <c r="K894" s="14">
        <v>9.5794793136474663</v>
      </c>
      <c r="L894" s="14">
        <v>10.122705258775623</v>
      </c>
      <c r="M894" s="14">
        <v>10.716981464851976</v>
      </c>
      <c r="N894" s="14">
        <v>11.349718320925865</v>
      </c>
      <c r="O894" s="14">
        <v>12.012245852309176</v>
      </c>
      <c r="P894" s="14">
        <v>12.689423220057455</v>
      </c>
      <c r="Q894" s="14">
        <v>13.375167075312559</v>
      </c>
      <c r="R894" s="14">
        <v>14.076995765627514</v>
      </c>
      <c r="S894" s="14"/>
      <c r="T894" s="14"/>
      <c r="U894" s="12"/>
      <c r="V894" s="12"/>
      <c r="W894" s="12"/>
      <c r="X894" s="12"/>
      <c r="Y894" s="12"/>
      <c r="Z894" s="12"/>
      <c r="AA894" s="12"/>
      <c r="AB894" s="12"/>
      <c r="AC894" s="12"/>
      <c r="AD894" s="12"/>
      <c r="AE894" s="12"/>
      <c r="AF894" s="12"/>
    </row>
    <row r="895" spans="1:32" x14ac:dyDescent="0.35">
      <c r="A895" t="s">
        <v>24</v>
      </c>
      <c r="B895" s="17" t="s">
        <v>84</v>
      </c>
      <c r="C895" s="13" t="s">
        <v>89</v>
      </c>
      <c r="D895" s="13" t="s">
        <v>89</v>
      </c>
      <c r="E895" s="13" t="s">
        <v>89</v>
      </c>
      <c r="F895" s="14">
        <v>1.8695319357062112</v>
      </c>
      <c r="G895" s="14">
        <v>1.9535585127526054</v>
      </c>
      <c r="H895" s="14">
        <v>2.0339827587027579</v>
      </c>
      <c r="I895" s="14">
        <v>2.1141552295206996</v>
      </c>
      <c r="J895" s="14">
        <v>2.2000682127920772</v>
      </c>
      <c r="K895" s="14">
        <v>2.2969813048552816</v>
      </c>
      <c r="L895" s="14">
        <v>2.4081414626368103</v>
      </c>
      <c r="M895" s="14">
        <v>2.5299431786905111</v>
      </c>
      <c r="N895" s="14">
        <v>2.6561095560153083</v>
      </c>
      <c r="O895" s="14">
        <v>2.7858999862677849</v>
      </c>
      <c r="P895" s="14">
        <v>2.921771911016311</v>
      </c>
      <c r="Q895" s="14">
        <v>3.066382020777684</v>
      </c>
      <c r="R895" s="14">
        <v>3.2170673670709569</v>
      </c>
      <c r="S895" s="14"/>
      <c r="T895" s="14"/>
      <c r="U895" s="12"/>
      <c r="V895" s="12"/>
      <c r="W895" s="12"/>
      <c r="X895" s="12"/>
      <c r="Y895" s="12"/>
      <c r="Z895" s="12"/>
      <c r="AA895" s="12"/>
      <c r="AB895" s="12"/>
      <c r="AC895" s="12"/>
      <c r="AD895" s="12"/>
      <c r="AE895" s="12"/>
      <c r="AF895" s="12"/>
    </row>
    <row r="896" spans="1:32" x14ac:dyDescent="0.35">
      <c r="A896" t="s">
        <v>24</v>
      </c>
      <c r="B896" s="17" t="s">
        <v>84</v>
      </c>
      <c r="C896" s="13" t="s">
        <v>90</v>
      </c>
      <c r="D896" s="13" t="s">
        <v>90</v>
      </c>
      <c r="E896" s="13" t="s">
        <v>90</v>
      </c>
      <c r="F896" s="14">
        <v>4.0430251129070642</v>
      </c>
      <c r="G896" s="14">
        <v>4.2084401758772296</v>
      </c>
      <c r="H896" s="14">
        <v>4.3880624503152204</v>
      </c>
      <c r="I896" s="14">
        <v>4.5771817043360077</v>
      </c>
      <c r="J896" s="14">
        <v>4.7668144610495009</v>
      </c>
      <c r="K896" s="14">
        <v>4.9617651888484033</v>
      </c>
      <c r="L896" s="14">
        <v>5.1651749181935136</v>
      </c>
      <c r="M896" s="14">
        <v>5.3843641429705809</v>
      </c>
      <c r="N896" s="14">
        <v>5.6210447367090639</v>
      </c>
      <c r="O896" s="14">
        <v>5.8747930994669888</v>
      </c>
      <c r="P896" s="14">
        <v>6.137680812384132</v>
      </c>
      <c r="Q896" s="14">
        <v>6.4026251721657506</v>
      </c>
      <c r="R896" s="14">
        <v>6.6738873686264784</v>
      </c>
      <c r="S896" s="14"/>
      <c r="T896" s="14"/>
      <c r="U896" s="12"/>
      <c r="V896" s="12"/>
      <c r="W896" s="12"/>
      <c r="X896" s="12"/>
      <c r="Y896" s="12"/>
      <c r="Z896" s="12"/>
      <c r="AA896" s="12"/>
      <c r="AB896" s="12"/>
      <c r="AC896" s="12"/>
      <c r="AD896" s="12"/>
      <c r="AE896" s="12"/>
      <c r="AF896" s="12"/>
    </row>
    <row r="897" spans="1:32" x14ac:dyDescent="0.35">
      <c r="A897" t="s">
        <v>24</v>
      </c>
      <c r="B897" s="17" t="s">
        <v>91</v>
      </c>
      <c r="C897" s="13" t="s">
        <v>92</v>
      </c>
      <c r="D897" s="13" t="s">
        <v>92</v>
      </c>
      <c r="E897" s="13" t="s">
        <v>92</v>
      </c>
      <c r="F897" s="14">
        <v>15.077359965933145</v>
      </c>
      <c r="G897" s="14">
        <v>15.820199614147542</v>
      </c>
      <c r="H897" s="14">
        <v>16.626004893323199</v>
      </c>
      <c r="I897" s="14">
        <v>17.500564046331451</v>
      </c>
      <c r="J897" s="14">
        <v>18.456127785089095</v>
      </c>
      <c r="K897" s="14">
        <v>19.513083443428958</v>
      </c>
      <c r="L897" s="14">
        <v>20.676099946709897</v>
      </c>
      <c r="M897" s="14">
        <v>21.949786622660071</v>
      </c>
      <c r="N897" s="14">
        <v>23.309251390887663</v>
      </c>
      <c r="O897" s="14">
        <v>24.7373754017942</v>
      </c>
      <c r="P897" s="14">
        <v>26.203523747831973</v>
      </c>
      <c r="Q897" s="14">
        <v>27.695427023540926</v>
      </c>
      <c r="R897" s="14">
        <v>29.228843836432521</v>
      </c>
      <c r="S897" s="14"/>
      <c r="T897" s="14"/>
      <c r="U897" s="12"/>
      <c r="V897" s="12"/>
      <c r="W897" s="12"/>
      <c r="X897" s="12"/>
      <c r="Y897" s="12"/>
      <c r="Z897" s="12"/>
      <c r="AA897" s="12"/>
      <c r="AB897" s="12"/>
      <c r="AC897" s="12"/>
      <c r="AD897" s="12"/>
      <c r="AE897" s="12"/>
      <c r="AF897" s="12"/>
    </row>
    <row r="898" spans="1:32" x14ac:dyDescent="0.35">
      <c r="A898" t="s">
        <v>24</v>
      </c>
      <c r="B898" s="17" t="s">
        <v>91</v>
      </c>
      <c r="C898" s="13" t="s">
        <v>93</v>
      </c>
      <c r="D898" s="13" t="s">
        <v>93</v>
      </c>
      <c r="E898" s="13" t="s">
        <v>93</v>
      </c>
      <c r="F898" s="14">
        <v>18.758938930765591</v>
      </c>
      <c r="G898" s="14">
        <v>19.632076408135845</v>
      </c>
      <c r="H898" s="14">
        <v>20.523384825122136</v>
      </c>
      <c r="I898" s="14">
        <v>21.406400560964553</v>
      </c>
      <c r="J898" s="14">
        <v>22.28587615550493</v>
      </c>
      <c r="K898" s="14">
        <v>23.143524863467373</v>
      </c>
      <c r="L898" s="14">
        <v>24.06592252053872</v>
      </c>
      <c r="M898" s="14">
        <v>25.072651540050963</v>
      </c>
      <c r="N898" s="14">
        <v>26.194089198401276</v>
      </c>
      <c r="O898" s="14">
        <v>27.438642080033791</v>
      </c>
      <c r="P898" s="14">
        <v>28.79783960895373</v>
      </c>
      <c r="Q898" s="14">
        <v>30.258650233297733</v>
      </c>
      <c r="R898" s="14">
        <v>31.78737173176852</v>
      </c>
      <c r="S898" s="14"/>
      <c r="T898" s="14"/>
      <c r="U898" s="12"/>
      <c r="V898" s="12"/>
      <c r="W898" s="12"/>
      <c r="X898" s="12"/>
      <c r="Y898" s="12"/>
      <c r="Z898" s="12"/>
      <c r="AA898" s="12"/>
      <c r="AB898" s="12"/>
      <c r="AC898" s="12"/>
      <c r="AD898" s="12"/>
      <c r="AE898" s="12"/>
      <c r="AF898" s="12"/>
    </row>
    <row r="899" spans="1:32" x14ac:dyDescent="0.35">
      <c r="A899" t="s">
        <v>24</v>
      </c>
      <c r="B899" s="17" t="s">
        <v>94</v>
      </c>
      <c r="C899" s="13" t="s">
        <v>95</v>
      </c>
      <c r="D899" s="13" t="s">
        <v>95</v>
      </c>
      <c r="E899" s="13" t="s">
        <v>95</v>
      </c>
      <c r="F899" s="14">
        <v>5.4341295716442604</v>
      </c>
      <c r="G899" s="14">
        <v>5.8015134333773739</v>
      </c>
      <c r="H899" s="14">
        <v>6.2039905526466157</v>
      </c>
      <c r="I899" s="14">
        <v>6.6369772642881673</v>
      </c>
      <c r="J899" s="14">
        <v>7.0891086856633594</v>
      </c>
      <c r="K899" s="14">
        <v>7.5682654647387366</v>
      </c>
      <c r="L899" s="14">
        <v>8.0805500302934465</v>
      </c>
      <c r="M899" s="14">
        <v>8.6391507016870666</v>
      </c>
      <c r="N899" s="14">
        <v>9.2495074397250594</v>
      </c>
      <c r="O899" s="14">
        <v>9.9139516316084926</v>
      </c>
      <c r="P899" s="14">
        <v>10.622219088367393</v>
      </c>
      <c r="Q899" s="14">
        <v>11.364286458242598</v>
      </c>
      <c r="R899" s="14">
        <v>12.149108708471815</v>
      </c>
      <c r="S899" s="14"/>
      <c r="T899" s="14"/>
      <c r="U899" s="12"/>
      <c r="V899" s="12"/>
      <c r="W899" s="12"/>
      <c r="X899" s="12"/>
      <c r="Y899" s="12"/>
      <c r="Z899" s="12"/>
      <c r="AA899" s="12"/>
      <c r="AB899" s="12"/>
      <c r="AC899" s="12"/>
      <c r="AD899" s="12"/>
      <c r="AE899" s="12"/>
      <c r="AF899" s="12"/>
    </row>
    <row r="900" spans="1:32" x14ac:dyDescent="0.35">
      <c r="A900" t="s">
        <v>24</v>
      </c>
      <c r="B900" s="17" t="s">
        <v>94</v>
      </c>
      <c r="C900" s="40" t="s">
        <v>96</v>
      </c>
      <c r="D900" s="40" t="s">
        <v>96</v>
      </c>
      <c r="E900" s="40" t="s">
        <v>96</v>
      </c>
      <c r="F900" s="42">
        <v>3.4369048280818362</v>
      </c>
      <c r="G900" s="42">
        <v>3.6201022939299072</v>
      </c>
      <c r="H900" s="42">
        <v>3.7615281123911757</v>
      </c>
      <c r="I900" s="42">
        <v>3.8627787593631808</v>
      </c>
      <c r="J900" s="42">
        <v>3.9927163861782162</v>
      </c>
      <c r="K900" s="42">
        <v>4.1415964812875785</v>
      </c>
      <c r="L900" s="42">
        <v>4.3653264865934887</v>
      </c>
      <c r="M900" s="42">
        <v>4.6382051142072527</v>
      </c>
      <c r="N900" s="42">
        <v>4.9394761645195047</v>
      </c>
      <c r="O900" s="42">
        <v>5.2468469373750324</v>
      </c>
      <c r="P900" s="42">
        <v>5.5754483191510147</v>
      </c>
      <c r="Q900" s="42">
        <v>5.9571560632464227</v>
      </c>
      <c r="R900" s="42">
        <v>6.3550124977191089</v>
      </c>
      <c r="S900" s="14"/>
      <c r="T900" s="14"/>
      <c r="U900" s="12"/>
      <c r="V900" s="12"/>
      <c r="W900" s="12"/>
      <c r="X900" s="12"/>
      <c r="Y900" s="12"/>
      <c r="Z900" s="12"/>
      <c r="AA900" s="12"/>
      <c r="AB900" s="12"/>
      <c r="AC900" s="12"/>
      <c r="AD900" s="12"/>
      <c r="AE900" s="12"/>
      <c r="AF900" s="12"/>
    </row>
    <row r="901" spans="1:32" x14ac:dyDescent="0.35">
      <c r="A901" t="s">
        <v>24</v>
      </c>
      <c r="B901" s="17" t="s">
        <v>94</v>
      </c>
      <c r="C901" s="13" t="s">
        <v>97</v>
      </c>
      <c r="D901" s="13" t="s">
        <v>97</v>
      </c>
      <c r="E901" s="13" t="s">
        <v>97</v>
      </c>
      <c r="F901" s="14">
        <v>5.8993760068214796</v>
      </c>
      <c r="G901" s="14">
        <v>6.1432563690994844</v>
      </c>
      <c r="H901" s="14">
        <v>6.4080784954038483</v>
      </c>
      <c r="I901" s="14">
        <v>6.686989590132729</v>
      </c>
      <c r="J901" s="14">
        <v>6.966882673841579</v>
      </c>
      <c r="K901" s="14">
        <v>7.2547809218317596</v>
      </c>
      <c r="L901" s="14">
        <v>7.5552868356399738</v>
      </c>
      <c r="M901" s="14">
        <v>7.8791239073398076</v>
      </c>
      <c r="N901" s="14">
        <v>8.228825888153148</v>
      </c>
      <c r="O901" s="14">
        <v>8.6038044524137085</v>
      </c>
      <c r="P901" s="14">
        <v>8.9924792598873822</v>
      </c>
      <c r="Q901" s="14">
        <v>9.3844901361747279</v>
      </c>
      <c r="R901" s="14">
        <v>9.7860870030150799</v>
      </c>
      <c r="S901" s="22"/>
      <c r="T901" s="22"/>
      <c r="U901" s="12"/>
      <c r="V901" s="12"/>
      <c r="W901" s="12"/>
      <c r="X901" s="12"/>
      <c r="Y901" s="12"/>
      <c r="Z901" s="12"/>
      <c r="AA901" s="12"/>
      <c r="AB901" s="12"/>
      <c r="AC901" s="12"/>
      <c r="AD901" s="12"/>
      <c r="AE901" s="12"/>
      <c r="AF901" s="12"/>
    </row>
    <row r="902" spans="1:32" x14ac:dyDescent="0.35">
      <c r="A902" t="s">
        <v>24</v>
      </c>
      <c r="B902" s="17" t="s">
        <v>94</v>
      </c>
      <c r="C902" s="13" t="s">
        <v>98</v>
      </c>
      <c r="D902" s="13" t="s">
        <v>98</v>
      </c>
      <c r="E902" s="13" t="s">
        <v>98</v>
      </c>
      <c r="F902" s="14">
        <v>8.2759136293971896</v>
      </c>
      <c r="G902" s="14">
        <v>8.6724881082906702</v>
      </c>
      <c r="H902" s="14">
        <v>9.1033968797829026</v>
      </c>
      <c r="I902" s="14">
        <v>9.5595135627851597</v>
      </c>
      <c r="J902" s="14">
        <v>10.02253296938613</v>
      </c>
      <c r="K902" s="14">
        <v>10.502641533669113</v>
      </c>
      <c r="L902" s="14">
        <v>11.006777436555709</v>
      </c>
      <c r="M902" s="14">
        <v>11.550967968527489</v>
      </c>
      <c r="N902" s="14">
        <v>12.139633588158736</v>
      </c>
      <c r="O902" s="14">
        <v>12.7726911192327</v>
      </c>
      <c r="P902" s="14">
        <v>13.433727079572076</v>
      </c>
      <c r="Q902" s="14">
        <v>14.107727836283143</v>
      </c>
      <c r="R902" s="14">
        <v>14.804265448356182</v>
      </c>
      <c r="S902" s="22"/>
      <c r="T902" s="22"/>
      <c r="U902" s="12"/>
      <c r="V902" s="12"/>
      <c r="W902" s="12"/>
      <c r="X902" s="12"/>
      <c r="Y902" s="12"/>
      <c r="Z902" s="12"/>
      <c r="AA902" s="12"/>
      <c r="AB902" s="12"/>
      <c r="AC902" s="12"/>
      <c r="AD902" s="12"/>
      <c r="AE902" s="12"/>
      <c r="AF902" s="12"/>
    </row>
    <row r="903" spans="1:32" x14ac:dyDescent="0.35">
      <c r="A903" t="s">
        <v>24</v>
      </c>
      <c r="B903" s="17" t="s">
        <v>94</v>
      </c>
      <c r="C903" s="13" t="s">
        <v>48</v>
      </c>
      <c r="D903" s="13" t="s">
        <v>48</v>
      </c>
      <c r="E903" s="13" t="s">
        <v>48</v>
      </c>
      <c r="F903" s="14">
        <v>4.5482011021547164</v>
      </c>
      <c r="G903" s="14">
        <v>4.79124285689681</v>
      </c>
      <c r="H903" s="14">
        <v>5.0568544946162293</v>
      </c>
      <c r="I903" s="14">
        <v>5.3355051992262288</v>
      </c>
      <c r="J903" s="14">
        <v>5.6223965438019761</v>
      </c>
      <c r="K903" s="14">
        <v>5.9097210446635247</v>
      </c>
      <c r="L903" s="14">
        <v>6.2136987585202812</v>
      </c>
      <c r="M903" s="14">
        <v>6.5457395403129084</v>
      </c>
      <c r="N903" s="14">
        <v>6.9173426830295357</v>
      </c>
      <c r="O903" s="14">
        <v>7.3284880689799508</v>
      </c>
      <c r="P903" s="14">
        <v>7.7665134903258011</v>
      </c>
      <c r="Q903" s="14">
        <v>8.2203644407646479</v>
      </c>
      <c r="R903" s="14">
        <v>8.690006542191627</v>
      </c>
      <c r="S903" s="22"/>
      <c r="T903" s="22"/>
      <c r="U903" s="12"/>
      <c r="V903" s="12"/>
      <c r="W903" s="12"/>
      <c r="X903" s="12"/>
      <c r="Y903" s="12"/>
      <c r="Z903" s="12"/>
      <c r="AA903" s="12"/>
      <c r="AB903" s="12"/>
      <c r="AC903" s="12"/>
      <c r="AD903" s="12"/>
      <c r="AE903" s="12"/>
      <c r="AF903" s="12"/>
    </row>
    <row r="904" spans="1:32" x14ac:dyDescent="0.35">
      <c r="A904" t="s">
        <v>24</v>
      </c>
      <c r="B904" s="17" t="s">
        <v>94</v>
      </c>
      <c r="C904" s="13" t="s">
        <v>99</v>
      </c>
      <c r="D904" s="13" t="s">
        <v>99</v>
      </c>
      <c r="E904" s="13" t="s">
        <v>99</v>
      </c>
      <c r="F904" s="14">
        <v>1.8628116895955347</v>
      </c>
      <c r="G904" s="14">
        <v>1.9125253723054199</v>
      </c>
      <c r="H904" s="14">
        <v>1.9673908368849047</v>
      </c>
      <c r="I904" s="14">
        <v>2.0231744544632235</v>
      </c>
      <c r="J904" s="14">
        <v>2.077842200970295</v>
      </c>
      <c r="K904" s="14">
        <v>2.1284461999489261</v>
      </c>
      <c r="L904" s="14">
        <v>2.1809920963871727</v>
      </c>
      <c r="M904" s="14">
        <v>2.2391972008956706</v>
      </c>
      <c r="N904" s="14">
        <v>2.3064196415428193</v>
      </c>
      <c r="O904" s="14">
        <v>2.3818106044920975</v>
      </c>
      <c r="P904" s="14">
        <v>2.4604598421915296</v>
      </c>
      <c r="Q904" s="14">
        <v>2.5384255257361352</v>
      </c>
      <c r="R904" s="14">
        <v>2.6155481971362895</v>
      </c>
      <c r="S904" s="22"/>
      <c r="T904" s="22"/>
      <c r="U904" s="12"/>
      <c r="V904" s="12"/>
      <c r="W904" s="12"/>
      <c r="X904" s="12"/>
      <c r="Y904" s="12"/>
      <c r="Z904" s="12"/>
      <c r="AA904" s="12"/>
      <c r="AB904" s="12"/>
      <c r="AC904" s="12"/>
      <c r="AD904" s="12"/>
      <c r="AE904" s="12"/>
      <c r="AF904" s="12"/>
    </row>
    <row r="905" spans="1:32" x14ac:dyDescent="0.35">
      <c r="A905" t="s">
        <v>24</v>
      </c>
      <c r="B905" s="17" t="s">
        <v>94</v>
      </c>
      <c r="C905" s="13" t="s">
        <v>100</v>
      </c>
      <c r="D905" s="13" t="s">
        <v>100</v>
      </c>
      <c r="E905" s="13" t="s">
        <v>100</v>
      </c>
      <c r="F905" s="14">
        <v>4.3789620690037205</v>
      </c>
      <c r="G905" s="14">
        <v>4.5111475883837207</v>
      </c>
      <c r="H905" s="14">
        <v>4.6481503467196559</v>
      </c>
      <c r="I905" s="14">
        <v>4.8020257770373158</v>
      </c>
      <c r="J905" s="14">
        <v>4.9705244807524664</v>
      </c>
      <c r="K905" s="14">
        <v>5.1511566607566914</v>
      </c>
      <c r="L905" s="14">
        <v>5.3393908232585456</v>
      </c>
      <c r="M905" s="14">
        <v>5.5300537297408381</v>
      </c>
      <c r="N905" s="14">
        <v>5.7221351841601367</v>
      </c>
      <c r="O905" s="14">
        <v>5.9284246677260111</v>
      </c>
      <c r="P905" s="14">
        <v>6.1505162772904978</v>
      </c>
      <c r="Q905" s="14">
        <v>6.3816267963909796</v>
      </c>
      <c r="R905" s="14">
        <v>6.6161871713109388</v>
      </c>
      <c r="S905" s="22"/>
      <c r="T905" s="22"/>
      <c r="U905" s="12"/>
      <c r="V905" s="12"/>
      <c r="W905" s="12"/>
      <c r="X905" s="12"/>
      <c r="Y905" s="12"/>
      <c r="Z905" s="12"/>
      <c r="AA905" s="12"/>
      <c r="AB905" s="12"/>
      <c r="AC905" s="12"/>
      <c r="AD905" s="12"/>
      <c r="AE905" s="12"/>
      <c r="AF905" s="12"/>
    </row>
    <row r="906" spans="1:32" x14ac:dyDescent="0.35">
      <c r="A906" t="s">
        <v>25</v>
      </c>
      <c r="B906" s="17" t="s">
        <v>54</v>
      </c>
      <c r="C906" s="13" t="s">
        <v>55</v>
      </c>
      <c r="D906" s="13" t="s">
        <v>55</v>
      </c>
      <c r="E906" s="13" t="s">
        <v>55</v>
      </c>
      <c r="F906" s="14">
        <v>7.9572302788962395</v>
      </c>
      <c r="G906" s="14">
        <v>8.5907123792987186</v>
      </c>
      <c r="H906" s="14">
        <v>9.2889444007886741</v>
      </c>
      <c r="I906" s="14">
        <v>10.059408581599127</v>
      </c>
      <c r="J906" s="14">
        <v>10.913897124519471</v>
      </c>
      <c r="K906" s="14">
        <v>11.870073249706643</v>
      </c>
      <c r="L906" s="14">
        <v>12.937717643702797</v>
      </c>
      <c r="M906" s="14">
        <v>14.127265907525258</v>
      </c>
      <c r="N906" s="14">
        <v>15.430895338655548</v>
      </c>
      <c r="O906" s="14">
        <v>16.844533231162714</v>
      </c>
      <c r="P906" s="14">
        <v>18.353986667748593</v>
      </c>
      <c r="Q906" s="14">
        <v>19.955877585367912</v>
      </c>
      <c r="R906" s="14">
        <v>21.666285449372722</v>
      </c>
      <c r="S906" s="22"/>
      <c r="T906" s="22"/>
      <c r="U906" s="12"/>
      <c r="V906" s="12"/>
      <c r="W906" s="12"/>
      <c r="X906" s="12"/>
      <c r="Y906" s="12"/>
      <c r="Z906" s="12"/>
      <c r="AA906" s="12"/>
      <c r="AB906" s="12"/>
      <c r="AC906" s="12"/>
      <c r="AD906" s="12"/>
      <c r="AE906" s="12"/>
      <c r="AF906" s="12"/>
    </row>
    <row r="907" spans="1:32" x14ac:dyDescent="0.35">
      <c r="A907" t="s">
        <v>25</v>
      </c>
      <c r="B907" s="17" t="s">
        <v>54</v>
      </c>
      <c r="C907" s="13" t="s">
        <v>56</v>
      </c>
      <c r="D907" s="13" t="s">
        <v>56</v>
      </c>
      <c r="E907" s="13" t="s">
        <v>56</v>
      </c>
      <c r="F907" s="14">
        <v>24.249424822452177</v>
      </c>
      <c r="G907" s="14">
        <v>25.718329688450588</v>
      </c>
      <c r="H907" s="14">
        <v>27.327649881202625</v>
      </c>
      <c r="I907" s="14">
        <v>29.028563800099285</v>
      </c>
      <c r="J907" s="14">
        <v>30.796640400871773</v>
      </c>
      <c r="K907" s="14">
        <v>32.590282931444605</v>
      </c>
      <c r="L907" s="14">
        <v>34.499253321027886</v>
      </c>
      <c r="M907" s="14">
        <v>36.589039839578611</v>
      </c>
      <c r="N907" s="14">
        <v>38.92737829423416</v>
      </c>
      <c r="O907" s="14">
        <v>41.51896201458954</v>
      </c>
      <c r="P907" s="14">
        <v>44.296919643089517</v>
      </c>
      <c r="Q907" s="14">
        <v>47.201682763945612</v>
      </c>
      <c r="R907" s="14">
        <v>50.23531030956331</v>
      </c>
      <c r="S907" s="22"/>
      <c r="T907" s="22"/>
      <c r="U907" s="12"/>
      <c r="V907" s="12"/>
      <c r="W907" s="12"/>
      <c r="X907" s="12"/>
      <c r="Y907" s="12"/>
      <c r="Z907" s="12"/>
      <c r="AA907" s="12"/>
      <c r="AB907" s="12"/>
      <c r="AC907" s="12"/>
      <c r="AD907" s="12"/>
      <c r="AE907" s="12"/>
      <c r="AF907" s="12"/>
    </row>
    <row r="908" spans="1:32" x14ac:dyDescent="0.35">
      <c r="A908" t="s">
        <v>25</v>
      </c>
      <c r="B908" s="17" t="s">
        <v>54</v>
      </c>
      <c r="C908" s="13" t="s">
        <v>57</v>
      </c>
      <c r="D908" s="13" t="s">
        <v>57</v>
      </c>
      <c r="E908" s="13" t="s">
        <v>57</v>
      </c>
      <c r="F908" s="14">
        <v>55.383538807749787</v>
      </c>
      <c r="G908" s="14">
        <v>57.798863641606076</v>
      </c>
      <c r="H908" s="14">
        <v>60.415854355000647</v>
      </c>
      <c r="I908" s="14">
        <v>63.252029076671015</v>
      </c>
      <c r="J908" s="14">
        <v>66.34784984608865</v>
      </c>
      <c r="K908" s="14">
        <v>69.772120725539594</v>
      </c>
      <c r="L908" s="14">
        <v>73.535922851543006</v>
      </c>
      <c r="M908" s="14">
        <v>77.649832165968022</v>
      </c>
      <c r="N908" s="14">
        <v>82.019774175794453</v>
      </c>
      <c r="O908" s="14">
        <v>86.580965949107949</v>
      </c>
      <c r="P908" s="14">
        <v>91.222647676327639</v>
      </c>
      <c r="Q908" s="14">
        <v>95.900321198441958</v>
      </c>
      <c r="R908" s="14">
        <v>100.66747616835154</v>
      </c>
      <c r="S908" s="22"/>
      <c r="T908" s="22"/>
      <c r="U908" s="12"/>
      <c r="V908" s="12"/>
      <c r="W908" s="12"/>
      <c r="X908" s="12"/>
      <c r="Y908" s="12"/>
      <c r="Z908" s="12"/>
      <c r="AA908" s="12"/>
      <c r="AB908" s="12"/>
      <c r="AC908" s="12"/>
      <c r="AD908" s="12"/>
      <c r="AE908" s="12"/>
      <c r="AF908" s="12"/>
    </row>
    <row r="909" spans="1:32" x14ac:dyDescent="0.35">
      <c r="A909" t="s">
        <v>25</v>
      </c>
      <c r="B909" s="17" t="s">
        <v>59</v>
      </c>
      <c r="C909" s="18" t="s">
        <v>60</v>
      </c>
      <c r="D909" s="38" t="s">
        <v>61</v>
      </c>
      <c r="E909" s="39" t="s">
        <v>62</v>
      </c>
      <c r="F909" s="22">
        <v>3.0614287119200219</v>
      </c>
      <c r="G909" s="22">
        <v>3.3316822455658412</v>
      </c>
      <c r="H909" s="22">
        <v>3.6316825142740652</v>
      </c>
      <c r="I909" s="22">
        <v>3.960211137164261</v>
      </c>
      <c r="J909" s="22">
        <v>4.3118512378828662</v>
      </c>
      <c r="K909" s="22">
        <v>4.6924183804897028</v>
      </c>
      <c r="L909" s="22">
        <v>5.1070342815851806</v>
      </c>
      <c r="M909" s="22">
        <v>5.5656419681011648</v>
      </c>
      <c r="N909" s="22">
        <v>6.0738978590213302</v>
      </c>
      <c r="O909" s="22">
        <v>6.6357686849132378</v>
      </c>
      <c r="P909" s="22">
        <v>7.247000391867445</v>
      </c>
      <c r="Q909" s="22">
        <v>7.9030720414078433</v>
      </c>
      <c r="R909" s="22">
        <v>8.6122193181445219</v>
      </c>
      <c r="S909" s="22"/>
      <c r="T909" s="22"/>
      <c r="U909" s="12"/>
      <c r="V909" s="12"/>
      <c r="W909" s="12"/>
      <c r="X909" s="12"/>
      <c r="Y909" s="12"/>
      <c r="Z909" s="12"/>
      <c r="AA909" s="12"/>
      <c r="AB909" s="12"/>
      <c r="AC909" s="12"/>
      <c r="AD909" s="12"/>
      <c r="AE909" s="12"/>
      <c r="AF909" s="12"/>
    </row>
    <row r="910" spans="1:32" x14ac:dyDescent="0.35">
      <c r="A910" t="s">
        <v>25</v>
      </c>
      <c r="B910" s="17" t="s">
        <v>59</v>
      </c>
      <c r="C910" s="18" t="s">
        <v>60</v>
      </c>
      <c r="D910" s="38" t="s">
        <v>61</v>
      </c>
      <c r="E910" s="39" t="s">
        <v>63</v>
      </c>
      <c r="F910" s="22">
        <v>6.444541023866357</v>
      </c>
      <c r="G910" s="22">
        <v>6.8468797763245171</v>
      </c>
      <c r="H910" s="22">
        <v>7.2880306747541734</v>
      </c>
      <c r="I910" s="22">
        <v>7.7551759965884841</v>
      </c>
      <c r="J910" s="22">
        <v>8.2419239807448541</v>
      </c>
      <c r="K910" s="22">
        <v>8.7372438843590228</v>
      </c>
      <c r="L910" s="22">
        <v>9.2652437432252643</v>
      </c>
      <c r="M910" s="22">
        <v>9.8436816172437265</v>
      </c>
      <c r="N910" s="22">
        <v>10.49104418338888</v>
      </c>
      <c r="O910" s="22">
        <v>11.208956195948414</v>
      </c>
      <c r="P910" s="22">
        <v>11.97973192092619</v>
      </c>
      <c r="Q910" s="22">
        <v>12.787536502457431</v>
      </c>
      <c r="R910" s="22">
        <v>13.633119836764454</v>
      </c>
      <c r="S910" s="22"/>
      <c r="T910" s="22"/>
      <c r="U910" s="12"/>
      <c r="V910" s="12"/>
      <c r="W910" s="12"/>
      <c r="X910" s="12"/>
      <c r="Y910" s="12"/>
      <c r="Z910" s="12"/>
      <c r="AA910" s="12"/>
      <c r="AB910" s="12"/>
      <c r="AC910" s="12"/>
      <c r="AD910" s="12"/>
      <c r="AE910" s="12"/>
      <c r="AF910" s="12"/>
    </row>
    <row r="911" spans="1:32" x14ac:dyDescent="0.35">
      <c r="A911" t="s">
        <v>25</v>
      </c>
      <c r="B911" s="17" t="s">
        <v>59</v>
      </c>
      <c r="C911" s="18" t="s">
        <v>60</v>
      </c>
      <c r="D911" s="38" t="s">
        <v>61</v>
      </c>
      <c r="E911" s="39" t="s">
        <v>64</v>
      </c>
      <c r="F911" s="22">
        <v>8.8979837269416393</v>
      </c>
      <c r="G911" s="22">
        <v>8.9992771749123222</v>
      </c>
      <c r="H911" s="22">
        <v>9.1832419536793477</v>
      </c>
      <c r="I911" s="22">
        <v>9.461275247095795</v>
      </c>
      <c r="J911" s="22">
        <v>9.9037833120122087</v>
      </c>
      <c r="K911" s="22">
        <v>10.456854136660542</v>
      </c>
      <c r="L911" s="22">
        <v>11.11193909579573</v>
      </c>
      <c r="M911" s="22">
        <v>11.835093313673115</v>
      </c>
      <c r="N911" s="22">
        <v>12.570675147023763</v>
      </c>
      <c r="O911" s="22">
        <v>13.276206219825863</v>
      </c>
      <c r="P911" s="22">
        <v>13.818708476385105</v>
      </c>
      <c r="Q911" s="22">
        <v>14.175962616611038</v>
      </c>
      <c r="R911" s="22">
        <v>14.398367935789082</v>
      </c>
      <c r="S911" s="22"/>
      <c r="T911" s="22"/>
      <c r="U911" s="12"/>
      <c r="V911" s="12"/>
      <c r="W911" s="12"/>
      <c r="X911" s="12"/>
      <c r="Y911" s="12"/>
      <c r="Z911" s="12"/>
      <c r="AA911" s="12"/>
      <c r="AB911" s="12"/>
      <c r="AC911" s="12"/>
      <c r="AD911" s="12"/>
      <c r="AE911" s="12"/>
      <c r="AF911" s="12"/>
    </row>
    <row r="912" spans="1:32" x14ac:dyDescent="0.35">
      <c r="A912" t="s">
        <v>25</v>
      </c>
      <c r="B912" s="17" t="s">
        <v>59</v>
      </c>
      <c r="C912" s="18" t="s">
        <v>60</v>
      </c>
      <c r="D912" s="38" t="s">
        <v>65</v>
      </c>
      <c r="E912" s="38" t="s">
        <v>65</v>
      </c>
      <c r="F912" s="41">
        <v>15.73365257899629</v>
      </c>
      <c r="G912" s="41">
        <v>16.603360619740439</v>
      </c>
      <c r="H912" s="41">
        <v>17.550494048324563</v>
      </c>
      <c r="I912" s="41">
        <v>18.558977441000497</v>
      </c>
      <c r="J912" s="41">
        <v>19.594443498845191</v>
      </c>
      <c r="K912" s="41">
        <v>20.677246771892957</v>
      </c>
      <c r="L912" s="41">
        <v>21.821911890010536</v>
      </c>
      <c r="M912" s="41">
        <v>23.061379428022065</v>
      </c>
      <c r="N912" s="41">
        <v>24.40632515230179</v>
      </c>
      <c r="O912" s="41">
        <v>25.858643237675363</v>
      </c>
      <c r="P912" s="41">
        <v>27.387190712924909</v>
      </c>
      <c r="Q912" s="41">
        <v>28.962778455375165</v>
      </c>
      <c r="R912" s="41">
        <v>30.605853817310297</v>
      </c>
      <c r="S912" s="22"/>
      <c r="T912" s="22"/>
      <c r="U912" s="12"/>
      <c r="V912" s="12"/>
      <c r="W912" s="12"/>
      <c r="X912" s="12"/>
      <c r="Y912" s="12"/>
      <c r="Z912" s="12"/>
      <c r="AA912" s="12"/>
      <c r="AB912" s="12"/>
      <c r="AC912" s="12"/>
      <c r="AD912" s="12"/>
      <c r="AE912" s="12"/>
      <c r="AF912" s="12"/>
    </row>
    <row r="913" spans="1:32" x14ac:dyDescent="0.35">
      <c r="A913" t="s">
        <v>25</v>
      </c>
      <c r="B913" s="17" t="s">
        <v>59</v>
      </c>
      <c r="C913" s="18" t="s">
        <v>60</v>
      </c>
      <c r="D913" s="38" t="s">
        <v>66</v>
      </c>
      <c r="E913" s="38" t="s">
        <v>66</v>
      </c>
      <c r="F913" s="41">
        <v>10.200018108343684</v>
      </c>
      <c r="G913" s="41">
        <v>10.675097747155094</v>
      </c>
      <c r="H913" s="41">
        <v>11.131983182648204</v>
      </c>
      <c r="I913" s="41">
        <v>11.588924364261652</v>
      </c>
      <c r="J913" s="41">
        <v>12.078766540384024</v>
      </c>
      <c r="K913" s="41">
        <v>12.630538412485777</v>
      </c>
      <c r="L913" s="41">
        <v>13.262382657369646</v>
      </c>
      <c r="M913" s="41">
        <v>13.954814849758655</v>
      </c>
      <c r="N913" s="41">
        <v>14.673492803901279</v>
      </c>
      <c r="O913" s="41">
        <v>15.41444501893085</v>
      </c>
      <c r="P913" s="41">
        <v>16.191369890019708</v>
      </c>
      <c r="Q913" s="41">
        <v>17.019154979195477</v>
      </c>
      <c r="R913" s="41">
        <v>17.883254773283049</v>
      </c>
      <c r="S913" s="22"/>
      <c r="T913" s="22"/>
      <c r="U913" s="12"/>
      <c r="V913" s="12"/>
      <c r="W913" s="12"/>
      <c r="X913" s="12"/>
      <c r="Y913" s="12"/>
      <c r="Z913" s="12"/>
      <c r="AA913" s="12"/>
      <c r="AB913" s="12"/>
      <c r="AC913" s="12"/>
      <c r="AD913" s="12"/>
      <c r="AE913" s="12"/>
      <c r="AF913" s="12"/>
    </row>
    <row r="914" spans="1:32" x14ac:dyDescent="0.35">
      <c r="A914" t="s">
        <v>25</v>
      </c>
      <c r="B914" s="17" t="s">
        <v>59</v>
      </c>
      <c r="C914" s="18" t="s">
        <v>60</v>
      </c>
      <c r="D914" s="38" t="s">
        <v>67</v>
      </c>
      <c r="E914" s="38" t="s">
        <v>67</v>
      </c>
      <c r="F914" s="41">
        <v>6.4649994799069699</v>
      </c>
      <c r="G914" s="41">
        <v>6.7009313870792866</v>
      </c>
      <c r="H914" s="41">
        <v>6.952493351530606</v>
      </c>
      <c r="I914" s="41">
        <v>7.2233486555876221</v>
      </c>
      <c r="J914" s="41">
        <v>7.51567695846117</v>
      </c>
      <c r="K914" s="41">
        <v>7.8318250569688885</v>
      </c>
      <c r="L914" s="41">
        <v>8.1732061831102012</v>
      </c>
      <c r="M914" s="41">
        <v>8.5351695425583767</v>
      </c>
      <c r="N914" s="41">
        <v>8.9130207688973559</v>
      </c>
      <c r="O914" s="41">
        <v>9.3035036914817795</v>
      </c>
      <c r="P914" s="41">
        <v>9.7033852061386607</v>
      </c>
      <c r="Q914" s="41">
        <v>10.115256113730922</v>
      </c>
      <c r="R914" s="41">
        <v>10.534797662367932</v>
      </c>
      <c r="S914" s="22"/>
      <c r="T914" s="22"/>
      <c r="U914" s="12"/>
      <c r="V914" s="12"/>
      <c r="W914" s="12"/>
      <c r="X914" s="12"/>
      <c r="Y914" s="12"/>
      <c r="Z914" s="12"/>
      <c r="AA914" s="12"/>
      <c r="AB914" s="12"/>
      <c r="AC914" s="12"/>
      <c r="AD914" s="12"/>
      <c r="AE914" s="12"/>
      <c r="AF914" s="12"/>
    </row>
    <row r="915" spans="1:32" x14ac:dyDescent="0.35">
      <c r="A915" t="s">
        <v>25</v>
      </c>
      <c r="B915" s="17" t="s">
        <v>59</v>
      </c>
      <c r="C915" s="18" t="s">
        <v>60</v>
      </c>
      <c r="D915" s="38" t="s">
        <v>68</v>
      </c>
      <c r="E915" s="38" t="s">
        <v>68</v>
      </c>
      <c r="F915" s="41">
        <v>10.639383130112009</v>
      </c>
      <c r="G915" s="41">
        <v>11.374628679148922</v>
      </c>
      <c r="H915" s="41">
        <v>12.180791633787322</v>
      </c>
      <c r="I915" s="41">
        <v>13.049171519246469</v>
      </c>
      <c r="J915" s="41">
        <v>13.957685779999315</v>
      </c>
      <c r="K915" s="41">
        <v>14.922019932946677</v>
      </c>
      <c r="L915" s="41">
        <v>15.954441387443989</v>
      </c>
      <c r="M915" s="41">
        <v>17.081276752674668</v>
      </c>
      <c r="N915" s="41">
        <v>18.313679997676417</v>
      </c>
      <c r="O915" s="41">
        <v>19.656712025598999</v>
      </c>
      <c r="P915" s="41">
        <v>21.090487652444377</v>
      </c>
      <c r="Q915" s="41">
        <v>22.595487918878785</v>
      </c>
      <c r="R915" s="41">
        <v>24.189818426466012</v>
      </c>
      <c r="S915" s="22"/>
      <c r="T915" s="22"/>
      <c r="U915" s="12"/>
      <c r="V915" s="12"/>
      <c r="W915" s="12"/>
      <c r="X915" s="12"/>
      <c r="Y915" s="12"/>
      <c r="Z915" s="12"/>
      <c r="AA915" s="12"/>
      <c r="AB915" s="12"/>
      <c r="AC915" s="12"/>
      <c r="AD915" s="12"/>
      <c r="AE915" s="12"/>
      <c r="AF915" s="12"/>
    </row>
    <row r="916" spans="1:32" x14ac:dyDescent="0.35">
      <c r="A916" t="s">
        <v>25</v>
      </c>
      <c r="B916" s="17" t="s">
        <v>59</v>
      </c>
      <c r="C916" s="18" t="s">
        <v>60</v>
      </c>
      <c r="D916" s="38" t="s">
        <v>69</v>
      </c>
      <c r="E916" s="38" t="s">
        <v>69</v>
      </c>
      <c r="F916" s="41">
        <v>12.16480579894124</v>
      </c>
      <c r="G916" s="41">
        <v>12.569209091956822</v>
      </c>
      <c r="H916" s="41">
        <v>13.002767762692871</v>
      </c>
      <c r="I916" s="41">
        <v>13.441529405263058</v>
      </c>
      <c r="J916" s="41">
        <v>13.868213435255729</v>
      </c>
      <c r="K916" s="41">
        <v>14.301507893230783</v>
      </c>
      <c r="L916" s="41">
        <v>14.755490832141467</v>
      </c>
      <c r="M916" s="41">
        <v>15.268151346934363</v>
      </c>
      <c r="N916" s="41">
        <v>15.848245082568447</v>
      </c>
      <c r="O916" s="41">
        <v>16.462264915981478</v>
      </c>
      <c r="P916" s="41">
        <v>17.112420855290956</v>
      </c>
      <c r="Q916" s="41">
        <v>17.77114144476646</v>
      </c>
      <c r="R916" s="41">
        <v>18.428561922328413</v>
      </c>
      <c r="S916" s="22"/>
      <c r="T916" s="22"/>
      <c r="U916" s="12"/>
      <c r="V916" s="12"/>
      <c r="W916" s="12"/>
      <c r="X916" s="12"/>
      <c r="Y916" s="12"/>
      <c r="Z916" s="12"/>
      <c r="AA916" s="12"/>
      <c r="AB916" s="12"/>
      <c r="AC916" s="12"/>
      <c r="AD916" s="12"/>
      <c r="AE916" s="12"/>
      <c r="AF916" s="12"/>
    </row>
    <row r="917" spans="1:32" x14ac:dyDescent="0.35">
      <c r="A917" t="s">
        <v>25</v>
      </c>
      <c r="B917" s="17" t="s">
        <v>59</v>
      </c>
      <c r="C917" s="18" t="s">
        <v>70</v>
      </c>
      <c r="D917" s="19" t="s">
        <v>71</v>
      </c>
      <c r="E917" s="19" t="s">
        <v>71</v>
      </c>
      <c r="F917" s="22">
        <v>1.9030937845364739</v>
      </c>
      <c r="G917" s="22">
        <v>2.0777005103215394</v>
      </c>
      <c r="H917" s="22">
        <v>2.2709243335068581</v>
      </c>
      <c r="I917" s="22">
        <v>2.4804145628433454</v>
      </c>
      <c r="J917" s="22">
        <v>2.7042692023586561</v>
      </c>
      <c r="K917" s="22">
        <v>2.9469743380681352</v>
      </c>
      <c r="L917" s="22">
        <v>3.2129354753680603</v>
      </c>
      <c r="M917" s="22">
        <v>3.5125381142109529</v>
      </c>
      <c r="N917" s="22">
        <v>3.8514941128387208</v>
      </c>
      <c r="O917" s="22">
        <v>4.2260476067366124</v>
      </c>
      <c r="P917" s="22">
        <v>4.6401955446169616</v>
      </c>
      <c r="Q917" s="22">
        <v>5.0902893215674316</v>
      </c>
      <c r="R917" s="22">
        <v>5.5764062573904489</v>
      </c>
      <c r="S917" s="14"/>
      <c r="T917" s="14"/>
      <c r="U917" s="12"/>
      <c r="V917" s="12"/>
      <c r="W917" s="12"/>
      <c r="X917" s="12"/>
      <c r="Y917" s="12"/>
      <c r="Z917" s="12"/>
      <c r="AA917" s="12"/>
      <c r="AB917" s="12"/>
      <c r="AC917" s="12"/>
      <c r="AD917" s="12"/>
      <c r="AE917" s="12"/>
      <c r="AF917" s="12"/>
    </row>
    <row r="918" spans="1:32" x14ac:dyDescent="0.35">
      <c r="A918" t="s">
        <v>25</v>
      </c>
      <c r="B918" s="17" t="s">
        <v>59</v>
      </c>
      <c r="C918" s="18" t="s">
        <v>70</v>
      </c>
      <c r="D918" s="19" t="s">
        <v>72</v>
      </c>
      <c r="E918" s="19" t="s">
        <v>72</v>
      </c>
      <c r="F918" s="22">
        <v>1.4424669574569029</v>
      </c>
      <c r="G918" s="22">
        <v>1.5939144819508149</v>
      </c>
      <c r="H918" s="22">
        <v>1.7640804312836587</v>
      </c>
      <c r="I918" s="22">
        <v>1.9531491299419992</v>
      </c>
      <c r="J918" s="22">
        <v>2.1592226964569115</v>
      </c>
      <c r="K918" s="22">
        <v>2.3858888752795244</v>
      </c>
      <c r="L918" s="22">
        <v>2.6365832214562639</v>
      </c>
      <c r="M918" s="22">
        <v>2.9174170637530641</v>
      </c>
      <c r="N918" s="22">
        <v>3.2326012519828851</v>
      </c>
      <c r="O918" s="22">
        <v>3.5856688668711891</v>
      </c>
      <c r="P918" s="22">
        <v>3.9758855823245924</v>
      </c>
      <c r="Q918" s="22">
        <v>4.4022801818591288</v>
      </c>
      <c r="R918" s="22">
        <v>4.8708838737122759</v>
      </c>
      <c r="S918" s="14"/>
      <c r="T918" s="14"/>
      <c r="U918" s="12"/>
      <c r="V918" s="12"/>
      <c r="W918" s="12"/>
      <c r="X918" s="12"/>
      <c r="Y918" s="12"/>
      <c r="Z918" s="12"/>
      <c r="AA918" s="12"/>
      <c r="AB918" s="12"/>
      <c r="AC918" s="12"/>
      <c r="AD918" s="12"/>
      <c r="AE918" s="12"/>
      <c r="AF918" s="12"/>
    </row>
    <row r="919" spans="1:32" x14ac:dyDescent="0.35">
      <c r="A919" t="s">
        <v>25</v>
      </c>
      <c r="B919" s="17" t="s">
        <v>59</v>
      </c>
      <c r="C919" s="18" t="s">
        <v>70</v>
      </c>
      <c r="D919" s="19" t="s">
        <v>73</v>
      </c>
      <c r="E919" s="19" t="s">
        <v>73</v>
      </c>
      <c r="F919" s="22">
        <v>1.3619186096791003</v>
      </c>
      <c r="G919" s="22">
        <v>1.4422299063674446</v>
      </c>
      <c r="H919" s="22">
        <v>1.5296808151844832</v>
      </c>
      <c r="I919" s="22">
        <v>1.6249838566152983</v>
      </c>
      <c r="J919" s="22">
        <v>1.7294744898805359</v>
      </c>
      <c r="K919" s="22">
        <v>1.8452960710620681</v>
      </c>
      <c r="L919" s="22">
        <v>1.973179825606397</v>
      </c>
      <c r="M919" s="22">
        <v>2.1138726122656273</v>
      </c>
      <c r="N919" s="22">
        <v>2.2653017799719173</v>
      </c>
      <c r="O919" s="22">
        <v>2.4260685112523896</v>
      </c>
      <c r="P919" s="22">
        <v>2.5933925972236107</v>
      </c>
      <c r="Q919" s="22">
        <v>2.7662056477797075</v>
      </c>
      <c r="R919" s="22">
        <v>2.9461966545136384</v>
      </c>
      <c r="S919" s="14"/>
      <c r="T919" s="14"/>
      <c r="U919" s="12"/>
      <c r="V919" s="12"/>
      <c r="W919" s="12"/>
      <c r="X919" s="12"/>
      <c r="Y919" s="12"/>
      <c r="Z919" s="12"/>
      <c r="AA919" s="12"/>
      <c r="AB919" s="12"/>
      <c r="AC919" s="12"/>
      <c r="AD919" s="12"/>
      <c r="AE919" s="12"/>
      <c r="AF919" s="12"/>
    </row>
    <row r="920" spans="1:32" x14ac:dyDescent="0.35">
      <c r="A920" t="s">
        <v>25</v>
      </c>
      <c r="B920" s="17" t="s">
        <v>59</v>
      </c>
      <c r="C920" s="18" t="s">
        <v>70</v>
      </c>
      <c r="D920" s="19" t="s">
        <v>74</v>
      </c>
      <c r="E920" s="19" t="s">
        <v>74</v>
      </c>
      <c r="F920" s="22">
        <v>1.6482437882878844</v>
      </c>
      <c r="G920" s="22">
        <v>1.7689709468440258</v>
      </c>
      <c r="H920" s="22">
        <v>1.8918591716103721</v>
      </c>
      <c r="I920" s="22">
        <v>2.0199705438514921</v>
      </c>
      <c r="J920" s="22">
        <v>2.1592226964569115</v>
      </c>
      <c r="K920" s="22">
        <v>2.3154440285023106</v>
      </c>
      <c r="L920" s="22">
        <v>2.4930263293733264</v>
      </c>
      <c r="M920" s="22">
        <v>2.68967580757054</v>
      </c>
      <c r="N920" s="22">
        <v>2.8999276061169508</v>
      </c>
      <c r="O920" s="22">
        <v>3.1237021167617209</v>
      </c>
      <c r="P920" s="22">
        <v>3.364452002989831</v>
      </c>
      <c r="Q920" s="22">
        <v>3.6261884152064385</v>
      </c>
      <c r="R920" s="22">
        <v>3.9070068812033765</v>
      </c>
      <c r="S920" s="14"/>
      <c r="T920" s="14"/>
      <c r="U920" s="12"/>
      <c r="V920" s="12"/>
      <c r="W920" s="12"/>
      <c r="X920" s="12"/>
      <c r="Y920" s="12"/>
      <c r="Z920" s="12"/>
      <c r="AA920" s="12"/>
      <c r="AB920" s="12"/>
      <c r="AC920" s="12"/>
      <c r="AD920" s="12"/>
      <c r="AE920" s="12"/>
      <c r="AF920" s="12"/>
    </row>
    <row r="921" spans="1:32" x14ac:dyDescent="0.35">
      <c r="A921" t="s">
        <v>25</v>
      </c>
      <c r="B921" s="17" t="s">
        <v>59</v>
      </c>
      <c r="C921" s="18" t="s">
        <v>70</v>
      </c>
      <c r="D921" s="19" t="s">
        <v>75</v>
      </c>
      <c r="E921" s="19" t="s">
        <v>75</v>
      </c>
      <c r="F921" s="22">
        <v>1.2505673744279586</v>
      </c>
      <c r="G921" s="22">
        <v>1.3549033857128436</v>
      </c>
      <c r="H921" s="22">
        <v>1.4706540552417262</v>
      </c>
      <c r="I921" s="22">
        <v>1.5958031952281897</v>
      </c>
      <c r="J921" s="22">
        <v>1.7294744898805359</v>
      </c>
      <c r="K921" s="22">
        <v>1.8697307313902043</v>
      </c>
      <c r="L921" s="22">
        <v>2.0219846619501922</v>
      </c>
      <c r="M921" s="22">
        <v>2.1906807424821193</v>
      </c>
      <c r="N921" s="22">
        <v>2.3807535646886882</v>
      </c>
      <c r="O921" s="22">
        <v>2.5936665933217924</v>
      </c>
      <c r="P921" s="22">
        <v>2.8264851897243486</v>
      </c>
      <c r="Q921" s="22">
        <v>3.0764339312765476</v>
      </c>
      <c r="R921" s="22">
        <v>3.3444700378238044</v>
      </c>
      <c r="S921" s="14"/>
      <c r="T921" s="14"/>
      <c r="U921" s="12"/>
      <c r="V921" s="12"/>
      <c r="W921" s="12"/>
      <c r="X921" s="12"/>
      <c r="Y921" s="12"/>
      <c r="Z921" s="12"/>
      <c r="AA921" s="12"/>
      <c r="AB921" s="12"/>
      <c r="AC921" s="12"/>
      <c r="AD921" s="12"/>
      <c r="AE921" s="12"/>
      <c r="AF921" s="12"/>
    </row>
    <row r="922" spans="1:32" x14ac:dyDescent="0.35">
      <c r="A922" t="s">
        <v>25</v>
      </c>
      <c r="B922" s="17" t="s">
        <v>59</v>
      </c>
      <c r="C922" s="18" t="s">
        <v>76</v>
      </c>
      <c r="D922" s="19" t="s">
        <v>77</v>
      </c>
      <c r="E922" s="19" t="s">
        <v>77</v>
      </c>
      <c r="F922" s="22">
        <v>1.8172735537269114</v>
      </c>
      <c r="G922" s="22">
        <v>1.94113533868849</v>
      </c>
      <c r="H922" s="22">
        <v>2.0773215695532969</v>
      </c>
      <c r="I922" s="22">
        <v>2.2223699175331797</v>
      </c>
      <c r="J922" s="22">
        <v>2.37458306248827</v>
      </c>
      <c r="K922" s="22">
        <v>2.530889271722474</v>
      </c>
      <c r="L922" s="22">
        <v>2.6983279194867587</v>
      </c>
      <c r="M922" s="22">
        <v>2.8822406341322044</v>
      </c>
      <c r="N922" s="22">
        <v>3.0882959458366033</v>
      </c>
      <c r="O922" s="22">
        <v>3.3173178885034567</v>
      </c>
      <c r="P922" s="22">
        <v>3.5644294198403723</v>
      </c>
      <c r="Q922" s="22">
        <v>3.8251960534234937</v>
      </c>
      <c r="R922" s="22">
        <v>4.1000466229713108</v>
      </c>
      <c r="S922" s="14"/>
      <c r="T922" s="14"/>
      <c r="U922" s="12"/>
      <c r="V922" s="12"/>
      <c r="W922" s="12"/>
      <c r="X922" s="12"/>
      <c r="Y922" s="12"/>
      <c r="Z922" s="12"/>
      <c r="AA922" s="12"/>
      <c r="AB922" s="12"/>
      <c r="AC922" s="12"/>
      <c r="AD922" s="12"/>
      <c r="AE922" s="12"/>
      <c r="AF922" s="12"/>
    </row>
    <row r="923" spans="1:32" x14ac:dyDescent="0.35">
      <c r="A923" t="s">
        <v>25</v>
      </c>
      <c r="B923" s="17" t="s">
        <v>59</v>
      </c>
      <c r="C923" s="18" t="s">
        <v>76</v>
      </c>
      <c r="D923" s="19" t="s">
        <v>78</v>
      </c>
      <c r="E923" s="19" t="s">
        <v>78</v>
      </c>
      <c r="F923" s="22">
        <v>1.766382921643709</v>
      </c>
      <c r="G923" s="22">
        <v>1.854792730010117</v>
      </c>
      <c r="H923" s="22">
        <v>1.9479676026977206</v>
      </c>
      <c r="I923" s="22">
        <v>2.0511504521287907</v>
      </c>
      <c r="J923" s="22">
        <v>2.1638692071138848</v>
      </c>
      <c r="K923" s="22">
        <v>2.2854905554450111</v>
      </c>
      <c r="L923" s="22">
        <v>2.4144080990403287</v>
      </c>
      <c r="M923" s="22">
        <v>2.5485853731636325</v>
      </c>
      <c r="N923" s="22">
        <v>2.6877354167916123</v>
      </c>
      <c r="O923" s="22">
        <v>2.8380227459652576</v>
      </c>
      <c r="P923" s="22">
        <v>3.0007180577632595</v>
      </c>
      <c r="Q923" s="22">
        <v>3.1730811714987475</v>
      </c>
      <c r="R923" s="22">
        <v>3.3527423215855827</v>
      </c>
      <c r="S923" s="14"/>
      <c r="T923" s="14"/>
      <c r="U923" s="12"/>
      <c r="V923" s="12"/>
      <c r="W923" s="12"/>
      <c r="X923" s="12"/>
      <c r="Y923" s="12"/>
      <c r="Z923" s="12"/>
      <c r="AA923" s="12"/>
      <c r="AB923" s="12"/>
      <c r="AC923" s="12"/>
      <c r="AD923" s="12"/>
      <c r="AE923" s="12"/>
      <c r="AF923" s="12"/>
    </row>
    <row r="924" spans="1:32" x14ac:dyDescent="0.35">
      <c r="A924" t="s">
        <v>25</v>
      </c>
      <c r="B924" s="17" t="s">
        <v>59</v>
      </c>
      <c r="C924" s="18" t="s">
        <v>76</v>
      </c>
      <c r="D924" s="19" t="s">
        <v>79</v>
      </c>
      <c r="E924" s="19" t="s">
        <v>79</v>
      </c>
      <c r="F924" s="22">
        <v>1.0122130374986691</v>
      </c>
      <c r="G924" s="22">
        <v>1.1015559809989732</v>
      </c>
      <c r="H924" s="22">
        <v>1.1946240094744485</v>
      </c>
      <c r="I924" s="22">
        <v>1.2934626684858415</v>
      </c>
      <c r="J924" s="22">
        <v>1.4020575761449514</v>
      </c>
      <c r="K924" s="22">
        <v>1.5245549983181061</v>
      </c>
      <c r="L924" s="22">
        <v>1.6643776258093146</v>
      </c>
      <c r="M924" s="22">
        <v>1.8206607684450706</v>
      </c>
      <c r="N924" s="22">
        <v>1.9903262615826023</v>
      </c>
      <c r="O924" s="22">
        <v>2.1738036425033727</v>
      </c>
      <c r="P924" s="22">
        <v>2.3739913890636664</v>
      </c>
      <c r="Q924" s="22">
        <v>2.5943302857581472</v>
      </c>
      <c r="R924" s="22">
        <v>2.8342041372200284</v>
      </c>
      <c r="S924" s="22"/>
      <c r="T924" s="22"/>
      <c r="U924" s="12"/>
      <c r="V924" s="12"/>
      <c r="W924" s="12"/>
      <c r="X924" s="12"/>
      <c r="Y924" s="12"/>
      <c r="Z924" s="12"/>
      <c r="AA924" s="12"/>
      <c r="AB924" s="12"/>
      <c r="AC924" s="12"/>
      <c r="AD924" s="12"/>
      <c r="AE924" s="12"/>
      <c r="AF924" s="12"/>
    </row>
    <row r="925" spans="1:32" x14ac:dyDescent="0.35">
      <c r="A925" t="s">
        <v>25</v>
      </c>
      <c r="B925" s="17" t="s">
        <v>59</v>
      </c>
      <c r="C925" s="18" t="s">
        <v>76</v>
      </c>
      <c r="D925" s="19" t="s">
        <v>80</v>
      </c>
      <c r="E925" s="19" t="s">
        <v>80</v>
      </c>
      <c r="F925" s="22">
        <v>0.82267587896420502</v>
      </c>
      <c r="G925" s="22">
        <v>0.85628210512027336</v>
      </c>
      <c r="H925" s="22">
        <v>0.89215819964732557</v>
      </c>
      <c r="I925" s="22">
        <v>0.93080130425728502</v>
      </c>
      <c r="J925" s="22">
        <v>0.97252548634331903</v>
      </c>
      <c r="K925" s="22">
        <v>1.0176714100325057</v>
      </c>
      <c r="L925" s="22">
        <v>1.066463804798035</v>
      </c>
      <c r="M925" s="22">
        <v>1.1183395430593472</v>
      </c>
      <c r="N925" s="22">
        <v>1.1727200211884381</v>
      </c>
      <c r="O925" s="22">
        <v>1.2292059165140914</v>
      </c>
      <c r="P925" s="22">
        <v>1.2873940584958268</v>
      </c>
      <c r="Q925" s="22">
        <v>1.3476470349899852</v>
      </c>
      <c r="R925" s="22">
        <v>1.4094127869809421</v>
      </c>
      <c r="S925" s="22"/>
      <c r="T925" s="22"/>
      <c r="U925" s="12"/>
      <c r="V925" s="12"/>
      <c r="W925" s="12"/>
      <c r="X925" s="12"/>
      <c r="Y925" s="12"/>
      <c r="Z925" s="12"/>
      <c r="AA925" s="12"/>
      <c r="AB925" s="12"/>
      <c r="AC925" s="12"/>
      <c r="AD925" s="12"/>
      <c r="AE925" s="12"/>
      <c r="AF925" s="12"/>
    </row>
    <row r="926" spans="1:32" x14ac:dyDescent="0.35">
      <c r="A926" t="s">
        <v>25</v>
      </c>
      <c r="B926" s="17" t="s">
        <v>59</v>
      </c>
      <c r="C926" s="18" t="s">
        <v>76</v>
      </c>
      <c r="D926" s="19" t="s">
        <v>81</v>
      </c>
      <c r="E926" s="19" t="s">
        <v>81</v>
      </c>
      <c r="F926" s="22">
        <v>0.95854544384816809</v>
      </c>
      <c r="G926" s="22">
        <v>1.0153536014576106</v>
      </c>
      <c r="H926" s="22">
        <v>1.0716933271009057</v>
      </c>
      <c r="I926" s="22">
        <v>1.1292820612761687</v>
      </c>
      <c r="J926" s="22">
        <v>1.1913437207705657</v>
      </c>
      <c r="K926" s="22">
        <v>1.26088215783616</v>
      </c>
      <c r="L926" s="22">
        <v>1.3399567827030054</v>
      </c>
      <c r="M926" s="22">
        <v>1.4269184350231965</v>
      </c>
      <c r="N926" s="22">
        <v>1.5185108529064848</v>
      </c>
      <c r="O926" s="22">
        <v>1.6144573160743376</v>
      </c>
      <c r="P926" s="22">
        <v>1.7163150391259023</v>
      </c>
      <c r="Q926" s="22">
        <v>1.825839431972728</v>
      </c>
      <c r="R926" s="22">
        <v>1.9417086614323744</v>
      </c>
      <c r="S926" s="22"/>
      <c r="T926" s="22"/>
      <c r="U926" s="12"/>
      <c r="V926" s="12"/>
      <c r="W926" s="12"/>
      <c r="X926" s="12"/>
      <c r="Y926" s="12"/>
      <c r="Z926" s="12"/>
      <c r="AA926" s="12"/>
      <c r="AB926" s="12"/>
      <c r="AC926" s="12"/>
      <c r="AD926" s="12"/>
      <c r="AE926" s="12"/>
      <c r="AF926" s="12"/>
    </row>
    <row r="927" spans="1:32" x14ac:dyDescent="0.35">
      <c r="A927" t="s">
        <v>25</v>
      </c>
      <c r="B927" s="17" t="s">
        <v>47</v>
      </c>
      <c r="C927" s="13" t="s">
        <v>82</v>
      </c>
      <c r="D927" s="13" t="s">
        <v>82</v>
      </c>
      <c r="E927" s="13" t="s">
        <v>82</v>
      </c>
      <c r="F927" s="14">
        <v>32.206655101348417</v>
      </c>
      <c r="G927" s="14">
        <v>34.309042067749303</v>
      </c>
      <c r="H927" s="14">
        <v>36.616594281991297</v>
      </c>
      <c r="I927" s="14">
        <v>39.087972381698414</v>
      </c>
      <c r="J927" s="14">
        <v>41.710537525391246</v>
      </c>
      <c r="K927" s="14">
        <v>44.460356181151248</v>
      </c>
      <c r="L927" s="14">
        <v>47.436970964730683</v>
      </c>
      <c r="M927" s="14">
        <v>50.716305747103867</v>
      </c>
      <c r="N927" s="14">
        <v>54.358273632889706</v>
      </c>
      <c r="O927" s="14">
        <v>58.363495245752254</v>
      </c>
      <c r="P927" s="14">
        <v>62.65090631083811</v>
      </c>
      <c r="Q927" s="14">
        <v>67.157560349313528</v>
      </c>
      <c r="R927" s="14">
        <v>71.901595758936026</v>
      </c>
      <c r="S927" s="22"/>
      <c r="T927" s="22"/>
      <c r="U927" s="12"/>
      <c r="V927" s="12"/>
      <c r="W927" s="12"/>
      <c r="X927" s="12"/>
      <c r="Y927" s="12"/>
      <c r="Z927" s="12"/>
      <c r="AA927" s="12"/>
      <c r="AB927" s="12"/>
      <c r="AC927" s="12"/>
      <c r="AD927" s="12"/>
      <c r="AE927" s="12"/>
      <c r="AF927" s="12"/>
    </row>
    <row r="928" spans="1:32" x14ac:dyDescent="0.35">
      <c r="A928" t="s">
        <v>25</v>
      </c>
      <c r="B928" s="17" t="s">
        <v>47</v>
      </c>
      <c r="C928" s="13" t="s">
        <v>83</v>
      </c>
      <c r="D928" s="13" t="s">
        <v>83</v>
      </c>
      <c r="E928" s="13" t="s">
        <v>83</v>
      </c>
      <c r="F928" s="14">
        <v>55.383538807749787</v>
      </c>
      <c r="G928" s="14">
        <v>57.798863641606076</v>
      </c>
      <c r="H928" s="14">
        <v>60.415854355000647</v>
      </c>
      <c r="I928" s="14">
        <v>63.252029076671015</v>
      </c>
      <c r="J928" s="14">
        <v>66.34784984608865</v>
      </c>
      <c r="K928" s="14">
        <v>69.772120725539594</v>
      </c>
      <c r="L928" s="14">
        <v>73.535922851543006</v>
      </c>
      <c r="M928" s="14">
        <v>77.649832165968022</v>
      </c>
      <c r="N928" s="14">
        <v>82.019774175794453</v>
      </c>
      <c r="O928" s="14">
        <v>86.580965949107949</v>
      </c>
      <c r="P928" s="14">
        <v>91.222647676327639</v>
      </c>
      <c r="Q928" s="14">
        <v>95.900321198441958</v>
      </c>
      <c r="R928" s="14">
        <v>100.66747616835154</v>
      </c>
      <c r="S928" s="22"/>
      <c r="T928" s="22"/>
      <c r="U928" s="12"/>
      <c r="V928" s="12"/>
      <c r="W928" s="12"/>
      <c r="X928" s="12"/>
      <c r="Y928" s="12"/>
      <c r="Z928" s="12"/>
      <c r="AA928" s="12"/>
      <c r="AB928" s="12"/>
      <c r="AC928" s="12"/>
      <c r="AD928" s="12"/>
      <c r="AE928" s="12"/>
      <c r="AF928" s="12"/>
    </row>
    <row r="929" spans="1:32" x14ac:dyDescent="0.35">
      <c r="A929" t="s">
        <v>25</v>
      </c>
      <c r="B929" s="17" t="s">
        <v>84</v>
      </c>
      <c r="C929" s="13" t="s">
        <v>85</v>
      </c>
      <c r="D929" s="13" t="s">
        <v>85</v>
      </c>
      <c r="E929" s="13" t="s">
        <v>85</v>
      </c>
      <c r="F929" s="14">
        <v>5.3232324231524837</v>
      </c>
      <c r="G929" s="14">
        <v>5.4828465629372127</v>
      </c>
      <c r="H929" s="14">
        <v>5.6563847208220164</v>
      </c>
      <c r="I929" s="14">
        <v>5.8448428612095302</v>
      </c>
      <c r="J929" s="14">
        <v>6.0512696928028742</v>
      </c>
      <c r="K929" s="14">
        <v>6.281123779492793</v>
      </c>
      <c r="L929" s="14">
        <v>6.5343647002854359</v>
      </c>
      <c r="M929" s="14">
        <v>6.8108844603595102</v>
      </c>
      <c r="N929" s="14">
        <v>7.1013762156053994</v>
      </c>
      <c r="O929" s="14">
        <v>7.3995235146933958</v>
      </c>
      <c r="P929" s="14">
        <v>7.6953893139505505</v>
      </c>
      <c r="Q929" s="14">
        <v>7.985129232917223</v>
      </c>
      <c r="R929" s="14">
        <v>8.2732569590762779</v>
      </c>
      <c r="S929" s="22"/>
      <c r="T929" s="22"/>
      <c r="U929" s="12"/>
      <c r="V929" s="12"/>
      <c r="W929" s="12"/>
      <c r="X929" s="12"/>
      <c r="Y929" s="12"/>
      <c r="Z929" s="12"/>
      <c r="AA929" s="12"/>
      <c r="AB929" s="12"/>
      <c r="AC929" s="12"/>
      <c r="AD929" s="12"/>
      <c r="AE929" s="12"/>
      <c r="AF929" s="12"/>
    </row>
    <row r="930" spans="1:32" x14ac:dyDescent="0.35">
      <c r="A930" t="s">
        <v>25</v>
      </c>
      <c r="B930" s="17" t="s">
        <v>84</v>
      </c>
      <c r="C930" s="13" t="s">
        <v>86</v>
      </c>
      <c r="D930" s="13" t="s">
        <v>86</v>
      </c>
      <c r="E930" s="13" t="s">
        <v>86</v>
      </c>
      <c r="F930" s="14">
        <v>16.191564076156798</v>
      </c>
      <c r="G930" s="14">
        <v>16.863895547451886</v>
      </c>
      <c r="H930" s="14">
        <v>17.59787240972091</v>
      </c>
      <c r="I930" s="14">
        <v>18.357928604552832</v>
      </c>
      <c r="J930" s="14">
        <v>19.126334564751939</v>
      </c>
      <c r="K930" s="14">
        <v>19.875900056642685</v>
      </c>
      <c r="L930" s="14">
        <v>20.661466494195825</v>
      </c>
      <c r="M930" s="14">
        <v>21.519404251278406</v>
      </c>
      <c r="N930" s="14">
        <v>22.484697990507456</v>
      </c>
      <c r="O930" s="14">
        <v>23.55325100797285</v>
      </c>
      <c r="P930" s="14">
        <v>24.680436558412183</v>
      </c>
      <c r="Q930" s="14">
        <v>25.828658464948994</v>
      </c>
      <c r="R930" s="14">
        <v>26.996584191007546</v>
      </c>
      <c r="S930" s="22"/>
      <c r="T930" s="22"/>
      <c r="U930" s="12"/>
      <c r="V930" s="12"/>
      <c r="W930" s="12"/>
      <c r="X930" s="12"/>
      <c r="Y930" s="12"/>
      <c r="Z930" s="12"/>
      <c r="AA930" s="12"/>
      <c r="AB930" s="12"/>
      <c r="AC930" s="12"/>
      <c r="AD930" s="12"/>
      <c r="AE930" s="12"/>
      <c r="AF930" s="12"/>
    </row>
    <row r="931" spans="1:32" x14ac:dyDescent="0.35">
      <c r="A931" t="s">
        <v>25</v>
      </c>
      <c r="B931" s="17" t="s">
        <v>84</v>
      </c>
      <c r="C931" s="40" t="s">
        <v>87</v>
      </c>
      <c r="D931" s="40" t="s">
        <v>87</v>
      </c>
      <c r="E931" s="40" t="s">
        <v>87</v>
      </c>
      <c r="F931" s="42">
        <v>29.817492200071264</v>
      </c>
      <c r="G931" s="42">
        <v>31.495449403955604</v>
      </c>
      <c r="H931" s="42">
        <v>33.536727244120918</v>
      </c>
      <c r="I931" s="42">
        <v>35.8871275134115</v>
      </c>
      <c r="J931" s="42">
        <v>38.468785904246843</v>
      </c>
      <c r="K931" s="42">
        <v>41.237864513687427</v>
      </c>
      <c r="L931" s="42">
        <v>44.176377422715376</v>
      </c>
      <c r="M931" s="42">
        <v>47.399030533033596</v>
      </c>
      <c r="N931" s="42">
        <v>50.968798708663144</v>
      </c>
      <c r="O931" s="42">
        <v>54.843494534135942</v>
      </c>
      <c r="P931" s="42">
        <v>58.830054194514332</v>
      </c>
      <c r="Q931" s="42">
        <v>62.800169408573652</v>
      </c>
      <c r="R931" s="42">
        <v>66.872775798639069</v>
      </c>
      <c r="S931" s="22"/>
      <c r="T931" s="22"/>
      <c r="U931" s="12"/>
      <c r="V931" s="12"/>
      <c r="W931" s="12"/>
      <c r="X931" s="12"/>
      <c r="Y931" s="12"/>
      <c r="Z931" s="12"/>
      <c r="AA931" s="12"/>
      <c r="AB931" s="12"/>
      <c r="AC931" s="12"/>
      <c r="AD931" s="12"/>
      <c r="AE931" s="12"/>
      <c r="AF931" s="12"/>
    </row>
    <row r="932" spans="1:32" x14ac:dyDescent="0.35">
      <c r="A932" t="s">
        <v>25</v>
      </c>
      <c r="B932" s="17" t="s">
        <v>84</v>
      </c>
      <c r="C932" s="13" t="s">
        <v>88</v>
      </c>
      <c r="D932" s="13" t="s">
        <v>88</v>
      </c>
      <c r="E932" s="13" t="s">
        <v>88</v>
      </c>
      <c r="F932" s="14">
        <v>19.637706110675207</v>
      </c>
      <c r="G932" s="14">
        <v>20.827441422307249</v>
      </c>
      <c r="H932" s="14">
        <v>22.010587104138214</v>
      </c>
      <c r="I932" s="14">
        <v>23.222390474066053</v>
      </c>
      <c r="J932" s="14">
        <v>24.529253933325936</v>
      </c>
      <c r="K932" s="14">
        <v>25.993381105732443</v>
      </c>
      <c r="L932" s="14">
        <v>27.657815316780422</v>
      </c>
      <c r="M932" s="14">
        <v>29.489263815394821</v>
      </c>
      <c r="N932" s="14">
        <v>31.421053452773254</v>
      </c>
      <c r="O932" s="14">
        <v>33.447832225969627</v>
      </c>
      <c r="P932" s="14">
        <v>35.60221606433516</v>
      </c>
      <c r="Q932" s="14">
        <v>37.921093723070349</v>
      </c>
      <c r="R932" s="14">
        <v>40.377624803012019</v>
      </c>
      <c r="S932" s="22"/>
      <c r="T932" s="22"/>
      <c r="U932" s="12"/>
      <c r="V932" s="12"/>
      <c r="W932" s="12"/>
      <c r="X932" s="12"/>
      <c r="Y932" s="12"/>
      <c r="Z932" s="12"/>
      <c r="AA932" s="12"/>
      <c r="AB932" s="12"/>
      <c r="AC932" s="12"/>
      <c r="AD932" s="12"/>
      <c r="AE932" s="12"/>
      <c r="AF932" s="12"/>
    </row>
    <row r="933" spans="1:32" x14ac:dyDescent="0.35">
      <c r="A933" t="s">
        <v>25</v>
      </c>
      <c r="B933" s="17" t="s">
        <v>84</v>
      </c>
      <c r="C933" s="13" t="s">
        <v>89</v>
      </c>
      <c r="D933" s="13" t="s">
        <v>89</v>
      </c>
      <c r="E933" s="13" t="s">
        <v>89</v>
      </c>
      <c r="F933" s="14">
        <v>5.2460530611767977</v>
      </c>
      <c r="G933" s="14">
        <v>5.5259697883300021</v>
      </c>
      <c r="H933" s="14">
        <v>5.7999496580967778</v>
      </c>
      <c r="I933" s="14">
        <v>6.0773544785478588</v>
      </c>
      <c r="J933" s="14">
        <v>6.3754448549173137</v>
      </c>
      <c r="K933" s="14">
        <v>6.7099158485987083</v>
      </c>
      <c r="L933" s="14">
        <v>7.0910817240186317</v>
      </c>
      <c r="M933" s="14">
        <v>7.5093950892222514</v>
      </c>
      <c r="N933" s="14">
        <v>7.9470545825236893</v>
      </c>
      <c r="O933" s="14">
        <v>8.4022396245747455</v>
      </c>
      <c r="P933" s="14">
        <v>8.8827101324404545</v>
      </c>
      <c r="Q933" s="14">
        <v>9.3970751343432184</v>
      </c>
      <c r="R933" s="14">
        <v>9.9379089920851449</v>
      </c>
      <c r="S933" s="14"/>
      <c r="T933" s="14"/>
      <c r="U933" s="12"/>
      <c r="V933" s="12"/>
      <c r="W933" s="12"/>
      <c r="X933" s="12"/>
      <c r="Y933" s="12"/>
      <c r="Z933" s="12"/>
      <c r="AA933" s="12"/>
      <c r="AB933" s="12"/>
      <c r="AC933" s="12"/>
      <c r="AD933" s="12"/>
      <c r="AE933" s="12"/>
      <c r="AF933" s="12"/>
    </row>
    <row r="934" spans="1:32" x14ac:dyDescent="0.35">
      <c r="A934" t="s">
        <v>25</v>
      </c>
      <c r="B934" s="17" t="s">
        <v>84</v>
      </c>
      <c r="C934" s="13" t="s">
        <v>90</v>
      </c>
      <c r="D934" s="13" t="s">
        <v>90</v>
      </c>
      <c r="E934" s="13" t="s">
        <v>90</v>
      </c>
      <c r="F934" s="14">
        <v>11.374146037865655</v>
      </c>
      <c r="G934" s="14">
        <v>11.912302984373424</v>
      </c>
      <c r="H934" s="14">
        <v>12.430927500093112</v>
      </c>
      <c r="I934" s="14">
        <v>12.950357526581652</v>
      </c>
      <c r="J934" s="14">
        <v>13.507298421434987</v>
      </c>
      <c r="K934" s="14">
        <v>14.134291602536775</v>
      </c>
      <c r="L934" s="14">
        <v>14.851788158277984</v>
      </c>
      <c r="M934" s="14">
        <v>15.638159763783314</v>
      </c>
      <c r="N934" s="14">
        <v>16.455066858611218</v>
      </c>
      <c r="O934" s="14">
        <v>17.298120287513619</v>
      </c>
      <c r="P934" s="14">
        <v>18.182747723513064</v>
      </c>
      <c r="Q934" s="14">
        <v>19.125755583902027</v>
      </c>
      <c r="R934" s="14">
        <v>20.110921183467514</v>
      </c>
      <c r="S934" s="14"/>
      <c r="T934" s="14"/>
      <c r="U934" s="12"/>
      <c r="V934" s="12"/>
      <c r="W934" s="12"/>
      <c r="X934" s="12"/>
      <c r="Y934" s="12"/>
      <c r="Z934" s="12"/>
      <c r="AA934" s="12"/>
      <c r="AB934" s="12"/>
      <c r="AC934" s="12"/>
      <c r="AD934" s="12"/>
      <c r="AE934" s="12"/>
      <c r="AF934" s="12"/>
    </row>
    <row r="935" spans="1:32" x14ac:dyDescent="0.35">
      <c r="A935" t="s">
        <v>25</v>
      </c>
      <c r="B935" s="17" t="s">
        <v>91</v>
      </c>
      <c r="C935" s="13" t="s">
        <v>92</v>
      </c>
      <c r="D935" s="13" t="s">
        <v>92</v>
      </c>
      <c r="E935" s="13" t="s">
        <v>92</v>
      </c>
      <c r="F935" s="14">
        <v>35.029224823796092</v>
      </c>
      <c r="G935" s="14">
        <v>37.33317779247438</v>
      </c>
      <c r="H935" s="14">
        <v>39.854662802103704</v>
      </c>
      <c r="I935" s="14">
        <v>42.563074088914718</v>
      </c>
      <c r="J935" s="14">
        <v>45.384522696021556</v>
      </c>
      <c r="K935" s="14">
        <v>48.368832245151935</v>
      </c>
      <c r="L935" s="14">
        <v>51.55411611996292</v>
      </c>
      <c r="M935" s="14">
        <v>55.023429467227032</v>
      </c>
      <c r="N935" s="14">
        <v>58.809901969562553</v>
      </c>
      <c r="O935" s="14">
        <v>62.926664725522535</v>
      </c>
      <c r="P935" s="14">
        <v>67.306803722994815</v>
      </c>
      <c r="Q935" s="14">
        <v>71.885380914145756</v>
      </c>
      <c r="R935" s="14">
        <v>76.717944743317005</v>
      </c>
      <c r="S935" s="14"/>
      <c r="T935" s="14"/>
      <c r="U935" s="12"/>
      <c r="V935" s="12"/>
      <c r="W935" s="12"/>
      <c r="X935" s="12"/>
      <c r="Y935" s="12"/>
      <c r="Z935" s="12"/>
      <c r="AA935" s="12"/>
      <c r="AB935" s="12"/>
      <c r="AC935" s="12"/>
      <c r="AD935" s="12"/>
      <c r="AE935" s="12"/>
      <c r="AF935" s="12"/>
    </row>
    <row r="936" spans="1:32" x14ac:dyDescent="0.35">
      <c r="A936" t="s">
        <v>25</v>
      </c>
      <c r="B936" s="17" t="s">
        <v>91</v>
      </c>
      <c r="C936" s="13" t="s">
        <v>93</v>
      </c>
      <c r="D936" s="13" t="s">
        <v>93</v>
      </c>
      <c r="E936" s="13" t="s">
        <v>93</v>
      </c>
      <c r="F936" s="14">
        <v>52.560969085302112</v>
      </c>
      <c r="G936" s="14">
        <v>54.774727916880998</v>
      </c>
      <c r="H936" s="14">
        <v>57.17778583488824</v>
      </c>
      <c r="I936" s="14">
        <v>59.776927369454711</v>
      </c>
      <c r="J936" s="14">
        <v>62.67386467545834</v>
      </c>
      <c r="K936" s="14">
        <v>65.863644661538899</v>
      </c>
      <c r="L936" s="14">
        <v>69.418777696310769</v>
      </c>
      <c r="M936" s="14">
        <v>73.342708445844863</v>
      </c>
      <c r="N936" s="14">
        <v>77.568145839121598</v>
      </c>
      <c r="O936" s="14">
        <v>82.017796469337668</v>
      </c>
      <c r="P936" s="14">
        <v>86.566750264170921</v>
      </c>
      <c r="Q936" s="14">
        <v>91.172500633609715</v>
      </c>
      <c r="R936" s="14">
        <v>95.851127183970547</v>
      </c>
      <c r="S936" s="14"/>
      <c r="T936" s="14"/>
      <c r="U936" s="12"/>
      <c r="V936" s="12"/>
      <c r="W936" s="12"/>
      <c r="X936" s="12"/>
      <c r="Y936" s="12"/>
      <c r="Z936" s="12"/>
      <c r="AA936" s="12"/>
      <c r="AB936" s="12"/>
      <c r="AC936" s="12"/>
      <c r="AD936" s="12"/>
      <c r="AE936" s="12"/>
      <c r="AF936" s="12"/>
    </row>
    <row r="937" spans="1:32" x14ac:dyDescent="0.35">
      <c r="A937" t="s">
        <v>25</v>
      </c>
      <c r="B937" s="17" t="s">
        <v>94</v>
      </c>
      <c r="C937" s="13" t="s">
        <v>95</v>
      </c>
      <c r="D937" s="13" t="s">
        <v>95</v>
      </c>
      <c r="E937" s="13" t="s">
        <v>95</v>
      </c>
      <c r="F937" s="14">
        <v>8.9319501828769088</v>
      </c>
      <c r="G937" s="14">
        <v>9.5484632543835524</v>
      </c>
      <c r="H937" s="14">
        <v>10.223444225228871</v>
      </c>
      <c r="I937" s="14">
        <v>10.963178681920809</v>
      </c>
      <c r="J937" s="14">
        <v>11.778364223491309</v>
      </c>
      <c r="K937" s="14">
        <v>12.685573224737512</v>
      </c>
      <c r="L937" s="14">
        <v>13.692258167970891</v>
      </c>
      <c r="M937" s="14">
        <v>14.806214799919351</v>
      </c>
      <c r="N937" s="14">
        <v>16.015734647249847</v>
      </c>
      <c r="O937" s="14">
        <v>17.313383027574226</v>
      </c>
      <c r="P937" s="14">
        <v>18.681544453163173</v>
      </c>
      <c r="Q937" s="14">
        <v>20.114232299564296</v>
      </c>
      <c r="R937" s="14">
        <v>21.625252519513403</v>
      </c>
      <c r="S937" s="14"/>
      <c r="T937" s="14"/>
      <c r="U937" s="12"/>
      <c r="V937" s="12"/>
      <c r="W937" s="12"/>
      <c r="X937" s="12"/>
      <c r="Y937" s="12"/>
      <c r="Z937" s="12"/>
      <c r="AA937" s="12"/>
      <c r="AB937" s="12"/>
      <c r="AC937" s="12"/>
      <c r="AD937" s="12"/>
      <c r="AE937" s="12"/>
      <c r="AF937" s="12"/>
    </row>
    <row r="938" spans="1:32" x14ac:dyDescent="0.35">
      <c r="A938" t="s">
        <v>25</v>
      </c>
      <c r="B938" s="17" t="s">
        <v>94</v>
      </c>
      <c r="C938" s="40" t="s">
        <v>96</v>
      </c>
      <c r="D938" s="40" t="s">
        <v>96</v>
      </c>
      <c r="E938" s="40" t="s">
        <v>96</v>
      </c>
      <c r="F938" s="42">
        <v>10.906772623798901</v>
      </c>
      <c r="G938" s="42">
        <v>11.441000914037843</v>
      </c>
      <c r="H938" s="42">
        <v>12.1097325288478</v>
      </c>
      <c r="I938" s="42">
        <v>12.832084159586202</v>
      </c>
      <c r="J938" s="42">
        <v>13.615356808806453</v>
      </c>
      <c r="K938" s="42">
        <v>14.432786215565756</v>
      </c>
      <c r="L938" s="42">
        <v>15.354480176627405</v>
      </c>
      <c r="M938" s="42">
        <v>16.476096083270974</v>
      </c>
      <c r="N938" s="42">
        <v>17.81399008618709</v>
      </c>
      <c r="O938" s="42">
        <v>19.302056614393905</v>
      </c>
      <c r="P938" s="42">
        <v>20.796368517460564</v>
      </c>
      <c r="Q938" s="42">
        <v>22.200188011580934</v>
      </c>
      <c r="R938" s="42">
        <v>23.599363016403288</v>
      </c>
      <c r="S938" s="14"/>
      <c r="T938" s="14"/>
      <c r="U938" s="12"/>
      <c r="V938" s="12"/>
      <c r="W938" s="12"/>
      <c r="X938" s="12"/>
      <c r="Y938" s="12"/>
      <c r="Z938" s="12"/>
      <c r="AA938" s="12"/>
      <c r="AB938" s="12"/>
      <c r="AC938" s="12"/>
      <c r="AD938" s="12"/>
      <c r="AE938" s="12"/>
      <c r="AF938" s="12"/>
    </row>
    <row r="939" spans="1:32" x14ac:dyDescent="0.35">
      <c r="A939" t="s">
        <v>25</v>
      </c>
      <c r="B939" s="17" t="s">
        <v>94</v>
      </c>
      <c r="C939" s="13" t="s">
        <v>97</v>
      </c>
      <c r="D939" s="13" t="s">
        <v>97</v>
      </c>
      <c r="E939" s="13" t="s">
        <v>97</v>
      </c>
      <c r="F939" s="14">
        <v>13.603137117231963</v>
      </c>
      <c r="G939" s="14">
        <v>14.291001004046151</v>
      </c>
      <c r="H939" s="14">
        <v>15.038910724629185</v>
      </c>
      <c r="I939" s="14">
        <v>15.832235139874713</v>
      </c>
      <c r="J939" s="14">
        <v>16.640991655207905</v>
      </c>
      <c r="K939" s="14">
        <v>17.482199808122054</v>
      </c>
      <c r="L939" s="14">
        <v>18.367643726168136</v>
      </c>
      <c r="M939" s="14">
        <v>19.324393152054434</v>
      </c>
      <c r="N939" s="14">
        <v>20.360371828758577</v>
      </c>
      <c r="O939" s="14">
        <v>21.476027329399081</v>
      </c>
      <c r="P939" s="14">
        <v>22.644351063664438</v>
      </c>
      <c r="Q939" s="14">
        <v>23.840419529958996</v>
      </c>
      <c r="R939" s="14">
        <v>25.080603299779895</v>
      </c>
      <c r="S939" s="14"/>
      <c r="T939" s="14"/>
      <c r="U939" s="12"/>
      <c r="V939" s="12"/>
      <c r="W939" s="12"/>
      <c r="X939" s="12"/>
      <c r="Y939" s="12"/>
      <c r="Z939" s="12"/>
      <c r="AA939" s="12"/>
      <c r="AB939" s="12"/>
      <c r="AC939" s="12"/>
      <c r="AD939" s="12"/>
      <c r="AE939" s="12"/>
      <c r="AF939" s="12"/>
    </row>
    <row r="940" spans="1:32" x14ac:dyDescent="0.35">
      <c r="A940" t="s">
        <v>25</v>
      </c>
      <c r="B940" s="17" t="s">
        <v>94</v>
      </c>
      <c r="C940" s="13" t="s">
        <v>98</v>
      </c>
      <c r="D940" s="13" t="s">
        <v>98</v>
      </c>
      <c r="E940" s="13" t="s">
        <v>98</v>
      </c>
      <c r="F940" s="14">
        <v>29.877942085683607</v>
      </c>
      <c r="G940" s="14">
        <v>31.453065969809728</v>
      </c>
      <c r="H940" s="14">
        <v>33.144179042922737</v>
      </c>
      <c r="I940" s="14">
        <v>34.973171159930814</v>
      </c>
      <c r="J940" s="14">
        <v>36.955968481046128</v>
      </c>
      <c r="K940" s="14">
        <v>39.110133689854699</v>
      </c>
      <c r="L940" s="14">
        <v>41.449461688153448</v>
      </c>
      <c r="M940" s="14">
        <v>43.957629854066965</v>
      </c>
      <c r="N940" s="14">
        <v>46.616838354207928</v>
      </c>
      <c r="O940" s="14">
        <v>49.415493622227807</v>
      </c>
      <c r="P940" s="14">
        <v>52.341222696236677</v>
      </c>
      <c r="Q940" s="14">
        <v>55.412134638538426</v>
      </c>
      <c r="R940" s="14">
        <v>58.609470966141096</v>
      </c>
      <c r="S940" s="14"/>
      <c r="T940" s="14"/>
      <c r="U940" s="12"/>
      <c r="V940" s="12"/>
      <c r="W940" s="12"/>
      <c r="X940" s="12"/>
      <c r="Y940" s="12"/>
      <c r="Z940" s="12"/>
      <c r="AA940" s="12"/>
      <c r="AB940" s="12"/>
      <c r="AC940" s="12"/>
      <c r="AD940" s="12"/>
      <c r="AE940" s="12"/>
      <c r="AF940" s="12"/>
    </row>
    <row r="941" spans="1:32" x14ac:dyDescent="0.35">
      <c r="A941" t="s">
        <v>25</v>
      </c>
      <c r="B941" s="17" t="s">
        <v>94</v>
      </c>
      <c r="C941" s="13" t="s">
        <v>48</v>
      </c>
      <c r="D941" s="13" t="s">
        <v>48</v>
      </c>
      <c r="E941" s="13" t="s">
        <v>48</v>
      </c>
      <c r="F941" s="14">
        <v>9.125508829018262</v>
      </c>
      <c r="G941" s="14">
        <v>9.6646657178899282</v>
      </c>
      <c r="H941" s="14">
        <v>10.245802173257399</v>
      </c>
      <c r="I941" s="14">
        <v>10.876397256457023</v>
      </c>
      <c r="J941" s="14">
        <v>11.562247448748348</v>
      </c>
      <c r="K941" s="14">
        <v>12.309790919480958</v>
      </c>
      <c r="L941" s="14">
        <v>13.124423708199911</v>
      </c>
      <c r="M941" s="14">
        <v>14.002122812155978</v>
      </c>
      <c r="N941" s="14">
        <v>14.938284893555331</v>
      </c>
      <c r="O941" s="14">
        <v>15.930172947004085</v>
      </c>
      <c r="P941" s="14">
        <v>16.974722147243696</v>
      </c>
      <c r="Q941" s="14">
        <v>18.078669346226544</v>
      </c>
      <c r="R941" s="14">
        <v>19.23687541230132</v>
      </c>
      <c r="S941" s="14"/>
      <c r="T941" s="14"/>
      <c r="U941" s="12"/>
      <c r="V941" s="12"/>
      <c r="W941" s="12"/>
      <c r="X941" s="12"/>
      <c r="Y941" s="12"/>
      <c r="Z941" s="12"/>
      <c r="AA941" s="12"/>
      <c r="AB941" s="12"/>
      <c r="AC941" s="12"/>
      <c r="AD941" s="12"/>
      <c r="AE941" s="12"/>
      <c r="AF941" s="12"/>
    </row>
    <row r="942" spans="1:32" x14ac:dyDescent="0.35">
      <c r="A942" t="s">
        <v>25</v>
      </c>
      <c r="B942" s="17" t="s">
        <v>94</v>
      </c>
      <c r="C942" s="13" t="s">
        <v>99</v>
      </c>
      <c r="D942" s="13" t="s">
        <v>99</v>
      </c>
      <c r="E942" s="13" t="s">
        <v>99</v>
      </c>
      <c r="F942" s="14">
        <v>6.8766906910618424</v>
      </c>
      <c r="G942" s="14">
        <v>7.1156419423288737</v>
      </c>
      <c r="H942" s="14">
        <v>7.336019268458382</v>
      </c>
      <c r="I942" s="14">
        <v>7.5503722271200999</v>
      </c>
      <c r="J942" s="14">
        <v>7.7802038907465523</v>
      </c>
      <c r="K942" s="14">
        <v>8.0435855135040519</v>
      </c>
      <c r="L942" s="14">
        <v>8.3508245117250492</v>
      </c>
      <c r="M942" s="14">
        <v>8.6880465784331573</v>
      </c>
      <c r="N942" s="14">
        <v>9.0327188101178244</v>
      </c>
      <c r="O942" s="14">
        <v>9.3819925072483716</v>
      </c>
      <c r="P942" s="14">
        <v>9.7438938434045372</v>
      </c>
      <c r="Q942" s="14">
        <v>10.126796994060912</v>
      </c>
      <c r="R942" s="14">
        <v>10.521173349504735</v>
      </c>
      <c r="S942" s="14"/>
      <c r="T942" s="14"/>
      <c r="U942" s="12"/>
      <c r="V942" s="12"/>
      <c r="W942" s="12"/>
      <c r="X942" s="12"/>
      <c r="Y942" s="12"/>
      <c r="Z942" s="12"/>
      <c r="AA942" s="12"/>
      <c r="AB942" s="12"/>
      <c r="AC942" s="12"/>
      <c r="AD942" s="12"/>
      <c r="AE942" s="12"/>
      <c r="AF942" s="12"/>
    </row>
    <row r="943" spans="1:32" x14ac:dyDescent="0.35">
      <c r="A943" t="s">
        <v>25</v>
      </c>
      <c r="B943" s="17" t="s">
        <v>94</v>
      </c>
      <c r="C943" s="13" t="s">
        <v>100</v>
      </c>
      <c r="D943" s="13" t="s">
        <v>100</v>
      </c>
      <c r="E943" s="13" t="s">
        <v>100</v>
      </c>
      <c r="F943" s="14">
        <v>8.268192379426722</v>
      </c>
      <c r="G943" s="14">
        <v>8.594066906859295</v>
      </c>
      <c r="H943" s="14">
        <v>8.9343606736475625</v>
      </c>
      <c r="I943" s="14">
        <v>9.3125628334797614</v>
      </c>
      <c r="J943" s="14">
        <v>9.7252548634331877</v>
      </c>
      <c r="K943" s="14">
        <v>10.168407535425803</v>
      </c>
      <c r="L943" s="14">
        <v>10.633801837428839</v>
      </c>
      <c r="M943" s="14">
        <v>11.11163463317104</v>
      </c>
      <c r="N943" s="14">
        <v>11.600109188607558</v>
      </c>
      <c r="O943" s="14">
        <v>12.12533514701274</v>
      </c>
      <c r="P943" s="14">
        <v>12.69145126599264</v>
      </c>
      <c r="Q943" s="14">
        <v>13.285440727825348</v>
      </c>
      <c r="R943" s="14">
        <v>13.896333363643809</v>
      </c>
      <c r="S943" s="14"/>
      <c r="T943" s="14"/>
      <c r="U943" s="12"/>
      <c r="V943" s="12"/>
      <c r="W943" s="12"/>
      <c r="X943" s="12"/>
      <c r="Y943" s="12"/>
      <c r="Z943" s="12"/>
      <c r="AA943" s="12"/>
      <c r="AB943" s="12"/>
      <c r="AC943" s="12"/>
      <c r="AD943" s="12"/>
      <c r="AE943" s="12"/>
      <c r="AF943" s="12"/>
    </row>
    <row r="944" spans="1:32" x14ac:dyDescent="0.35">
      <c r="A944" t="s">
        <v>16</v>
      </c>
      <c r="B944" s="17" t="s">
        <v>54</v>
      </c>
      <c r="C944" s="13" t="s">
        <v>55</v>
      </c>
      <c r="D944" s="13" t="s">
        <v>55</v>
      </c>
      <c r="E944" s="13" t="s">
        <v>55</v>
      </c>
      <c r="F944" s="14">
        <v>6.2073518468172448</v>
      </c>
      <c r="G944" s="14">
        <v>6.7866271624204302</v>
      </c>
      <c r="H944" s="14">
        <v>7.4335341939191864</v>
      </c>
      <c r="I944" s="14">
        <v>8.1396271051534566</v>
      </c>
      <c r="J944" s="14">
        <v>8.9019371884413534</v>
      </c>
      <c r="K944" s="14">
        <v>9.7119022965600212</v>
      </c>
      <c r="L944" s="14">
        <v>10.598801414652799</v>
      </c>
      <c r="M944" s="14">
        <v>11.587890511903911</v>
      </c>
      <c r="N944" s="14">
        <v>12.707908540567077</v>
      </c>
      <c r="O944" s="14">
        <v>13.970068746903923</v>
      </c>
      <c r="P944" s="14">
        <v>15.362244460237818</v>
      </c>
      <c r="Q944" s="14">
        <v>16.872673306879154</v>
      </c>
      <c r="R944" s="14">
        <v>18.509583971746036</v>
      </c>
      <c r="S944" s="14"/>
      <c r="T944" s="14"/>
      <c r="U944" s="12"/>
      <c r="V944" s="12"/>
      <c r="W944" s="12"/>
      <c r="X944" s="12"/>
      <c r="Y944" s="12"/>
      <c r="Z944" s="12"/>
      <c r="AA944" s="12"/>
      <c r="AB944" s="12"/>
      <c r="AC944" s="12"/>
      <c r="AD944" s="12"/>
      <c r="AE944" s="12"/>
      <c r="AF944" s="12"/>
    </row>
    <row r="945" spans="1:32" x14ac:dyDescent="0.35">
      <c r="A945" t="s">
        <v>16</v>
      </c>
      <c r="B945" s="17" t="s">
        <v>54</v>
      </c>
      <c r="C945" s="13" t="s">
        <v>56</v>
      </c>
      <c r="D945" s="13" t="s">
        <v>56</v>
      </c>
      <c r="E945" s="13" t="s">
        <v>56</v>
      </c>
      <c r="F945" s="14">
        <v>22.248240686415642</v>
      </c>
      <c r="G945" s="14">
        <v>23.720070041767418</v>
      </c>
      <c r="H945" s="14">
        <v>25.19967328538177</v>
      </c>
      <c r="I945" s="14">
        <v>26.727431483449323</v>
      </c>
      <c r="J945" s="14">
        <v>28.380433412654618</v>
      </c>
      <c r="K945" s="14">
        <v>30.232530740318072</v>
      </c>
      <c r="L945" s="14">
        <v>32.336824802780605</v>
      </c>
      <c r="M945" s="14">
        <v>34.658245136603469</v>
      </c>
      <c r="N945" s="14">
        <v>37.121714032958039</v>
      </c>
      <c r="O945" s="14">
        <v>39.722998832883704</v>
      </c>
      <c r="P945" s="14">
        <v>42.502850139105014</v>
      </c>
      <c r="Q945" s="14">
        <v>45.507954350355796</v>
      </c>
      <c r="R945" s="14">
        <v>48.709470964825208</v>
      </c>
      <c r="S945" s="14"/>
      <c r="T945" s="14"/>
      <c r="U945" s="12"/>
      <c r="V945" s="12"/>
      <c r="W945" s="12"/>
      <c r="X945" s="12"/>
      <c r="Y945" s="12"/>
      <c r="Z945" s="12"/>
      <c r="AA945" s="12"/>
      <c r="AB945" s="12"/>
      <c r="AC945" s="12"/>
      <c r="AD945" s="12"/>
      <c r="AE945" s="12"/>
      <c r="AF945" s="12"/>
    </row>
    <row r="946" spans="1:32" x14ac:dyDescent="0.35">
      <c r="A946" t="s">
        <v>16</v>
      </c>
      <c r="B946" s="17" t="s">
        <v>54</v>
      </c>
      <c r="C946" s="13" t="s">
        <v>57</v>
      </c>
      <c r="D946" s="13" t="s">
        <v>57</v>
      </c>
      <c r="E946" s="13" t="s">
        <v>57</v>
      </c>
      <c r="F946" s="14">
        <v>40.956583513096312</v>
      </c>
      <c r="G946" s="14">
        <v>43.157582246856549</v>
      </c>
      <c r="H946" s="14">
        <v>45.522074924409729</v>
      </c>
      <c r="I946" s="14">
        <v>48.080601666602682</v>
      </c>
      <c r="J946" s="14">
        <v>50.855621363669904</v>
      </c>
      <c r="K946" s="14">
        <v>53.871930904311171</v>
      </c>
      <c r="L946" s="14">
        <v>57.149232040296823</v>
      </c>
      <c r="M946" s="14">
        <v>60.665776318736896</v>
      </c>
      <c r="N946" s="14">
        <v>64.397691825229302</v>
      </c>
      <c r="O946" s="14">
        <v>68.329587549384655</v>
      </c>
      <c r="P946" s="14">
        <v>72.444935001989393</v>
      </c>
      <c r="Q946" s="14">
        <v>76.769331395999174</v>
      </c>
      <c r="R946" s="14">
        <v>81.277395142646753</v>
      </c>
      <c r="S946" s="14"/>
      <c r="T946" s="14"/>
      <c r="U946" s="12"/>
      <c r="V946" s="12"/>
      <c r="W946" s="12"/>
      <c r="X946" s="12"/>
      <c r="Y946" s="12"/>
      <c r="Z946" s="12"/>
      <c r="AA946" s="12"/>
      <c r="AB946" s="12"/>
      <c r="AC946" s="12"/>
      <c r="AD946" s="12"/>
      <c r="AE946" s="12"/>
      <c r="AF946" s="12"/>
    </row>
    <row r="947" spans="1:32" x14ac:dyDescent="0.35">
      <c r="A947" t="s">
        <v>16</v>
      </c>
      <c r="B947" s="17" t="s">
        <v>59</v>
      </c>
      <c r="C947" s="18" t="s">
        <v>60</v>
      </c>
      <c r="D947" s="38" t="s">
        <v>61</v>
      </c>
      <c r="E947" s="39" t="s">
        <v>62</v>
      </c>
      <c r="F947" s="22">
        <v>2.4079034156016563</v>
      </c>
      <c r="G947" s="22">
        <v>2.6273039971408698</v>
      </c>
      <c r="H947" s="22">
        <v>2.8694480829259237</v>
      </c>
      <c r="I947" s="22">
        <v>3.1379743019857762</v>
      </c>
      <c r="J947" s="22">
        <v>3.4363738286877505</v>
      </c>
      <c r="K947" s="22">
        <v>3.768630908994397</v>
      </c>
      <c r="L947" s="22">
        <v>4.1387560311041485</v>
      </c>
      <c r="M947" s="22">
        <v>4.5481191904611036</v>
      </c>
      <c r="N947" s="22">
        <v>4.9978965392635892</v>
      </c>
      <c r="O947" s="22">
        <v>5.4898570865150473</v>
      </c>
      <c r="P947" s="22">
        <v>6.025694303237028</v>
      </c>
      <c r="Q947" s="22">
        <v>6.6106038332375254</v>
      </c>
      <c r="R947" s="22">
        <v>7.2458778783478266</v>
      </c>
      <c r="S947" s="14"/>
      <c r="T947" s="14"/>
      <c r="U947" s="12"/>
      <c r="V947" s="12"/>
      <c r="W947" s="12"/>
      <c r="X947" s="12"/>
      <c r="Y947" s="12"/>
      <c r="Z947" s="12"/>
      <c r="AA947" s="12"/>
      <c r="AB947" s="12"/>
      <c r="AC947" s="12"/>
      <c r="AD947" s="12"/>
      <c r="AE947" s="12"/>
      <c r="AF947" s="12"/>
    </row>
    <row r="948" spans="1:32" x14ac:dyDescent="0.35">
      <c r="A948" t="s">
        <v>16</v>
      </c>
      <c r="B948" s="17" t="s">
        <v>59</v>
      </c>
      <c r="C948" s="18" t="s">
        <v>60</v>
      </c>
      <c r="D948" s="38" t="s">
        <v>61</v>
      </c>
      <c r="E948" s="39" t="s">
        <v>63</v>
      </c>
      <c r="F948" s="22">
        <v>5.780757288557627</v>
      </c>
      <c r="G948" s="22">
        <v>6.1836638987548618</v>
      </c>
      <c r="H948" s="22">
        <v>6.6270195790607644</v>
      </c>
      <c r="I948" s="22">
        <v>7.09995392152313</v>
      </c>
      <c r="J948" s="22">
        <v>7.5971724104502174</v>
      </c>
      <c r="K948" s="22">
        <v>8.1089525941073735</v>
      </c>
      <c r="L948" s="22">
        <v>8.6579116093217579</v>
      </c>
      <c r="M948" s="22">
        <v>9.2613498171157236</v>
      </c>
      <c r="N948" s="22">
        <v>9.9377175633614812</v>
      </c>
      <c r="O948" s="22">
        <v>10.689981856583991</v>
      </c>
      <c r="P948" s="22">
        <v>11.502754300010313</v>
      </c>
      <c r="Q948" s="22">
        <v>12.361985824324927</v>
      </c>
      <c r="R948" s="22">
        <v>13.269263359405279</v>
      </c>
      <c r="S948" s="22"/>
      <c r="T948" s="22"/>
      <c r="U948" s="12"/>
      <c r="V948" s="12"/>
      <c r="W948" s="12"/>
      <c r="X948" s="12"/>
      <c r="Y948" s="12"/>
      <c r="Z948" s="12"/>
      <c r="AA948" s="12"/>
      <c r="AB948" s="12"/>
      <c r="AC948" s="12"/>
      <c r="AD948" s="12"/>
      <c r="AE948" s="12"/>
      <c r="AF948" s="12"/>
    </row>
    <row r="949" spans="1:32" x14ac:dyDescent="0.35">
      <c r="A949" t="s">
        <v>16</v>
      </c>
      <c r="B949" s="17" t="s">
        <v>59</v>
      </c>
      <c r="C949" s="18" t="s">
        <v>60</v>
      </c>
      <c r="D949" s="38" t="s">
        <v>61</v>
      </c>
      <c r="E949" s="39" t="s">
        <v>64</v>
      </c>
      <c r="F949" s="22">
        <v>6.3417553015755175</v>
      </c>
      <c r="G949" s="22">
        <v>6.6424897106103167</v>
      </c>
      <c r="H949" s="22">
        <v>6.8735384225064244</v>
      </c>
      <c r="I949" s="22">
        <v>7.1390933526040818</v>
      </c>
      <c r="J949" s="22">
        <v>7.5414474294444691</v>
      </c>
      <c r="K949" s="22">
        <v>8.1046619182432273</v>
      </c>
      <c r="L949" s="22">
        <v>8.8010247041210157</v>
      </c>
      <c r="M949" s="22">
        <v>9.4725543265672592</v>
      </c>
      <c r="N949" s="22">
        <v>10.00284969807532</v>
      </c>
      <c r="O949" s="22">
        <v>10.442064745911072</v>
      </c>
      <c r="P949" s="22">
        <v>10.81352910811691</v>
      </c>
      <c r="Q949" s="22">
        <v>11.23935457915195</v>
      </c>
      <c r="R949" s="22">
        <v>11.693202604233328</v>
      </c>
      <c r="S949" s="22"/>
      <c r="T949" s="22"/>
      <c r="U949" s="12"/>
      <c r="V949" s="12"/>
      <c r="W949" s="12"/>
      <c r="X949" s="12"/>
      <c r="Y949" s="12"/>
      <c r="Z949" s="12"/>
      <c r="AA949" s="12"/>
      <c r="AB949" s="12"/>
      <c r="AC949" s="12"/>
      <c r="AD949" s="12"/>
      <c r="AE949" s="12"/>
      <c r="AF949" s="12"/>
    </row>
    <row r="950" spans="1:32" x14ac:dyDescent="0.35">
      <c r="A950" t="s">
        <v>16</v>
      </c>
      <c r="B950" s="17" t="s">
        <v>59</v>
      </c>
      <c r="C950" s="18" t="s">
        <v>60</v>
      </c>
      <c r="D950" s="38" t="s">
        <v>65</v>
      </c>
      <c r="E950" s="38" t="s">
        <v>65</v>
      </c>
      <c r="F950" s="41">
        <v>12.441608644090204</v>
      </c>
      <c r="G950" s="41">
        <v>13.203639994757593</v>
      </c>
      <c r="H950" s="41">
        <v>14.028849263470059</v>
      </c>
      <c r="I950" s="41">
        <v>14.895111335119632</v>
      </c>
      <c r="J950" s="41">
        <v>15.785073670929743</v>
      </c>
      <c r="K950" s="41">
        <v>16.720317490651258</v>
      </c>
      <c r="L950" s="41">
        <v>17.719333374096291</v>
      </c>
      <c r="M950" s="41">
        <v>18.831197077305699</v>
      </c>
      <c r="N950" s="41">
        <v>20.074030083184077</v>
      </c>
      <c r="O950" s="41">
        <v>21.413943873967941</v>
      </c>
      <c r="P950" s="41">
        <v>22.859355518102692</v>
      </c>
      <c r="Q950" s="41">
        <v>24.379471096942595</v>
      </c>
      <c r="R950" s="41">
        <v>25.964103056226438</v>
      </c>
      <c r="S950" s="22"/>
      <c r="T950" s="22"/>
      <c r="U950" s="12"/>
      <c r="V950" s="12"/>
      <c r="W950" s="12"/>
      <c r="X950" s="12"/>
      <c r="Y950" s="12"/>
      <c r="Z950" s="12"/>
      <c r="AA950" s="12"/>
      <c r="AB950" s="12"/>
      <c r="AC950" s="12"/>
      <c r="AD950" s="12"/>
      <c r="AE950" s="12"/>
      <c r="AF950" s="12"/>
    </row>
    <row r="951" spans="1:32" x14ac:dyDescent="0.35">
      <c r="A951" t="s">
        <v>16</v>
      </c>
      <c r="B951" s="17" t="s">
        <v>59</v>
      </c>
      <c r="C951" s="18" t="s">
        <v>60</v>
      </c>
      <c r="D951" s="38" t="s">
        <v>66</v>
      </c>
      <c r="E951" s="38" t="s">
        <v>66</v>
      </c>
      <c r="F951" s="41">
        <v>8.1309513269491536</v>
      </c>
      <c r="G951" s="41">
        <v>8.5745761248984902</v>
      </c>
      <c r="H951" s="41">
        <v>9.0531233170842089</v>
      </c>
      <c r="I951" s="41">
        <v>9.5515883910839445</v>
      </c>
      <c r="J951" s="41">
        <v>10.058395781011047</v>
      </c>
      <c r="K951" s="41">
        <v>10.587065178988269</v>
      </c>
      <c r="L951" s="41">
        <v>11.148814979195295</v>
      </c>
      <c r="M951" s="41">
        <v>11.773817675202128</v>
      </c>
      <c r="N951" s="41">
        <v>12.472122936982505</v>
      </c>
      <c r="O951" s="41">
        <v>13.221198784076192</v>
      </c>
      <c r="P951" s="41">
        <v>14.025180034252907</v>
      </c>
      <c r="Q951" s="41">
        <v>14.864026213468852</v>
      </c>
      <c r="R951" s="41">
        <v>15.730747752994878</v>
      </c>
      <c r="S951" s="22"/>
      <c r="T951" s="22"/>
      <c r="U951" s="12"/>
      <c r="V951" s="12"/>
      <c r="W951" s="12"/>
      <c r="X951" s="12"/>
      <c r="Y951" s="12"/>
      <c r="Z951" s="12"/>
      <c r="AA951" s="12"/>
      <c r="AB951" s="12"/>
      <c r="AC951" s="12"/>
      <c r="AD951" s="12"/>
      <c r="AE951" s="12"/>
      <c r="AF951" s="12"/>
    </row>
    <row r="952" spans="1:32" x14ac:dyDescent="0.35">
      <c r="A952" t="s">
        <v>16</v>
      </c>
      <c r="B952" s="17" t="s">
        <v>59</v>
      </c>
      <c r="C952" s="18" t="s">
        <v>60</v>
      </c>
      <c r="D952" s="38" t="s">
        <v>67</v>
      </c>
      <c r="E952" s="38" t="s">
        <v>67</v>
      </c>
      <c r="F952" s="41">
        <v>5.1538510684345153</v>
      </c>
      <c r="G952" s="41">
        <v>5.3918339568891875</v>
      </c>
      <c r="H952" s="41">
        <v>5.6204399972824222</v>
      </c>
      <c r="I952" s="41">
        <v>5.8488939476216899</v>
      </c>
      <c r="J952" s="41">
        <v>6.0937726264519476</v>
      </c>
      <c r="K952" s="41">
        <v>6.3697018908871517</v>
      </c>
      <c r="L952" s="41">
        <v>6.6857952348527583</v>
      </c>
      <c r="M952" s="41">
        <v>7.0321838030377579</v>
      </c>
      <c r="N952" s="41">
        <v>7.3915266045842181</v>
      </c>
      <c r="O952" s="41">
        <v>7.7618077557352647</v>
      </c>
      <c r="P952" s="41">
        <v>8.1499119433187097</v>
      </c>
      <c r="Q952" s="41">
        <v>8.5633118934532231</v>
      </c>
      <c r="R952" s="41">
        <v>8.9946594367655344</v>
      </c>
      <c r="S952" s="22"/>
      <c r="T952" s="22"/>
      <c r="U952" s="12"/>
      <c r="V952" s="12"/>
      <c r="W952" s="12"/>
      <c r="X952" s="12"/>
      <c r="Y952" s="12"/>
      <c r="Z952" s="12"/>
      <c r="AA952" s="12"/>
      <c r="AB952" s="12"/>
      <c r="AC952" s="12"/>
      <c r="AD952" s="12"/>
      <c r="AE952" s="12"/>
      <c r="AF952" s="12"/>
    </row>
    <row r="953" spans="1:32" x14ac:dyDescent="0.35">
      <c r="A953" t="s">
        <v>16</v>
      </c>
      <c r="B953" s="17" t="s">
        <v>59</v>
      </c>
      <c r="C953" s="18" t="s">
        <v>60</v>
      </c>
      <c r="D953" s="38" t="s">
        <v>68</v>
      </c>
      <c r="E953" s="38" t="s">
        <v>68</v>
      </c>
      <c r="F953" s="41">
        <v>8.6693555010597478</v>
      </c>
      <c r="G953" s="41">
        <v>9.2930805444131792</v>
      </c>
      <c r="H953" s="41">
        <v>9.9714156886052692</v>
      </c>
      <c r="I953" s="41">
        <v>10.713391110237726</v>
      </c>
      <c r="J953" s="41">
        <v>11.526774727144046</v>
      </c>
      <c r="K953" s="41">
        <v>12.420300121868078</v>
      </c>
      <c r="L953" s="41">
        <v>13.402015437166154</v>
      </c>
      <c r="M953" s="41">
        <v>14.470676201539796</v>
      </c>
      <c r="N953" s="41">
        <v>15.624309525766105</v>
      </c>
      <c r="O953" s="41">
        <v>16.862733229142044</v>
      </c>
      <c r="P953" s="41">
        <v>18.185345660534125</v>
      </c>
      <c r="Q953" s="41">
        <v>19.60195378969923</v>
      </c>
      <c r="R953" s="41">
        <v>21.109899676464277</v>
      </c>
      <c r="S953" s="22"/>
      <c r="T953" s="22"/>
      <c r="U953" s="12"/>
      <c r="V953" s="12"/>
      <c r="W953" s="12"/>
      <c r="X953" s="12"/>
      <c r="Y953" s="12"/>
      <c r="Z953" s="12"/>
      <c r="AA953" s="12"/>
      <c r="AB953" s="12"/>
      <c r="AC953" s="12"/>
      <c r="AD953" s="12"/>
      <c r="AE953" s="12"/>
      <c r="AF953" s="12"/>
    </row>
    <row r="954" spans="1:32" x14ac:dyDescent="0.35">
      <c r="A954" t="s">
        <v>16</v>
      </c>
      <c r="B954" s="17" t="s">
        <v>59</v>
      </c>
      <c r="C954" s="18" t="s">
        <v>60</v>
      </c>
      <c r="D954" s="38" t="s">
        <v>69</v>
      </c>
      <c r="E954" s="38" t="s">
        <v>69</v>
      </c>
      <c r="F954" s="41">
        <v>9.654645667600553</v>
      </c>
      <c r="G954" s="41">
        <v>10.050099383348067</v>
      </c>
      <c r="H954" s="41">
        <v>10.481851058679467</v>
      </c>
      <c r="I954" s="41">
        <v>10.928656810104391</v>
      </c>
      <c r="J954" s="41">
        <v>11.379936832530746</v>
      </c>
      <c r="K954" s="41">
        <v>11.81950518644938</v>
      </c>
      <c r="L954" s="41">
        <v>12.279992409726241</v>
      </c>
      <c r="M954" s="41">
        <v>12.782980172816712</v>
      </c>
      <c r="N954" s="41">
        <v>13.349180218855352</v>
      </c>
      <c r="O954" s="41">
        <v>13.976056932708868</v>
      </c>
      <c r="P954" s="41">
        <v>14.637030425627271</v>
      </c>
      <c r="Q954" s="41">
        <v>15.309747478625495</v>
      </c>
      <c r="R954" s="41">
        <v>15.993397918664343</v>
      </c>
      <c r="S954" s="22"/>
      <c r="T954" s="22"/>
      <c r="U954" s="12"/>
      <c r="V954" s="12"/>
      <c r="W954" s="12"/>
      <c r="X954" s="12"/>
      <c r="Y954" s="12"/>
      <c r="Z954" s="12"/>
      <c r="AA954" s="12"/>
      <c r="AB954" s="12"/>
      <c r="AC954" s="12"/>
      <c r="AD954" s="12"/>
      <c r="AE954" s="12"/>
      <c r="AF954" s="12"/>
    </row>
    <row r="955" spans="1:32" x14ac:dyDescent="0.35">
      <c r="A955" t="s">
        <v>16</v>
      </c>
      <c r="B955" s="17" t="s">
        <v>59</v>
      </c>
      <c r="C955" s="18" t="s">
        <v>70</v>
      </c>
      <c r="D955" s="19" t="s">
        <v>71</v>
      </c>
      <c r="E955" s="19" t="s">
        <v>71</v>
      </c>
      <c r="F955" s="22">
        <v>1.3862194224609621</v>
      </c>
      <c r="G955" s="22">
        <v>1.5234770971968938</v>
      </c>
      <c r="H955" s="22">
        <v>1.6762298016901227</v>
      </c>
      <c r="I955" s="22">
        <v>1.8430412114208758</v>
      </c>
      <c r="J955" s="22">
        <v>2.0227669155913777</v>
      </c>
      <c r="K955" s="22">
        <v>2.219007338563447</v>
      </c>
      <c r="L955" s="22">
        <v>2.4353956938598356</v>
      </c>
      <c r="M955" s="22">
        <v>2.680191527564848</v>
      </c>
      <c r="N955" s="22">
        <v>2.958303841562977</v>
      </c>
      <c r="O955" s="22">
        <v>3.2674934401543312</v>
      </c>
      <c r="P955" s="22">
        <v>3.6114488681474293</v>
      </c>
      <c r="Q955" s="22">
        <v>3.9879996028826761</v>
      </c>
      <c r="R955" s="22">
        <v>4.3978297152969708</v>
      </c>
      <c r="S955" s="22"/>
      <c r="T955" s="22"/>
      <c r="U955" s="12"/>
      <c r="V955" s="12"/>
      <c r="W955" s="12"/>
      <c r="X955" s="12"/>
      <c r="Y955" s="12"/>
      <c r="Z955" s="12"/>
      <c r="AA955" s="12"/>
      <c r="AB955" s="12"/>
      <c r="AC955" s="12"/>
      <c r="AD955" s="12"/>
      <c r="AE955" s="12"/>
      <c r="AF955" s="12"/>
    </row>
    <row r="956" spans="1:32" x14ac:dyDescent="0.35">
      <c r="A956" t="s">
        <v>16</v>
      </c>
      <c r="B956" s="17" t="s">
        <v>59</v>
      </c>
      <c r="C956" s="18" t="s">
        <v>70</v>
      </c>
      <c r="D956" s="19" t="s">
        <v>72</v>
      </c>
      <c r="E956" s="19" t="s">
        <v>72</v>
      </c>
      <c r="F956" s="22">
        <v>1.041211965024448</v>
      </c>
      <c r="G956" s="22">
        <v>1.15674870838981</v>
      </c>
      <c r="H956" s="22">
        <v>1.286551773417882</v>
      </c>
      <c r="I956" s="22">
        <v>1.4299556082155163</v>
      </c>
      <c r="J956" s="22">
        <v>1.5864838553657856</v>
      </c>
      <c r="K956" s="22">
        <v>1.7593530233659924</v>
      </c>
      <c r="L956" s="22">
        <v>1.9519383339055769</v>
      </c>
      <c r="M956" s="22">
        <v>2.1714605621835363</v>
      </c>
      <c r="N956" s="22">
        <v>2.4227283216831603</v>
      </c>
      <c r="O956" s="22">
        <v>2.7048882522793996</v>
      </c>
      <c r="P956" s="22">
        <v>3.021938241620314</v>
      </c>
      <c r="Q956" s="22">
        <v>3.3731288984784098</v>
      </c>
      <c r="R956" s="22">
        <v>3.7600730314195072</v>
      </c>
      <c r="S956" s="22"/>
      <c r="T956" s="22"/>
      <c r="U956" s="12"/>
      <c r="V956" s="12"/>
      <c r="W956" s="12"/>
      <c r="X956" s="12"/>
      <c r="Y956" s="12"/>
      <c r="Z956" s="12"/>
      <c r="AA956" s="12"/>
      <c r="AB956" s="12"/>
      <c r="AC956" s="12"/>
      <c r="AD956" s="12"/>
      <c r="AE956" s="12"/>
      <c r="AF956" s="12"/>
    </row>
    <row r="957" spans="1:32" x14ac:dyDescent="0.35">
      <c r="A957" t="s">
        <v>16</v>
      </c>
      <c r="B957" s="17" t="s">
        <v>59</v>
      </c>
      <c r="C957" s="18" t="s">
        <v>70</v>
      </c>
      <c r="D957" s="19" t="s">
        <v>73</v>
      </c>
      <c r="E957" s="19" t="s">
        <v>73</v>
      </c>
      <c r="F957" s="22">
        <v>0.99134512150771315</v>
      </c>
      <c r="G957" s="22">
        <v>1.0647503952407313</v>
      </c>
      <c r="H957" s="22">
        <v>1.1454732585452405</v>
      </c>
      <c r="I957" s="22">
        <v>1.2327938600602983</v>
      </c>
      <c r="J957" s="22">
        <v>1.324714019230431</v>
      </c>
      <c r="K957" s="22">
        <v>1.4227825097222839</v>
      </c>
      <c r="L957" s="22">
        <v>1.5282503661392988</v>
      </c>
      <c r="M957" s="22">
        <v>1.6437378325193048</v>
      </c>
      <c r="N957" s="22">
        <v>1.7704527037584603</v>
      </c>
      <c r="O957" s="22">
        <v>1.9090349062782856</v>
      </c>
      <c r="P957" s="22">
        <v>2.0577122017131013</v>
      </c>
      <c r="Q957" s="22">
        <v>2.2147142010039422</v>
      </c>
      <c r="R957" s="22">
        <v>2.3819246516875614</v>
      </c>
      <c r="S957" s="22"/>
      <c r="T957" s="22"/>
      <c r="U957" s="12"/>
      <c r="V957" s="12"/>
      <c r="W957" s="12"/>
      <c r="X957" s="12"/>
      <c r="Y957" s="12"/>
      <c r="Z957" s="12"/>
      <c r="AA957" s="12"/>
      <c r="AB957" s="12"/>
      <c r="AC957" s="12"/>
      <c r="AD957" s="12"/>
      <c r="AE957" s="12"/>
      <c r="AF957" s="12"/>
    </row>
    <row r="958" spans="1:32" x14ac:dyDescent="0.35">
      <c r="A958" t="s">
        <v>16</v>
      </c>
      <c r="B958" s="17" t="s">
        <v>59</v>
      </c>
      <c r="C958" s="18" t="s">
        <v>70</v>
      </c>
      <c r="D958" s="19" t="s">
        <v>74</v>
      </c>
      <c r="E958" s="19" t="s">
        <v>74</v>
      </c>
      <c r="F958" s="22">
        <v>1.1786901582372844</v>
      </c>
      <c r="G958" s="22">
        <v>1.2735899095306553</v>
      </c>
      <c r="H958" s="22">
        <v>1.3713197459668489</v>
      </c>
      <c r="I958" s="22">
        <v>1.4741469732588908</v>
      </c>
      <c r="J958" s="22">
        <v>1.5864838553657856</v>
      </c>
      <c r="K958" s="22">
        <v>1.7127960217995732</v>
      </c>
      <c r="L958" s="22">
        <v>1.8566052212356936</v>
      </c>
      <c r="M958" s="22">
        <v>2.0165457800538822</v>
      </c>
      <c r="N958" s="22">
        <v>2.1888331906348659</v>
      </c>
      <c r="O958" s="22">
        <v>2.3736418603092373</v>
      </c>
      <c r="P958" s="22">
        <v>2.5738322698318883</v>
      </c>
      <c r="Q958" s="22">
        <v>2.7927666077368953</v>
      </c>
      <c r="R958" s="22">
        <v>3.0293383177920257</v>
      </c>
      <c r="S958" s="22"/>
      <c r="T958" s="22"/>
      <c r="U958" s="12"/>
      <c r="V958" s="12"/>
      <c r="W958" s="12"/>
      <c r="X958" s="12"/>
      <c r="Y958" s="12"/>
      <c r="Z958" s="12"/>
      <c r="AA958" s="12"/>
      <c r="AB958" s="12"/>
      <c r="AC958" s="12"/>
      <c r="AD958" s="12"/>
      <c r="AE958" s="12"/>
      <c r="AF958" s="12"/>
    </row>
    <row r="959" spans="1:32" x14ac:dyDescent="0.35">
      <c r="A959" t="s">
        <v>16</v>
      </c>
      <c r="B959" s="17" t="s">
        <v>59</v>
      </c>
      <c r="C959" s="18" t="s">
        <v>70</v>
      </c>
      <c r="D959" s="19" t="s">
        <v>75</v>
      </c>
      <c r="E959" s="19" t="s">
        <v>75</v>
      </c>
      <c r="F959" s="22">
        <v>1.0146217234611257</v>
      </c>
      <c r="G959" s="22">
        <v>1.1054627490802706</v>
      </c>
      <c r="H959" s="22">
        <v>1.2002614227436028</v>
      </c>
      <c r="I959" s="22">
        <v>1.3010871765433265</v>
      </c>
      <c r="J959" s="22">
        <v>1.4119706312755491</v>
      </c>
      <c r="K959" s="22">
        <v>1.5371230571441712</v>
      </c>
      <c r="L959" s="22">
        <v>1.6800458131645863</v>
      </c>
      <c r="M959" s="22">
        <v>1.8399287221383911</v>
      </c>
      <c r="N959" s="22">
        <v>2.0137208818993977</v>
      </c>
      <c r="O959" s="22">
        <v>2.2019061786687475</v>
      </c>
      <c r="P959" s="22">
        <v>2.4074716307460715</v>
      </c>
      <c r="Q959" s="22">
        <v>2.6339681091466596</v>
      </c>
      <c r="R959" s="22">
        <v>2.8808440231576369</v>
      </c>
      <c r="S959" s="22"/>
      <c r="T959" s="22"/>
      <c r="U959" s="12"/>
      <c r="V959" s="12"/>
      <c r="W959" s="12"/>
      <c r="X959" s="12"/>
      <c r="Y959" s="12"/>
      <c r="Z959" s="12"/>
      <c r="AA959" s="12"/>
      <c r="AB959" s="12"/>
      <c r="AC959" s="12"/>
      <c r="AD959" s="12"/>
      <c r="AE959" s="12"/>
      <c r="AF959" s="12"/>
    </row>
    <row r="960" spans="1:32" x14ac:dyDescent="0.35">
      <c r="A960" t="s">
        <v>16</v>
      </c>
      <c r="B960" s="17" t="s">
        <v>59</v>
      </c>
      <c r="C960" s="18" t="s">
        <v>76</v>
      </c>
      <c r="D960" s="19" t="s">
        <v>77</v>
      </c>
      <c r="E960" s="19" t="s">
        <v>77</v>
      </c>
      <c r="F960" s="22">
        <v>1.5060408965049821</v>
      </c>
      <c r="G960" s="22">
        <v>1.6209081060303114</v>
      </c>
      <c r="H960" s="22">
        <v>1.747401710567638</v>
      </c>
      <c r="I960" s="22">
        <v>1.884495628630122</v>
      </c>
      <c r="J960" s="22">
        <v>2.0292009890048042</v>
      </c>
      <c r="K960" s="22">
        <v>2.1839372550279967</v>
      </c>
      <c r="L960" s="22">
        <v>2.3506868178167095</v>
      </c>
      <c r="M960" s="22">
        <v>2.5335544152633211</v>
      </c>
      <c r="N960" s="22">
        <v>2.7345015303949807</v>
      </c>
      <c r="O960" s="22">
        <v>2.954628498754841</v>
      </c>
      <c r="P960" s="22">
        <v>3.1913111130783491</v>
      </c>
      <c r="Q960" s="22">
        <v>3.4419060789470777</v>
      </c>
      <c r="R960" s="22">
        <v>3.7094269533084114</v>
      </c>
      <c r="S960" s="22"/>
      <c r="T960" s="22"/>
      <c r="U960" s="12"/>
      <c r="V960" s="12"/>
      <c r="W960" s="12"/>
      <c r="X960" s="12"/>
      <c r="Y960" s="12"/>
      <c r="Z960" s="12"/>
      <c r="AA960" s="12"/>
      <c r="AB960" s="12"/>
      <c r="AC960" s="12"/>
      <c r="AD960" s="12"/>
      <c r="AE960" s="12"/>
      <c r="AF960" s="12"/>
    </row>
    <row r="961" spans="1:32" x14ac:dyDescent="0.35">
      <c r="A961" t="s">
        <v>16</v>
      </c>
      <c r="B961" s="17" t="s">
        <v>59</v>
      </c>
      <c r="C961" s="18" t="s">
        <v>76</v>
      </c>
      <c r="D961" s="19" t="s">
        <v>78</v>
      </c>
      <c r="E961" s="19" t="s">
        <v>78</v>
      </c>
      <c r="F961" s="22">
        <v>1.4201822422825696</v>
      </c>
      <c r="G961" s="22">
        <v>1.5042273869302833</v>
      </c>
      <c r="H961" s="22">
        <v>1.5875645243002134</v>
      </c>
      <c r="I961" s="22">
        <v>1.6727379532750257</v>
      </c>
      <c r="J961" s="22">
        <v>1.764522599134613</v>
      </c>
      <c r="K961" s="22">
        <v>1.8673658894986604</v>
      </c>
      <c r="L961" s="22">
        <v>1.9843150892817114</v>
      </c>
      <c r="M961" s="22">
        <v>2.1129245327020798</v>
      </c>
      <c r="N961" s="22">
        <v>2.2483696120918601</v>
      </c>
      <c r="O961" s="22">
        <v>2.3902389050817949</v>
      </c>
      <c r="P961" s="22">
        <v>2.5408362997033942</v>
      </c>
      <c r="Q961" s="22">
        <v>2.7027583459095452</v>
      </c>
      <c r="R961" s="22">
        <v>2.8740455627474728</v>
      </c>
      <c r="S961" s="22"/>
      <c r="T961" s="22"/>
      <c r="U961" s="12"/>
      <c r="V961" s="12"/>
      <c r="W961" s="12"/>
      <c r="X961" s="12"/>
      <c r="Y961" s="12"/>
      <c r="Z961" s="12"/>
      <c r="AA961" s="12"/>
      <c r="AB961" s="12"/>
      <c r="AC961" s="12"/>
      <c r="AD961" s="12"/>
      <c r="AE961" s="12"/>
      <c r="AF961" s="12"/>
    </row>
    <row r="962" spans="1:32" x14ac:dyDescent="0.35">
      <c r="A962" t="s">
        <v>16</v>
      </c>
      <c r="B962" s="17" t="s">
        <v>59</v>
      </c>
      <c r="C962" s="18" t="s">
        <v>76</v>
      </c>
      <c r="D962" s="19" t="s">
        <v>79</v>
      </c>
      <c r="E962" s="19" t="s">
        <v>79</v>
      </c>
      <c r="F962" s="22">
        <v>0.80565335716589792</v>
      </c>
      <c r="G962" s="22">
        <v>0.87794780750218027</v>
      </c>
      <c r="H962" s="22">
        <v>0.95819277008214288</v>
      </c>
      <c r="I962" s="22">
        <v>1.0473691589062222</v>
      </c>
      <c r="J962" s="22">
        <v>1.1469396894374984</v>
      </c>
      <c r="K962" s="22">
        <v>1.259034624689225</v>
      </c>
      <c r="L962" s="22">
        <v>1.3850227871197744</v>
      </c>
      <c r="M962" s="22">
        <v>1.5263882870618637</v>
      </c>
      <c r="N962" s="22">
        <v>1.6826913742789067</v>
      </c>
      <c r="O962" s="22">
        <v>1.8538781982641017</v>
      </c>
      <c r="P962" s="22">
        <v>2.0387727760016192</v>
      </c>
      <c r="Q962" s="22">
        <v>2.2373504820584542</v>
      </c>
      <c r="R962" s="22">
        <v>2.4517614607752649</v>
      </c>
      <c r="S962" s="22"/>
      <c r="T962" s="22"/>
      <c r="U962" s="12"/>
      <c r="V962" s="12"/>
      <c r="W962" s="12"/>
      <c r="X962" s="12"/>
      <c r="Y962" s="12"/>
      <c r="Z962" s="12"/>
      <c r="AA962" s="12"/>
      <c r="AB962" s="12"/>
      <c r="AC962" s="12"/>
      <c r="AD962" s="12"/>
      <c r="AE962" s="12"/>
      <c r="AF962" s="12"/>
    </row>
    <row r="963" spans="1:32" x14ac:dyDescent="0.35">
      <c r="A963" t="s">
        <v>16</v>
      </c>
      <c r="B963" s="17" t="s">
        <v>59</v>
      </c>
      <c r="C963" s="18" t="s">
        <v>76</v>
      </c>
      <c r="D963" s="19" t="s">
        <v>80</v>
      </c>
      <c r="E963" s="19" t="s">
        <v>80</v>
      </c>
      <c r="F963" s="22">
        <v>0.7276685695975551</v>
      </c>
      <c r="G963" s="22">
        <v>0.76022005202205745</v>
      </c>
      <c r="H963" s="22">
        <v>0.79549472394135834</v>
      </c>
      <c r="I963" s="22">
        <v>0.83373198659175141</v>
      </c>
      <c r="J963" s="22">
        <v>0.87547467418601943</v>
      </c>
      <c r="K963" s="22">
        <v>0.9216419034776645</v>
      </c>
      <c r="L963" s="22">
        <v>0.97239421046206409</v>
      </c>
      <c r="M963" s="22">
        <v>1.0278860970487778</v>
      </c>
      <c r="N963" s="22">
        <v>1.0868873830164201</v>
      </c>
      <c r="O963" s="22">
        <v>1.1485507870277363</v>
      </c>
      <c r="P963" s="22">
        <v>1.2114154973531355</v>
      </c>
      <c r="Q963" s="22">
        <v>1.2748944048263591</v>
      </c>
      <c r="R963" s="22">
        <v>1.3397005251716481</v>
      </c>
      <c r="S963" s="22"/>
      <c r="T963" s="22"/>
      <c r="U963" s="12"/>
      <c r="V963" s="12"/>
      <c r="W963" s="12"/>
      <c r="X963" s="12"/>
      <c r="Y963" s="12"/>
      <c r="Z963" s="12"/>
      <c r="AA963" s="12"/>
      <c r="AB963" s="12"/>
      <c r="AC963" s="12"/>
      <c r="AD963" s="12"/>
      <c r="AE963" s="12"/>
      <c r="AF963" s="12"/>
    </row>
    <row r="964" spans="1:32" x14ac:dyDescent="0.35">
      <c r="A964" t="s">
        <v>16</v>
      </c>
      <c r="B964" s="17" t="s">
        <v>59</v>
      </c>
      <c r="C964" s="18" t="s">
        <v>76</v>
      </c>
      <c r="D964" s="19" t="s">
        <v>81</v>
      </c>
      <c r="E964" s="19" t="s">
        <v>81</v>
      </c>
      <c r="F964" s="22">
        <v>0.75971437621768101</v>
      </c>
      <c r="G964" s="22">
        <v>0.81025962830862541</v>
      </c>
      <c r="H964" s="22">
        <v>0.86110726284109196</v>
      </c>
      <c r="I964" s="22">
        <v>0.91363752802307241</v>
      </c>
      <c r="J964" s="22">
        <v>0.97048742952403699</v>
      </c>
      <c r="K964" s="22">
        <v>1.0341870277111138</v>
      </c>
      <c r="L964" s="22">
        <v>1.1065601451612896</v>
      </c>
      <c r="M964" s="22">
        <v>1.1864159466620907</v>
      </c>
      <c r="N964" s="22">
        <v>1.2711923893607444</v>
      </c>
      <c r="O964" s="22">
        <v>1.3607498377133866</v>
      </c>
      <c r="P964" s="22">
        <v>1.4564894099369536</v>
      </c>
      <c r="Q964" s="22">
        <v>1.5600176133402932</v>
      </c>
      <c r="R964" s="22">
        <v>1.6703541547595884</v>
      </c>
      <c r="S964" s="14"/>
      <c r="T964" s="14"/>
      <c r="U964" s="12"/>
      <c r="V964" s="12"/>
      <c r="W964" s="12"/>
      <c r="X964" s="12"/>
      <c r="Y964" s="12"/>
      <c r="Z964" s="12"/>
      <c r="AA964" s="12"/>
      <c r="AB964" s="12"/>
      <c r="AC964" s="12"/>
      <c r="AD964" s="12"/>
      <c r="AE964" s="12"/>
      <c r="AF964" s="12"/>
    </row>
    <row r="965" spans="1:32" x14ac:dyDescent="0.35">
      <c r="A965" t="s">
        <v>16</v>
      </c>
      <c r="B965" s="17" t="s">
        <v>47</v>
      </c>
      <c r="C965" s="13" t="s">
        <v>82</v>
      </c>
      <c r="D965" s="13" t="s">
        <v>82</v>
      </c>
      <c r="E965" s="13" t="s">
        <v>82</v>
      </c>
      <c r="F965" s="14">
        <v>28.455592533232888</v>
      </c>
      <c r="G965" s="14">
        <v>30.506697204187848</v>
      </c>
      <c r="H965" s="14">
        <v>32.633207479300957</v>
      </c>
      <c r="I965" s="14">
        <v>34.867058588602781</v>
      </c>
      <c r="J965" s="14">
        <v>37.28237060109597</v>
      </c>
      <c r="K965" s="14">
        <v>39.944433036878095</v>
      </c>
      <c r="L965" s="14">
        <v>42.935626217433402</v>
      </c>
      <c r="M965" s="14">
        <v>46.246135648507376</v>
      </c>
      <c r="N965" s="14">
        <v>49.829622573525114</v>
      </c>
      <c r="O965" s="14">
        <v>53.693067579787623</v>
      </c>
      <c r="P965" s="14">
        <v>57.865094599342832</v>
      </c>
      <c r="Q965" s="14">
        <v>62.380627657234953</v>
      </c>
      <c r="R965" s="14">
        <v>67.21905493657124</v>
      </c>
      <c r="S965" s="14"/>
      <c r="T965" s="14"/>
      <c r="U965" s="12"/>
      <c r="V965" s="12"/>
      <c r="W965" s="12"/>
      <c r="X965" s="12"/>
      <c r="Y965" s="12"/>
      <c r="Z965" s="12"/>
      <c r="AA965" s="12"/>
      <c r="AB965" s="12"/>
      <c r="AC965" s="12"/>
      <c r="AD965" s="12"/>
      <c r="AE965" s="12"/>
      <c r="AF965" s="12"/>
    </row>
    <row r="966" spans="1:32" x14ac:dyDescent="0.35">
      <c r="A966" t="s">
        <v>16</v>
      </c>
      <c r="B966" s="17" t="s">
        <v>47</v>
      </c>
      <c r="C966" s="13" t="s">
        <v>83</v>
      </c>
      <c r="D966" s="13" t="s">
        <v>83</v>
      </c>
      <c r="E966" s="13" t="s">
        <v>83</v>
      </c>
      <c r="F966" s="14">
        <v>40.956583513096312</v>
      </c>
      <c r="G966" s="14">
        <v>43.157582246856549</v>
      </c>
      <c r="H966" s="14">
        <v>45.522074924409729</v>
      </c>
      <c r="I966" s="14">
        <v>48.080601666602682</v>
      </c>
      <c r="J966" s="14">
        <v>50.855621363669904</v>
      </c>
      <c r="K966" s="14">
        <v>53.871930904311171</v>
      </c>
      <c r="L966" s="14">
        <v>57.149232040296823</v>
      </c>
      <c r="M966" s="14">
        <v>60.665776318736896</v>
      </c>
      <c r="N966" s="14">
        <v>64.397691825229302</v>
      </c>
      <c r="O966" s="14">
        <v>68.329587549384655</v>
      </c>
      <c r="P966" s="14">
        <v>72.444935001989393</v>
      </c>
      <c r="Q966" s="14">
        <v>76.769331395999174</v>
      </c>
      <c r="R966" s="14">
        <v>81.277395142646753</v>
      </c>
      <c r="S966" s="14"/>
      <c r="T966" s="14"/>
      <c r="U966" s="12"/>
      <c r="V966" s="12"/>
      <c r="W966" s="12"/>
      <c r="X966" s="12"/>
      <c r="Y966" s="12"/>
      <c r="Z966" s="12"/>
      <c r="AA966" s="12"/>
      <c r="AB966" s="12"/>
      <c r="AC966" s="12"/>
      <c r="AD966" s="12"/>
      <c r="AE966" s="12"/>
      <c r="AF966" s="12"/>
    </row>
    <row r="967" spans="1:32" x14ac:dyDescent="0.35">
      <c r="A967" t="s">
        <v>16</v>
      </c>
      <c r="B967" s="17" t="s">
        <v>84</v>
      </c>
      <c r="C967" s="13" t="s">
        <v>85</v>
      </c>
      <c r="D967" s="13" t="s">
        <v>85</v>
      </c>
      <c r="E967" s="13" t="s">
        <v>85</v>
      </c>
      <c r="F967" s="14">
        <v>3.9759746102326559</v>
      </c>
      <c r="G967" s="14">
        <v>4.1543966614860288</v>
      </c>
      <c r="H967" s="14">
        <v>4.3481693468030889</v>
      </c>
      <c r="I967" s="14">
        <v>4.5527939341034527</v>
      </c>
      <c r="J967" s="14">
        <v>4.7594515660973569</v>
      </c>
      <c r="K967" s="14">
        <v>4.9729550767611448</v>
      </c>
      <c r="L967" s="14">
        <v>5.1965232117258537</v>
      </c>
      <c r="M967" s="14">
        <v>5.4376280372654788</v>
      </c>
      <c r="N967" s="14">
        <v>5.6981903617025207</v>
      </c>
      <c r="O967" s="14">
        <v>5.9779938658486635</v>
      </c>
      <c r="P967" s="14">
        <v>6.269180643015285</v>
      </c>
      <c r="Q967" s="14">
        <v>6.5646359254784095</v>
      </c>
      <c r="R967" s="14">
        <v>6.8687669806155283</v>
      </c>
      <c r="S967" s="14"/>
      <c r="T967" s="14"/>
      <c r="U967" s="12"/>
      <c r="V967" s="12"/>
      <c r="W967" s="12"/>
      <c r="X967" s="12"/>
      <c r="Y967" s="12"/>
      <c r="Z967" s="12"/>
      <c r="AA967" s="12"/>
      <c r="AB967" s="12"/>
      <c r="AC967" s="12"/>
      <c r="AD967" s="12"/>
      <c r="AE967" s="12"/>
      <c r="AF967" s="12"/>
    </row>
    <row r="968" spans="1:32" x14ac:dyDescent="0.35">
      <c r="A968" t="s">
        <v>16</v>
      </c>
      <c r="B968" s="17" t="s">
        <v>84</v>
      </c>
      <c r="C968" s="13" t="s">
        <v>86</v>
      </c>
      <c r="D968" s="13" t="s">
        <v>86</v>
      </c>
      <c r="E968" s="13" t="s">
        <v>86</v>
      </c>
      <c r="F968" s="14">
        <v>13.216997964719056</v>
      </c>
      <c r="G968" s="14">
        <v>13.859399949576735</v>
      </c>
      <c r="H968" s="14">
        <v>14.560744186985271</v>
      </c>
      <c r="I968" s="14">
        <v>15.292725826816763</v>
      </c>
      <c r="J968" s="14">
        <v>16.04111453758739</v>
      </c>
      <c r="K968" s="14">
        <v>16.783351261489472</v>
      </c>
      <c r="L968" s="14">
        <v>17.565526393210895</v>
      </c>
      <c r="M968" s="14">
        <v>18.419285246029823</v>
      </c>
      <c r="N968" s="14">
        <v>19.375938006423834</v>
      </c>
      <c r="O968" s="14">
        <v>20.433946146419473</v>
      </c>
      <c r="P968" s="14">
        <v>21.55653731968394</v>
      </c>
      <c r="Q968" s="14">
        <v>22.712058864818076</v>
      </c>
      <c r="R968" s="14">
        <v>23.899873960526946</v>
      </c>
      <c r="S968" s="14"/>
      <c r="T968" s="14"/>
      <c r="U968" s="12"/>
      <c r="V968" s="12"/>
      <c r="W968" s="12"/>
      <c r="X968" s="12"/>
      <c r="Y968" s="12"/>
      <c r="Z968" s="12"/>
      <c r="AA968" s="12"/>
      <c r="AB968" s="12"/>
      <c r="AC968" s="12"/>
      <c r="AD968" s="12"/>
      <c r="AE968" s="12"/>
      <c r="AF968" s="12"/>
    </row>
    <row r="969" spans="1:32" x14ac:dyDescent="0.35">
      <c r="A969" t="s">
        <v>16</v>
      </c>
      <c r="B969" s="17" t="s">
        <v>84</v>
      </c>
      <c r="C969" s="40" t="s">
        <v>87</v>
      </c>
      <c r="D969" s="40" t="s">
        <v>87</v>
      </c>
      <c r="E969" s="40" t="s">
        <v>87</v>
      </c>
      <c r="F969" s="42">
        <v>23.939289953473072</v>
      </c>
      <c r="G969" s="42">
        <v>25.715862732773545</v>
      </c>
      <c r="H969" s="42">
        <v>27.560120324679048</v>
      </c>
      <c r="I969" s="42">
        <v>29.541045734424245</v>
      </c>
      <c r="J969" s="42">
        <v>31.729677107315709</v>
      </c>
      <c r="K969" s="42">
        <v>34.176001280151389</v>
      </c>
      <c r="L969" s="42">
        <v>36.904072534936617</v>
      </c>
      <c r="M969" s="42">
        <v>39.847421549522622</v>
      </c>
      <c r="N969" s="42">
        <v>42.961486432964151</v>
      </c>
      <c r="O969" s="42">
        <v>46.262150348014416</v>
      </c>
      <c r="P969" s="42">
        <v>49.832740931157844</v>
      </c>
      <c r="Q969" s="42">
        <v>53.772991681145939</v>
      </c>
      <c r="R969" s="42">
        <v>58.020468380252296</v>
      </c>
      <c r="S969" s="14"/>
      <c r="T969" s="14"/>
      <c r="U969" s="12"/>
      <c r="V969" s="12"/>
      <c r="W969" s="12"/>
      <c r="X969" s="12"/>
      <c r="Y969" s="12"/>
      <c r="Z969" s="12"/>
      <c r="AA969" s="12"/>
      <c r="AB969" s="12"/>
      <c r="AC969" s="12"/>
      <c r="AD969" s="12"/>
      <c r="AE969" s="12"/>
      <c r="AF969" s="12"/>
    </row>
    <row r="970" spans="1:32" x14ac:dyDescent="0.35">
      <c r="A970" t="s">
        <v>16</v>
      </c>
      <c r="B970" s="17" t="s">
        <v>84</v>
      </c>
      <c r="C970" s="13" t="s">
        <v>88</v>
      </c>
      <c r="D970" s="13" t="s">
        <v>88</v>
      </c>
      <c r="E970" s="13" t="s">
        <v>88</v>
      </c>
      <c r="F970" s="14">
        <v>15.447108251933392</v>
      </c>
      <c r="G970" s="14">
        <v>16.402773243389159</v>
      </c>
      <c r="H970" s="14">
        <v>17.444900238648426</v>
      </c>
      <c r="I970" s="14">
        <v>18.58231213212807</v>
      </c>
      <c r="J970" s="14">
        <v>19.831048192072323</v>
      </c>
      <c r="K970" s="14">
        <v>21.216582425234375</v>
      </c>
      <c r="L970" s="14">
        <v>22.748425025110205</v>
      </c>
      <c r="M970" s="14">
        <v>24.436363896930114</v>
      </c>
      <c r="N970" s="14">
        <v>26.257693713206606</v>
      </c>
      <c r="O970" s="14">
        <v>28.197268641810989</v>
      </c>
      <c r="P970" s="14">
        <v>30.223719456831553</v>
      </c>
      <c r="Q970" s="14">
        <v>32.325283035900924</v>
      </c>
      <c r="R970" s="14">
        <v>34.522287641577563</v>
      </c>
      <c r="S970" s="14"/>
      <c r="T970" s="14"/>
      <c r="U970" s="12"/>
      <c r="V970" s="12"/>
      <c r="W970" s="12"/>
      <c r="X970" s="12"/>
      <c r="Y970" s="12"/>
      <c r="Z970" s="12"/>
      <c r="AA970" s="12"/>
      <c r="AB970" s="12"/>
      <c r="AC970" s="12"/>
      <c r="AD970" s="12"/>
      <c r="AE970" s="12"/>
      <c r="AF970" s="12"/>
    </row>
    <row r="971" spans="1:32" x14ac:dyDescent="0.35">
      <c r="A971" t="s">
        <v>16</v>
      </c>
      <c r="B971" s="17" t="s">
        <v>84</v>
      </c>
      <c r="C971" s="13" t="s">
        <v>89</v>
      </c>
      <c r="D971" s="13" t="s">
        <v>89</v>
      </c>
      <c r="E971" s="13" t="s">
        <v>89</v>
      </c>
      <c r="F971" s="14">
        <v>4.0919166052718605</v>
      </c>
      <c r="G971" s="14">
        <v>4.3155000510928287</v>
      </c>
      <c r="H971" s="14">
        <v>4.5584926578128044</v>
      </c>
      <c r="I971" s="14">
        <v>4.8227649226634322</v>
      </c>
      <c r="J971" s="14">
        <v>5.1120035339564209</v>
      </c>
      <c r="K971" s="14">
        <v>5.4322208376661889</v>
      </c>
      <c r="L971" s="14">
        <v>5.7851718230780245</v>
      </c>
      <c r="M971" s="14">
        <v>6.1726256509842603</v>
      </c>
      <c r="N971" s="14">
        <v>6.5880862014294905</v>
      </c>
      <c r="O971" s="14">
        <v>7.027118073159663</v>
      </c>
      <c r="P971" s="14">
        <v>7.4813529131123779</v>
      </c>
      <c r="Q971" s="14">
        <v>7.947493127596335</v>
      </c>
      <c r="R971" s="14">
        <v>8.4302149076524682</v>
      </c>
      <c r="S971" s="22"/>
      <c r="T971" s="22"/>
      <c r="U971" s="12"/>
      <c r="V971" s="12"/>
      <c r="W971" s="12"/>
      <c r="X971" s="12"/>
      <c r="Y971" s="12"/>
      <c r="Z971" s="12"/>
      <c r="AA971" s="12"/>
      <c r="AB971" s="12"/>
      <c r="AC971" s="12"/>
      <c r="AD971" s="12"/>
      <c r="AE971" s="12"/>
      <c r="AF971" s="12"/>
    </row>
    <row r="972" spans="1:32" x14ac:dyDescent="0.35">
      <c r="A972" t="s">
        <v>16</v>
      </c>
      <c r="B972" s="17" t="s">
        <v>84</v>
      </c>
      <c r="C972" s="13" t="s">
        <v>90</v>
      </c>
      <c r="D972" s="13" t="s">
        <v>90</v>
      </c>
      <c r="E972" s="13" t="s">
        <v>90</v>
      </c>
      <c r="F972" s="14">
        <v>8.7408886606991558</v>
      </c>
      <c r="G972" s="14">
        <v>9.2163468127261012</v>
      </c>
      <c r="H972" s="14">
        <v>9.682855648782045</v>
      </c>
      <c r="I972" s="14">
        <v>10.156017705069504</v>
      </c>
      <c r="J972" s="14">
        <v>10.66469702773667</v>
      </c>
      <c r="K972" s="14">
        <v>11.235253059886702</v>
      </c>
      <c r="L972" s="14">
        <v>11.885139269668624</v>
      </c>
      <c r="M972" s="14">
        <v>12.598587586511965</v>
      </c>
      <c r="N972" s="14">
        <v>13.345919683027818</v>
      </c>
      <c r="O972" s="14">
        <v>14.124178053919078</v>
      </c>
      <c r="P972" s="14">
        <v>14.946498337531226</v>
      </c>
      <c r="Q972" s="14">
        <v>15.827496418294436</v>
      </c>
      <c r="R972" s="14">
        <v>16.754838208593181</v>
      </c>
      <c r="S972" s="22"/>
      <c r="T972" s="22"/>
      <c r="U972" s="12"/>
      <c r="V972" s="12"/>
      <c r="W972" s="12"/>
      <c r="X972" s="12"/>
      <c r="Y972" s="12"/>
      <c r="Z972" s="12"/>
      <c r="AA972" s="12"/>
      <c r="AB972" s="12"/>
      <c r="AC972" s="12"/>
      <c r="AD972" s="12"/>
      <c r="AE972" s="12"/>
      <c r="AF972" s="12"/>
    </row>
    <row r="973" spans="1:32" x14ac:dyDescent="0.35">
      <c r="A973" t="s">
        <v>16</v>
      </c>
      <c r="B973" s="17" t="s">
        <v>91</v>
      </c>
      <c r="C973" s="13" t="s">
        <v>92</v>
      </c>
      <c r="D973" s="13" t="s">
        <v>92</v>
      </c>
      <c r="E973" s="13" t="s">
        <v>92</v>
      </c>
      <c r="F973" s="14">
        <v>30.097983949196397</v>
      </c>
      <c r="G973" s="14">
        <v>32.253251504547571</v>
      </c>
      <c r="H973" s="14">
        <v>34.627360758347841</v>
      </c>
      <c r="I973" s="14">
        <v>37.164681869710606</v>
      </c>
      <c r="J973" s="14">
        <v>39.838372368074175</v>
      </c>
      <c r="K973" s="14">
        <v>42.598177054047774</v>
      </c>
      <c r="L973" s="14">
        <v>45.563366701761737</v>
      </c>
      <c r="M973" s="14">
        <v>48.826085099466809</v>
      </c>
      <c r="N973" s="14">
        <v>52.485195058714517</v>
      </c>
      <c r="O973" s="14">
        <v>56.5584854692599</v>
      </c>
      <c r="P973" s="14">
        <v>60.966750135491424</v>
      </c>
      <c r="Q973" s="14">
        <v>65.637313456096919</v>
      </c>
      <c r="R973" s="14">
        <v>70.58000104972642</v>
      </c>
      <c r="S973" s="22"/>
      <c r="T973" s="22"/>
      <c r="U973" s="12"/>
      <c r="V973" s="12"/>
      <c r="W973" s="12"/>
      <c r="X973" s="12"/>
      <c r="Y973" s="12"/>
      <c r="Z973" s="12"/>
      <c r="AA973" s="12"/>
      <c r="AB973" s="12"/>
      <c r="AC973" s="12"/>
      <c r="AD973" s="12"/>
      <c r="AE973" s="12"/>
      <c r="AF973" s="12"/>
    </row>
    <row r="974" spans="1:32" x14ac:dyDescent="0.35">
      <c r="A974" t="s">
        <v>16</v>
      </c>
      <c r="B974" s="17" t="s">
        <v>91</v>
      </c>
      <c r="C974" s="13" t="s">
        <v>93</v>
      </c>
      <c r="D974" s="13" t="s">
        <v>93</v>
      </c>
      <c r="E974" s="13" t="s">
        <v>93</v>
      </c>
      <c r="F974" s="14">
        <v>39.314192097132796</v>
      </c>
      <c r="G974" s="14">
        <v>41.411027946496823</v>
      </c>
      <c r="H974" s="14">
        <v>43.527921645362845</v>
      </c>
      <c r="I974" s="14">
        <v>45.782978385494857</v>
      </c>
      <c r="J974" s="14">
        <v>48.299619596691699</v>
      </c>
      <c r="K974" s="14">
        <v>51.218186887141492</v>
      </c>
      <c r="L974" s="14">
        <v>54.521491555968481</v>
      </c>
      <c r="M974" s="14">
        <v>58.085826867777456</v>
      </c>
      <c r="N974" s="14">
        <v>61.742119340039899</v>
      </c>
      <c r="O974" s="14">
        <v>65.464169659912386</v>
      </c>
      <c r="P974" s="14">
        <v>69.343279465840794</v>
      </c>
      <c r="Q974" s="14">
        <v>73.512645597137194</v>
      </c>
      <c r="R974" s="14">
        <v>77.916449029491574</v>
      </c>
      <c r="S974" s="22"/>
      <c r="T974" s="22"/>
      <c r="U974" s="12"/>
      <c r="V974" s="12"/>
      <c r="W974" s="12"/>
      <c r="X974" s="12"/>
      <c r="Y974" s="12"/>
      <c r="Z974" s="12"/>
      <c r="AA974" s="12"/>
      <c r="AB974" s="12"/>
      <c r="AC974" s="12"/>
      <c r="AD974" s="12"/>
      <c r="AE974" s="12"/>
      <c r="AF974" s="12"/>
    </row>
    <row r="975" spans="1:32" x14ac:dyDescent="0.35">
      <c r="A975" t="s">
        <v>16</v>
      </c>
      <c r="B975" s="17" t="s">
        <v>94</v>
      </c>
      <c r="C975" s="13" t="s">
        <v>95</v>
      </c>
      <c r="D975" s="13" t="s">
        <v>95</v>
      </c>
      <c r="E975" s="13" t="s">
        <v>95</v>
      </c>
      <c r="F975" s="14">
        <v>10.062716597286535</v>
      </c>
      <c r="G975" s="14">
        <v>10.859369337731671</v>
      </c>
      <c r="H975" s="14">
        <v>11.721082913973783</v>
      </c>
      <c r="I975" s="14">
        <v>12.683230480300184</v>
      </c>
      <c r="J975" s="14">
        <v>13.749526746503477</v>
      </c>
      <c r="K975" s="14">
        <v>14.922676612458154</v>
      </c>
      <c r="L975" s="14">
        <v>16.198929196864366</v>
      </c>
      <c r="M975" s="14">
        <v>17.570832655020737</v>
      </c>
      <c r="N975" s="14">
        <v>19.041798836280172</v>
      </c>
      <c r="O975" s="14">
        <v>20.660987669433091</v>
      </c>
      <c r="P975" s="14">
        <v>22.447014798994136</v>
      </c>
      <c r="Q975" s="14">
        <v>24.389984644492095</v>
      </c>
      <c r="R975" s="14">
        <v>26.481129145350057</v>
      </c>
      <c r="S975" s="22"/>
      <c r="T975" s="22"/>
      <c r="U975" s="12"/>
      <c r="V975" s="12"/>
      <c r="W975" s="12"/>
      <c r="X975" s="12"/>
      <c r="Y975" s="12"/>
      <c r="Z975" s="12"/>
      <c r="AA975" s="12"/>
      <c r="AB975" s="12"/>
      <c r="AC975" s="12"/>
      <c r="AD975" s="12"/>
      <c r="AE975" s="12"/>
      <c r="AF975" s="12"/>
    </row>
    <row r="976" spans="1:32" x14ac:dyDescent="0.35">
      <c r="A976" t="s">
        <v>16</v>
      </c>
      <c r="B976" s="17" t="s">
        <v>94</v>
      </c>
      <c r="C976" s="40" t="s">
        <v>96</v>
      </c>
      <c r="D976" s="40" t="s">
        <v>96</v>
      </c>
      <c r="E976" s="40" t="s">
        <v>96</v>
      </c>
      <c r="F976" s="42">
        <v>7.2425575984915369</v>
      </c>
      <c r="G976" s="42">
        <v>7.742089598791253</v>
      </c>
      <c r="H976" s="42">
        <v>8.1804548599283464</v>
      </c>
      <c r="I976" s="42">
        <v>8.555286560181159</v>
      </c>
      <c r="J976" s="42">
        <v>8.9900751804061372</v>
      </c>
      <c r="K976" s="42">
        <v>9.5340552311769073</v>
      </c>
      <c r="L976" s="42">
        <v>10.27008139955781</v>
      </c>
      <c r="M976" s="42">
        <v>11.15260501641896</v>
      </c>
      <c r="N976" s="42">
        <v>12.105380421163972</v>
      </c>
      <c r="O976" s="42">
        <v>13.037026952869937</v>
      </c>
      <c r="P976" s="42">
        <v>13.978728719549451</v>
      </c>
      <c r="Q976" s="42">
        <v>15.036635840304655</v>
      </c>
      <c r="R976" s="42">
        <v>16.171285795120696</v>
      </c>
      <c r="S976" s="22"/>
      <c r="T976" s="22"/>
      <c r="U976" s="12"/>
      <c r="V976" s="12"/>
      <c r="W976" s="12"/>
      <c r="X976" s="12"/>
      <c r="Y976" s="12"/>
      <c r="Z976" s="12"/>
      <c r="AA976" s="12"/>
      <c r="AB976" s="12"/>
      <c r="AC976" s="12"/>
      <c r="AD976" s="12"/>
      <c r="AE976" s="12"/>
      <c r="AF976" s="12"/>
    </row>
    <row r="977" spans="1:32" x14ac:dyDescent="0.35">
      <c r="A977" t="s">
        <v>16</v>
      </c>
      <c r="B977" s="17" t="s">
        <v>94</v>
      </c>
      <c r="C977" s="13" t="s">
        <v>97</v>
      </c>
      <c r="D977" s="13" t="s">
        <v>97</v>
      </c>
      <c r="E977" s="13" t="s">
        <v>97</v>
      </c>
      <c r="F977" s="14">
        <v>10.035414317533563</v>
      </c>
      <c r="G977" s="14">
        <v>10.56630807929726</v>
      </c>
      <c r="H977" s="14">
        <v>11.127224301395744</v>
      </c>
      <c r="I977" s="14">
        <v>11.748348078473091</v>
      </c>
      <c r="J977" s="14">
        <v>12.427456867031987</v>
      </c>
      <c r="K977" s="14">
        <v>13.161375240731481</v>
      </c>
      <c r="L977" s="14">
        <v>13.941287372556644</v>
      </c>
      <c r="M977" s="14">
        <v>14.755796900967841</v>
      </c>
      <c r="N977" s="14">
        <v>15.603512037691834</v>
      </c>
      <c r="O977" s="14">
        <v>16.520478470165454</v>
      </c>
      <c r="P977" s="14">
        <v>17.514642773906189</v>
      </c>
      <c r="Q977" s="14">
        <v>18.570623766026859</v>
      </c>
      <c r="R977" s="14">
        <v>19.675039348682425</v>
      </c>
      <c r="S977" s="22"/>
      <c r="T977" s="22"/>
      <c r="U977" s="12"/>
      <c r="V977" s="12"/>
      <c r="W977" s="12"/>
      <c r="X977" s="12"/>
      <c r="Y977" s="12"/>
      <c r="Z977" s="12"/>
      <c r="AA977" s="12"/>
      <c r="AB977" s="12"/>
      <c r="AC977" s="12"/>
      <c r="AD977" s="12"/>
      <c r="AE977" s="12"/>
      <c r="AF977" s="12"/>
    </row>
    <row r="978" spans="1:32" x14ac:dyDescent="0.35">
      <c r="A978" t="s">
        <v>16</v>
      </c>
      <c r="B978" s="17" t="s">
        <v>94</v>
      </c>
      <c r="C978" s="13" t="s">
        <v>98</v>
      </c>
      <c r="D978" s="13" t="s">
        <v>98</v>
      </c>
      <c r="E978" s="13" t="s">
        <v>98</v>
      </c>
      <c r="F978" s="14">
        <v>18.375388202886619</v>
      </c>
      <c r="G978" s="14">
        <v>19.458192901265321</v>
      </c>
      <c r="H978" s="14">
        <v>20.625188699419823</v>
      </c>
      <c r="I978" s="14">
        <v>21.891393528864381</v>
      </c>
      <c r="J978" s="14">
        <v>23.268429878698193</v>
      </c>
      <c r="K978" s="14">
        <v>24.76920475903778</v>
      </c>
      <c r="L978" s="14">
        <v>26.404520663712187</v>
      </c>
      <c r="M978" s="14">
        <v>28.166223920572879</v>
      </c>
      <c r="N978" s="14">
        <v>30.044998157206734</v>
      </c>
      <c r="O978" s="14">
        <v>32.035286053328562</v>
      </c>
      <c r="P978" s="14">
        <v>34.130874199475016</v>
      </c>
      <c r="Q978" s="14">
        <v>36.345260841354204</v>
      </c>
      <c r="R978" s="14">
        <v>38.668060841917033</v>
      </c>
      <c r="S978" s="22"/>
      <c r="T978" s="22"/>
      <c r="U978" s="12"/>
      <c r="V978" s="12"/>
      <c r="W978" s="12"/>
      <c r="X978" s="12"/>
      <c r="Y978" s="12"/>
      <c r="Z978" s="12"/>
      <c r="AA978" s="12"/>
      <c r="AB978" s="12"/>
      <c r="AC978" s="12"/>
      <c r="AD978" s="12"/>
      <c r="AE978" s="12"/>
      <c r="AF978" s="12"/>
    </row>
    <row r="979" spans="1:32" x14ac:dyDescent="0.35">
      <c r="A979" t="s">
        <v>16</v>
      </c>
      <c r="B979" s="17" t="s">
        <v>94</v>
      </c>
      <c r="C979" s="13" t="s">
        <v>48</v>
      </c>
      <c r="D979" s="13" t="s">
        <v>48</v>
      </c>
      <c r="E979" s="13" t="s">
        <v>48</v>
      </c>
      <c r="F979" s="14">
        <v>10.65787750162829</v>
      </c>
      <c r="G979" s="14">
        <v>11.400920280655239</v>
      </c>
      <c r="H979" s="14">
        <v>12.215920278595771</v>
      </c>
      <c r="I979" s="14">
        <v>13.094276690787485</v>
      </c>
      <c r="J979" s="14">
        <v>14.013940722397773</v>
      </c>
      <c r="K979" s="14">
        <v>14.990733497192696</v>
      </c>
      <c r="L979" s="14">
        <v>16.037078547871296</v>
      </c>
      <c r="M979" s="14">
        <v>17.179559917011048</v>
      </c>
      <c r="N979" s="14">
        <v>18.429562537302303</v>
      </c>
      <c r="O979" s="14">
        <v>19.792365703456952</v>
      </c>
      <c r="P979" s="14">
        <v>21.248142508996171</v>
      </c>
      <c r="Q979" s="14">
        <v>22.777389857275406</v>
      </c>
      <c r="R979" s="14">
        <v>24.398487668563895</v>
      </c>
      <c r="S979" s="22"/>
      <c r="T979" s="22"/>
      <c r="U979" s="12"/>
      <c r="V979" s="12"/>
      <c r="W979" s="12"/>
      <c r="X979" s="12"/>
      <c r="Y979" s="12"/>
      <c r="Z979" s="12"/>
      <c r="AA979" s="12"/>
      <c r="AB979" s="12"/>
      <c r="AC979" s="12"/>
      <c r="AD979" s="12"/>
      <c r="AE979" s="12"/>
      <c r="AF979" s="12"/>
    </row>
    <row r="980" spans="1:32" x14ac:dyDescent="0.35">
      <c r="A980" t="s">
        <v>16</v>
      </c>
      <c r="B980" s="17" t="s">
        <v>94</v>
      </c>
      <c r="C980" s="13" t="s">
        <v>99</v>
      </c>
      <c r="D980" s="13" t="s">
        <v>99</v>
      </c>
      <c r="E980" s="13" t="s">
        <v>99</v>
      </c>
      <c r="F980" s="14">
        <v>4.2123988780085675</v>
      </c>
      <c r="G980" s="14">
        <v>4.3747498713612956</v>
      </c>
      <c r="H980" s="14">
        <v>4.5479411414164215</v>
      </c>
      <c r="I980" s="14">
        <v>4.7344317694635611</v>
      </c>
      <c r="J980" s="14">
        <v>4.9357275500268889</v>
      </c>
      <c r="K980" s="14">
        <v>5.1534555666052064</v>
      </c>
      <c r="L980" s="14">
        <v>5.3886410274117775</v>
      </c>
      <c r="M980" s="14">
        <v>5.6383187383485032</v>
      </c>
      <c r="N980" s="14">
        <v>5.8994710637126406</v>
      </c>
      <c r="O980" s="14">
        <v>6.170008341201096</v>
      </c>
      <c r="P980" s="14">
        <v>6.4478395939684177</v>
      </c>
      <c r="Q980" s="14">
        <v>6.7347271981139096</v>
      </c>
      <c r="R980" s="14">
        <v>7.0278468618957115</v>
      </c>
      <c r="S980" s="14"/>
      <c r="T980" s="14"/>
      <c r="U980" s="12"/>
      <c r="V980" s="12"/>
      <c r="W980" s="12"/>
      <c r="X980" s="12"/>
      <c r="Y980" s="12"/>
      <c r="Z980" s="12"/>
      <c r="AA980" s="12"/>
      <c r="AB980" s="12"/>
      <c r="AC980" s="12"/>
      <c r="AD980" s="12"/>
      <c r="AE980" s="12"/>
      <c r="AF980" s="12"/>
    </row>
    <row r="981" spans="1:32" x14ac:dyDescent="0.35">
      <c r="A981" t="s">
        <v>16</v>
      </c>
      <c r="B981" s="17" t="s">
        <v>94</v>
      </c>
      <c r="C981" s="13" t="s">
        <v>100</v>
      </c>
      <c r="D981" s="13" t="s">
        <v>100</v>
      </c>
      <c r="E981" s="13" t="s">
        <v>100</v>
      </c>
      <c r="F981" s="14">
        <v>8.8258229504940786</v>
      </c>
      <c r="G981" s="14">
        <v>9.2626493819423619</v>
      </c>
      <c r="H981" s="14">
        <v>9.7374702089807901</v>
      </c>
      <c r="I981" s="14">
        <v>10.24069314713562</v>
      </c>
      <c r="J981" s="14">
        <v>10.752835019701427</v>
      </c>
      <c r="K981" s="14">
        <v>11.284863033987046</v>
      </c>
      <c r="L981" s="14">
        <v>11.844320049756135</v>
      </c>
      <c r="M981" s="14">
        <v>12.448574818904309</v>
      </c>
      <c r="N981" s="14">
        <v>13.102591345396764</v>
      </c>
      <c r="O981" s="14">
        <v>13.806501938717188</v>
      </c>
      <c r="P981" s="14">
        <v>14.542787006442843</v>
      </c>
      <c r="Q981" s="14">
        <v>15.295336905666968</v>
      </c>
      <c r="R981" s="14">
        <v>16.074600417688178</v>
      </c>
      <c r="S981" s="14"/>
      <c r="T981" s="14"/>
      <c r="U981" s="12"/>
      <c r="V981" s="12"/>
      <c r="W981" s="12"/>
      <c r="X981" s="12"/>
      <c r="Y981" s="12"/>
      <c r="Z981" s="12"/>
      <c r="AA981" s="12"/>
      <c r="AB981" s="12"/>
      <c r="AC981" s="12"/>
      <c r="AD981" s="12"/>
      <c r="AE981" s="12"/>
      <c r="AF981" s="12"/>
    </row>
    <row r="982" spans="1:32" x14ac:dyDescent="0.35">
      <c r="A982" s="21" t="s">
        <v>49</v>
      </c>
      <c r="B982" s="17" t="s">
        <v>54</v>
      </c>
      <c r="C982" s="13" t="s">
        <v>55</v>
      </c>
      <c r="D982" s="13" t="s">
        <v>55</v>
      </c>
      <c r="E982" s="13" t="s">
        <v>55</v>
      </c>
      <c r="F982" s="14">
        <v>22.590972987249998</v>
      </c>
      <c r="G982" s="14">
        <v>24.692243285899266</v>
      </c>
      <c r="H982" s="14">
        <v>27.022739964710144</v>
      </c>
      <c r="I982" s="14">
        <v>29.625018020271845</v>
      </c>
      <c r="J982" s="14">
        <v>32.537654273096528</v>
      </c>
      <c r="K982" s="14">
        <v>35.814410195584323</v>
      </c>
      <c r="L982" s="14">
        <v>39.489683752989727</v>
      </c>
      <c r="M982" s="14">
        <v>43.599235138720474</v>
      </c>
      <c r="N982" s="14">
        <v>48.141238825851559</v>
      </c>
      <c r="O982" s="14">
        <v>53.145983718381686</v>
      </c>
      <c r="P982" s="14">
        <v>58.603058408850345</v>
      </c>
      <c r="Q982" s="14">
        <v>64.513702497153531</v>
      </c>
      <c r="R982" s="14">
        <v>70.930084844302726</v>
      </c>
      <c r="S982" s="14"/>
      <c r="T982" s="14"/>
      <c r="U982" s="12"/>
      <c r="V982" s="12"/>
      <c r="W982" s="12"/>
      <c r="X982" s="12"/>
      <c r="Y982" s="12"/>
      <c r="Z982" s="12"/>
      <c r="AA982" s="12"/>
      <c r="AB982" s="12"/>
      <c r="AC982" s="12"/>
      <c r="AD982" s="12"/>
      <c r="AE982" s="12"/>
      <c r="AF982" s="12"/>
    </row>
    <row r="983" spans="1:32" x14ac:dyDescent="0.35">
      <c r="A983" s="21" t="s">
        <v>49</v>
      </c>
      <c r="B983" s="17" t="s">
        <v>54</v>
      </c>
      <c r="C983" s="13" t="s">
        <v>56</v>
      </c>
      <c r="D983" s="13" t="s">
        <v>56</v>
      </c>
      <c r="E983" s="13" t="s">
        <v>56</v>
      </c>
      <c r="F983" s="14">
        <v>65.625742132548439</v>
      </c>
      <c r="G983" s="14">
        <v>70.21937408193439</v>
      </c>
      <c r="H983" s="14">
        <v>75.260537960592629</v>
      </c>
      <c r="I983" s="14">
        <v>80.721670885719504</v>
      </c>
      <c r="J983" s="14">
        <v>86.574966006718441</v>
      </c>
      <c r="K983" s="14">
        <v>92.881569995830631</v>
      </c>
      <c r="L983" s="14">
        <v>99.753256565939438</v>
      </c>
      <c r="M983" s="14">
        <v>107.31915754310404</v>
      </c>
      <c r="N983" s="14">
        <v>115.61765301628836</v>
      </c>
      <c r="O983" s="14">
        <v>124.64599773429643</v>
      </c>
      <c r="P983" s="14">
        <v>134.26742185979694</v>
      </c>
      <c r="Q983" s="14">
        <v>144.38541516557606</v>
      </c>
      <c r="R983" s="14">
        <v>155.08888695957515</v>
      </c>
      <c r="S983" s="14"/>
      <c r="T983" s="14"/>
      <c r="U983" s="12"/>
      <c r="V983" s="12"/>
      <c r="W983" s="12"/>
      <c r="X983" s="12"/>
      <c r="Y983" s="12"/>
      <c r="Z983" s="12"/>
      <c r="AA983" s="12"/>
      <c r="AB983" s="12"/>
      <c r="AC983" s="12"/>
      <c r="AD983" s="12"/>
      <c r="AE983" s="12"/>
      <c r="AF983" s="12"/>
    </row>
    <row r="984" spans="1:32" x14ac:dyDescent="0.35">
      <c r="A984" s="21" t="s">
        <v>49</v>
      </c>
      <c r="B984" s="17" t="s">
        <v>54</v>
      </c>
      <c r="C984" s="13" t="s">
        <v>57</v>
      </c>
      <c r="D984" s="13" t="s">
        <v>57</v>
      </c>
      <c r="E984" s="13" t="s">
        <v>57</v>
      </c>
      <c r="F984" s="14">
        <v>143.95313020955933</v>
      </c>
      <c r="G984" s="14">
        <v>152.35675707926811</v>
      </c>
      <c r="H984" s="14">
        <v>161.28960864552431</v>
      </c>
      <c r="I984" s="14">
        <v>170.88409846891915</v>
      </c>
      <c r="J984" s="14">
        <v>181.34349132018505</v>
      </c>
      <c r="K984" s="14">
        <v>192.90387022145899</v>
      </c>
      <c r="L984" s="14">
        <v>205.69440448952554</v>
      </c>
      <c r="M984" s="14">
        <v>219.67515412575858</v>
      </c>
      <c r="N984" s="14">
        <v>234.61486177815965</v>
      </c>
      <c r="O984" s="14">
        <v>250.42296525518992</v>
      </c>
      <c r="P984" s="14">
        <v>266.99779614837968</v>
      </c>
      <c r="Q984" s="14">
        <v>284.3745588753755</v>
      </c>
      <c r="R984" s="14">
        <v>302.56644985455978</v>
      </c>
      <c r="S984" s="14"/>
      <c r="T984" s="14"/>
      <c r="U984" s="12"/>
      <c r="V984" s="12"/>
      <c r="W984" s="12"/>
      <c r="X984" s="12"/>
      <c r="Y984" s="12"/>
      <c r="Z984" s="12"/>
      <c r="AA984" s="12"/>
      <c r="AB984" s="12"/>
      <c r="AC984" s="12"/>
      <c r="AD984" s="12"/>
      <c r="AE984" s="12"/>
      <c r="AF984" s="12"/>
    </row>
    <row r="985" spans="1:32" x14ac:dyDescent="0.35">
      <c r="A985" s="21" t="s">
        <v>49</v>
      </c>
      <c r="B985" s="17" t="s">
        <v>59</v>
      </c>
      <c r="C985" s="18" t="s">
        <v>60</v>
      </c>
      <c r="D985" s="38" t="s">
        <v>61</v>
      </c>
      <c r="E985" s="39" t="s">
        <v>62</v>
      </c>
      <c r="F985" s="22">
        <v>8.6891694439506288</v>
      </c>
      <c r="G985" s="22">
        <v>9.5434584681434238</v>
      </c>
      <c r="H985" s="22">
        <v>10.497436267373731</v>
      </c>
      <c r="I985" s="22">
        <v>11.546500821923996</v>
      </c>
      <c r="J985" s="22">
        <v>12.690309257844049</v>
      </c>
      <c r="K985" s="22">
        <v>13.941356793146706</v>
      </c>
      <c r="L985" s="22">
        <v>15.327689298574404</v>
      </c>
      <c r="M985" s="22">
        <v>16.890003615043391</v>
      </c>
      <c r="N985" s="22">
        <v>18.65683511021151</v>
      </c>
      <c r="O985" s="22">
        <v>20.628708557247293</v>
      </c>
      <c r="P985" s="22">
        <v>22.810641186778472</v>
      </c>
      <c r="Q985" s="22">
        <v>25.192892924165442</v>
      </c>
      <c r="R985" s="22">
        <v>27.788561591216361</v>
      </c>
      <c r="S985" s="14"/>
      <c r="T985" s="14"/>
      <c r="U985" s="12"/>
      <c r="V985" s="12"/>
      <c r="W985" s="12"/>
      <c r="X985" s="12"/>
      <c r="Y985" s="12"/>
      <c r="Z985" s="12"/>
      <c r="AA985" s="12"/>
      <c r="AB985" s="12"/>
      <c r="AC985" s="12"/>
      <c r="AD985" s="12"/>
      <c r="AE985" s="12"/>
      <c r="AF985" s="12"/>
    </row>
    <row r="986" spans="1:32" x14ac:dyDescent="0.35">
      <c r="A986" s="21" t="s">
        <v>49</v>
      </c>
      <c r="B986" s="17" t="s">
        <v>59</v>
      </c>
      <c r="C986" s="18" t="s">
        <v>60</v>
      </c>
      <c r="D986" s="38" t="s">
        <v>61</v>
      </c>
      <c r="E986" s="39" t="s">
        <v>63</v>
      </c>
      <c r="F986" s="22">
        <v>17.413922040761197</v>
      </c>
      <c r="G986" s="22">
        <v>18.639813066176249</v>
      </c>
      <c r="H986" s="22">
        <v>19.984544995006971</v>
      </c>
      <c r="I986" s="22">
        <v>21.451629732163553</v>
      </c>
      <c r="J986" s="22">
        <v>23.042222189535202</v>
      </c>
      <c r="K986" s="22">
        <v>24.786749251487528</v>
      </c>
      <c r="L986" s="22">
        <v>26.702296595276724</v>
      </c>
      <c r="M986" s="22">
        <v>28.814895743880072</v>
      </c>
      <c r="N986" s="22">
        <v>31.117353257299015</v>
      </c>
      <c r="O986" s="22">
        <v>33.604428821364927</v>
      </c>
      <c r="P986" s="22">
        <v>36.243182095384348</v>
      </c>
      <c r="Q986" s="22">
        <v>39.015325631940684</v>
      </c>
      <c r="R986" s="22">
        <v>41.950145035514382</v>
      </c>
      <c r="S986" s="14"/>
      <c r="T986" s="14"/>
      <c r="U986" s="12"/>
      <c r="V986" s="12"/>
      <c r="W986" s="12"/>
      <c r="X986" s="12"/>
      <c r="Y986" s="12"/>
      <c r="Z986" s="12"/>
      <c r="AA986" s="12"/>
      <c r="AB986" s="12"/>
      <c r="AC986" s="12"/>
      <c r="AD986" s="12"/>
      <c r="AE986" s="12"/>
      <c r="AF986" s="12"/>
    </row>
    <row r="987" spans="1:32" x14ac:dyDescent="0.35">
      <c r="A987" s="21" t="s">
        <v>49</v>
      </c>
      <c r="B987" s="17" t="s">
        <v>59</v>
      </c>
      <c r="C987" s="18" t="s">
        <v>60</v>
      </c>
      <c r="D987" s="38" t="s">
        <v>61</v>
      </c>
      <c r="E987" s="39" t="s">
        <v>64</v>
      </c>
      <c r="F987" s="22">
        <v>21.866700368941068</v>
      </c>
      <c r="G987" s="22">
        <v>22.907014094875755</v>
      </c>
      <c r="H987" s="22">
        <v>24.011607124632086</v>
      </c>
      <c r="I987" s="22">
        <v>25.254960260180955</v>
      </c>
      <c r="J987" s="22">
        <v>26.804656104760699</v>
      </c>
      <c r="K987" s="22">
        <v>28.724668562963522</v>
      </c>
      <c r="L987" s="22">
        <v>31.001702639474587</v>
      </c>
      <c r="M987" s="22">
        <v>33.466016160684802</v>
      </c>
      <c r="N987" s="22">
        <v>35.877986006012861</v>
      </c>
      <c r="O987" s="22">
        <v>38.165360292955796</v>
      </c>
      <c r="P987" s="22">
        <v>40.072250948139782</v>
      </c>
      <c r="Q987" s="22">
        <v>41.702517133161059</v>
      </c>
      <c r="R987" s="22">
        <v>43.189818769937816</v>
      </c>
      <c r="S987" s="14"/>
      <c r="T987" s="14"/>
      <c r="U987" s="12"/>
      <c r="V987" s="12"/>
      <c r="W987" s="12"/>
      <c r="X987" s="12"/>
      <c r="Y987" s="12"/>
      <c r="Z987" s="12"/>
      <c r="AA987" s="12"/>
      <c r="AB987" s="12"/>
      <c r="AC987" s="12"/>
      <c r="AD987" s="12"/>
      <c r="AE987" s="12"/>
      <c r="AF987" s="12"/>
    </row>
    <row r="988" spans="1:32" x14ac:dyDescent="0.35">
      <c r="A988" s="21" t="s">
        <v>49</v>
      </c>
      <c r="B988" s="17" t="s">
        <v>59</v>
      </c>
      <c r="C988" s="18" t="s">
        <v>60</v>
      </c>
      <c r="D988" s="38" t="s">
        <v>65</v>
      </c>
      <c r="E988" s="38" t="s">
        <v>65</v>
      </c>
      <c r="F988" s="41">
        <v>41.846614334792058</v>
      </c>
      <c r="G988" s="41">
        <v>44.611298227446106</v>
      </c>
      <c r="H988" s="41">
        <v>47.616517267814785</v>
      </c>
      <c r="I988" s="41">
        <v>50.834548920454417</v>
      </c>
      <c r="J988" s="41">
        <v>54.226114814300303</v>
      </c>
      <c r="K988" s="41">
        <v>57.800396153260309</v>
      </c>
      <c r="L988" s="41">
        <v>61.633104288439682</v>
      </c>
      <c r="M988" s="41">
        <v>65.834226984071819</v>
      </c>
      <c r="N988" s="41">
        <v>70.479083353854122</v>
      </c>
      <c r="O988" s="41">
        <v>75.560045058831165</v>
      </c>
      <c r="P988" s="41">
        <v>81.067456040158049</v>
      </c>
      <c r="Q988" s="41">
        <v>86.90845601403467</v>
      </c>
      <c r="R988" s="41">
        <v>93.060572510743569</v>
      </c>
      <c r="S988" s="14"/>
      <c r="T988" s="14"/>
      <c r="U988" s="12"/>
      <c r="V988" s="12"/>
      <c r="W988" s="12"/>
      <c r="X988" s="12"/>
      <c r="Y988" s="12"/>
      <c r="Z988" s="12"/>
      <c r="AA988" s="12"/>
      <c r="AB988" s="12"/>
      <c r="AC988" s="12"/>
      <c r="AD988" s="12"/>
      <c r="AE988" s="12"/>
      <c r="AF988" s="12"/>
    </row>
    <row r="989" spans="1:32" x14ac:dyDescent="0.35">
      <c r="A989" s="21" t="s">
        <v>49</v>
      </c>
      <c r="B989" s="17" t="s">
        <v>59</v>
      </c>
      <c r="C989" s="18" t="s">
        <v>60</v>
      </c>
      <c r="D989" s="38" t="s">
        <v>66</v>
      </c>
      <c r="E989" s="38" t="s">
        <v>66</v>
      </c>
      <c r="F989" s="41">
        <v>27.141207773093328</v>
      </c>
      <c r="G989" s="41">
        <v>28.729725033446115</v>
      </c>
      <c r="H989" s="41">
        <v>30.335228421785292</v>
      </c>
      <c r="I989" s="41">
        <v>31.999563613924849</v>
      </c>
      <c r="J989" s="41">
        <v>33.796827114659045</v>
      </c>
      <c r="K989" s="41">
        <v>35.797248980536736</v>
      </c>
      <c r="L989" s="41">
        <v>38.050007352342092</v>
      </c>
      <c r="M989" s="41">
        <v>40.516364117706296</v>
      </c>
      <c r="N989" s="41">
        <v>43.121253834584628</v>
      </c>
      <c r="O989" s="41">
        <v>45.856660321425174</v>
      </c>
      <c r="P989" s="41">
        <v>48.75542622900258</v>
      </c>
      <c r="Q989" s="41">
        <v>51.861248297702268</v>
      </c>
      <c r="R989" s="41">
        <v>55.141803552497677</v>
      </c>
      <c r="S989" s="14"/>
      <c r="T989" s="14"/>
      <c r="U989" s="12"/>
      <c r="V989" s="12"/>
      <c r="W989" s="12"/>
      <c r="X989" s="12"/>
      <c r="Y989" s="12"/>
      <c r="Z989" s="12"/>
      <c r="AA989" s="12"/>
      <c r="AB989" s="12"/>
      <c r="AC989" s="12"/>
      <c r="AD989" s="12"/>
      <c r="AE989" s="12"/>
      <c r="AF989" s="12"/>
    </row>
    <row r="990" spans="1:32" x14ac:dyDescent="0.35">
      <c r="A990" s="21" t="s">
        <v>49</v>
      </c>
      <c r="B990" s="17" t="s">
        <v>59</v>
      </c>
      <c r="C990" s="18" t="s">
        <v>60</v>
      </c>
      <c r="D990" s="38" t="s">
        <v>67</v>
      </c>
      <c r="E990" s="38" t="s">
        <v>67</v>
      </c>
      <c r="F990" s="41">
        <v>17.109349461994405</v>
      </c>
      <c r="G990" s="41">
        <v>17.981172186992676</v>
      </c>
      <c r="H990" s="41">
        <v>18.898826254983668</v>
      </c>
      <c r="I990" s="41">
        <v>19.859427661923679</v>
      </c>
      <c r="J990" s="41">
        <v>20.867405250226501</v>
      </c>
      <c r="K990" s="41">
        <v>21.949316402564875</v>
      </c>
      <c r="L990" s="41">
        <v>23.124649456900983</v>
      </c>
      <c r="M990" s="41">
        <v>24.411236681843512</v>
      </c>
      <c r="N990" s="41">
        <v>25.802471130522338</v>
      </c>
      <c r="O990" s="41">
        <v>27.273460201452053</v>
      </c>
      <c r="P990" s="41">
        <v>28.831060661302601</v>
      </c>
      <c r="Q990" s="41">
        <v>30.464818286027121</v>
      </c>
      <c r="R990" s="41">
        <v>32.159091793732514</v>
      </c>
      <c r="S990" s="14"/>
      <c r="T990" s="14"/>
      <c r="U990" s="12"/>
      <c r="V990" s="12"/>
      <c r="W990" s="12"/>
      <c r="X990" s="12"/>
      <c r="Y990" s="12"/>
      <c r="Z990" s="12"/>
      <c r="AA990" s="12"/>
      <c r="AB990" s="12"/>
      <c r="AC990" s="12"/>
      <c r="AD990" s="12"/>
      <c r="AE990" s="12"/>
      <c r="AF990" s="12"/>
    </row>
    <row r="991" spans="1:32" x14ac:dyDescent="0.35">
      <c r="A991" s="21" t="s">
        <v>49</v>
      </c>
      <c r="B991" s="17" t="s">
        <v>59</v>
      </c>
      <c r="C991" s="18" t="s">
        <v>60</v>
      </c>
      <c r="D991" s="38" t="s">
        <v>68</v>
      </c>
      <c r="E991" s="38" t="s">
        <v>68</v>
      </c>
      <c r="F991" s="41">
        <v>28.328392315216057</v>
      </c>
      <c r="G991" s="41">
        <v>30.57942397325985</v>
      </c>
      <c r="H991" s="41">
        <v>33.037399219219793</v>
      </c>
      <c r="I991" s="41">
        <v>35.728058962518972</v>
      </c>
      <c r="J991" s="41">
        <v>38.632774738733808</v>
      </c>
      <c r="K991" s="41">
        <v>41.785666850177954</v>
      </c>
      <c r="L991" s="41">
        <v>45.20951752007273</v>
      </c>
      <c r="M991" s="41">
        <v>48.958021118901129</v>
      </c>
      <c r="N991" s="41">
        <v>53.065742492166336</v>
      </c>
      <c r="O991" s="41">
        <v>57.577808387540216</v>
      </c>
      <c r="P991" s="41">
        <v>62.521294933409344</v>
      </c>
      <c r="Q991" s="41">
        <v>67.852783864228357</v>
      </c>
      <c r="R991" s="41">
        <v>73.570889268447047</v>
      </c>
      <c r="S991" s="14"/>
      <c r="T991" s="14"/>
      <c r="U991" s="12"/>
      <c r="V991" s="12"/>
      <c r="W991" s="12"/>
      <c r="X991" s="12"/>
      <c r="Y991" s="12"/>
      <c r="Z991" s="12"/>
      <c r="AA991" s="12"/>
      <c r="AB991" s="12"/>
      <c r="AC991" s="12"/>
      <c r="AD991" s="12"/>
      <c r="AE991" s="12"/>
      <c r="AF991" s="12"/>
    </row>
    <row r="992" spans="1:32" x14ac:dyDescent="0.35">
      <c r="A992" s="21" t="s">
        <v>49</v>
      </c>
      <c r="B992" s="17" t="s">
        <v>59</v>
      </c>
      <c r="C992" s="18" t="s">
        <v>60</v>
      </c>
      <c r="D992" s="38" t="s">
        <v>69</v>
      </c>
      <c r="E992" s="38" t="s">
        <v>69</v>
      </c>
      <c r="F992" s="41">
        <v>32.630867750626415</v>
      </c>
      <c r="G992" s="41">
        <v>33.970423617353241</v>
      </c>
      <c r="H992" s="41">
        <v>35.422729809732267</v>
      </c>
      <c r="I992" s="41">
        <v>36.986656413446028</v>
      </c>
      <c r="J992" s="41">
        <v>38.66390045117317</v>
      </c>
      <c r="K992" s="41">
        <v>40.493847426819173</v>
      </c>
      <c r="L992" s="41">
        <v>42.486459015492365</v>
      </c>
      <c r="M992" s="41">
        <v>44.65881296250376</v>
      </c>
      <c r="N992" s="41">
        <v>46.970532436054462</v>
      </c>
      <c r="O992" s="41">
        <v>49.39089557212489</v>
      </c>
      <c r="P992" s="41">
        <v>51.855404860050257</v>
      </c>
      <c r="Q992" s="41">
        <v>54.331349177377035</v>
      </c>
      <c r="R992" s="41">
        <v>56.850211894128037</v>
      </c>
      <c r="S992" s="14"/>
      <c r="T992" s="14"/>
      <c r="U992" s="12"/>
      <c r="V992" s="12"/>
      <c r="W992" s="12"/>
      <c r="X992" s="12"/>
      <c r="Y992" s="12"/>
      <c r="Z992" s="12"/>
      <c r="AA992" s="12"/>
      <c r="AB992" s="12"/>
      <c r="AC992" s="12"/>
      <c r="AD992" s="12"/>
      <c r="AE992" s="12"/>
      <c r="AF992" s="12"/>
    </row>
    <row r="993" spans="1:32" x14ac:dyDescent="0.35">
      <c r="A993" s="21" t="s">
        <v>49</v>
      </c>
      <c r="B993" s="17" t="s">
        <v>59</v>
      </c>
      <c r="C993" s="18" t="s">
        <v>70</v>
      </c>
      <c r="D993" s="19" t="s">
        <v>71</v>
      </c>
      <c r="E993" s="19" t="s">
        <v>71</v>
      </c>
      <c r="F993" s="22">
        <v>4.9486811367405847</v>
      </c>
      <c r="G993" s="22">
        <v>5.4672522421514742</v>
      </c>
      <c r="H993" s="22">
        <v>6.0477712315254113</v>
      </c>
      <c r="I993" s="22">
        <v>6.6870931358851262</v>
      </c>
      <c r="J993" s="22">
        <v>7.3812500048300098</v>
      </c>
      <c r="K993" s="22">
        <v>8.1438720828151805</v>
      </c>
      <c r="L993" s="22">
        <v>8.988822912331413</v>
      </c>
      <c r="M993" s="22">
        <v>9.9456120266637544</v>
      </c>
      <c r="N993" s="22">
        <v>11.033194701556567</v>
      </c>
      <c r="O993" s="22">
        <v>12.249350813163192</v>
      </c>
      <c r="P993" s="22">
        <v>13.606216656552863</v>
      </c>
      <c r="Q993" s="22">
        <v>15.098630737691767</v>
      </c>
      <c r="R993" s="22">
        <v>16.734812748826101</v>
      </c>
      <c r="S993" s="14"/>
      <c r="T993" s="14"/>
      <c r="U993" s="12"/>
      <c r="V993" s="12"/>
      <c r="W993" s="12"/>
      <c r="X993" s="12"/>
      <c r="Y993" s="12"/>
      <c r="Z993" s="12"/>
      <c r="AA993" s="12"/>
      <c r="AB993" s="12"/>
      <c r="AC993" s="12"/>
      <c r="AD993" s="12"/>
      <c r="AE993" s="12"/>
      <c r="AF993" s="12"/>
    </row>
    <row r="994" spans="1:32" x14ac:dyDescent="0.35">
      <c r="A994" s="21" t="s">
        <v>49</v>
      </c>
      <c r="B994" s="17" t="s">
        <v>59</v>
      </c>
      <c r="C994" s="18" t="s">
        <v>70</v>
      </c>
      <c r="D994" s="19" t="s">
        <v>72</v>
      </c>
      <c r="E994" s="19" t="s">
        <v>72</v>
      </c>
      <c r="F994" s="22">
        <v>3.8217945391422772</v>
      </c>
      <c r="G994" s="22">
        <v>4.2480786648969469</v>
      </c>
      <c r="H994" s="22">
        <v>4.7293496415237168</v>
      </c>
      <c r="I994" s="22">
        <v>5.27102527315082</v>
      </c>
      <c r="J994" s="22">
        <v>5.8815671306419368</v>
      </c>
      <c r="K994" s="22">
        <v>6.5719289101129119</v>
      </c>
      <c r="L994" s="22">
        <v>7.3561730106457723</v>
      </c>
      <c r="M994" s="22">
        <v>8.2491254342828171</v>
      </c>
      <c r="N994" s="22">
        <v>9.2587904254308278</v>
      </c>
      <c r="O994" s="22">
        <v>10.392543093025793</v>
      </c>
      <c r="P994" s="22">
        <v>11.649535453478119</v>
      </c>
      <c r="Q994" s="22">
        <v>13.033955419112889</v>
      </c>
      <c r="R994" s="22">
        <v>14.563368757823115</v>
      </c>
      <c r="S994" s="14"/>
      <c r="T994" s="14"/>
      <c r="U994" s="12"/>
      <c r="V994" s="12"/>
      <c r="W994" s="12"/>
      <c r="X994" s="12"/>
      <c r="Y994" s="12"/>
      <c r="Z994" s="12"/>
      <c r="AA994" s="12"/>
      <c r="AB994" s="12"/>
      <c r="AC994" s="12"/>
      <c r="AD994" s="12"/>
      <c r="AE994" s="12"/>
      <c r="AF994" s="12"/>
    </row>
    <row r="995" spans="1:32" x14ac:dyDescent="0.35">
      <c r="A995" s="21" t="s">
        <v>49</v>
      </c>
      <c r="B995" s="17" t="s">
        <v>59</v>
      </c>
      <c r="C995" s="18" t="s">
        <v>70</v>
      </c>
      <c r="D995" s="19" t="s">
        <v>73</v>
      </c>
      <c r="E995" s="19" t="s">
        <v>73</v>
      </c>
      <c r="F995" s="22">
        <v>3.6429784839841775</v>
      </c>
      <c r="G995" s="22">
        <v>3.9197692261926602</v>
      </c>
      <c r="H995" s="22">
        <v>4.2224294967260461</v>
      </c>
      <c r="I995" s="22">
        <v>4.5535262513854091</v>
      </c>
      <c r="J995" s="22">
        <v>4.9142016542420075</v>
      </c>
      <c r="K995" s="22">
        <v>5.3090280737807971</v>
      </c>
      <c r="L995" s="22">
        <v>5.7421483157188042</v>
      </c>
      <c r="M995" s="22">
        <v>6.2158264161603149</v>
      </c>
      <c r="N995" s="22">
        <v>6.7308578509591719</v>
      </c>
      <c r="O995" s="22">
        <v>7.2881413550300742</v>
      </c>
      <c r="P995" s="22">
        <v>7.8864193973103616</v>
      </c>
      <c r="Q995" s="22">
        <v>8.5279995403769213</v>
      </c>
      <c r="R995" s="22">
        <v>9.2140670913518914</v>
      </c>
      <c r="S995" s="22"/>
      <c r="T995" s="22"/>
      <c r="U995" s="12"/>
      <c r="V995" s="12"/>
      <c r="W995" s="12"/>
      <c r="X995" s="12"/>
      <c r="Y995" s="12"/>
      <c r="Z995" s="12"/>
      <c r="AA995" s="12"/>
      <c r="AB995" s="12"/>
      <c r="AC995" s="12"/>
      <c r="AD995" s="12"/>
      <c r="AE995" s="12"/>
      <c r="AF995" s="12"/>
    </row>
    <row r="996" spans="1:32" x14ac:dyDescent="0.35">
      <c r="A996" s="21" t="s">
        <v>49</v>
      </c>
      <c r="B996" s="17" t="s">
        <v>59</v>
      </c>
      <c r="C996" s="18" t="s">
        <v>70</v>
      </c>
      <c r="D996" s="19" t="s">
        <v>74</v>
      </c>
      <c r="E996" s="19" t="s">
        <v>74</v>
      </c>
      <c r="F996" s="22">
        <v>4.1461756370810541</v>
      </c>
      <c r="G996" s="22">
        <v>4.4970572411295731</v>
      </c>
      <c r="H996" s="22">
        <v>4.873040728754809</v>
      </c>
      <c r="I996" s="22">
        <v>5.2871414041785307</v>
      </c>
      <c r="J996" s="22">
        <v>5.7459074546005162</v>
      </c>
      <c r="K996" s="22">
        <v>6.255772238551387</v>
      </c>
      <c r="L996" s="22">
        <v>6.8203496166338313</v>
      </c>
      <c r="M996" s="22">
        <v>7.4367299978614128</v>
      </c>
      <c r="N996" s="22">
        <v>8.1024046193547417</v>
      </c>
      <c r="O996" s="22">
        <v>8.8328219330788365</v>
      </c>
      <c r="P996" s="22">
        <v>9.6377575249069718</v>
      </c>
      <c r="Q996" s="22">
        <v>10.519255364642618</v>
      </c>
      <c r="R996" s="22">
        <v>11.474589077494088</v>
      </c>
      <c r="S996" s="22"/>
      <c r="T996" s="22"/>
      <c r="U996" s="12"/>
      <c r="V996" s="12"/>
      <c r="W996" s="12"/>
      <c r="X996" s="12"/>
      <c r="Y996" s="12"/>
      <c r="Z996" s="12"/>
      <c r="AA996" s="12"/>
      <c r="AB996" s="12"/>
      <c r="AC996" s="12"/>
      <c r="AD996" s="12"/>
      <c r="AE996" s="12"/>
      <c r="AF996" s="12"/>
    </row>
    <row r="997" spans="1:32" x14ac:dyDescent="0.35">
      <c r="A997" s="21" t="s">
        <v>49</v>
      </c>
      <c r="B997" s="17" t="s">
        <v>59</v>
      </c>
      <c r="C997" s="18" t="s">
        <v>70</v>
      </c>
      <c r="D997" s="19" t="s">
        <v>75</v>
      </c>
      <c r="E997" s="19" t="s">
        <v>75</v>
      </c>
      <c r="F997" s="22">
        <v>3.3428919104846191</v>
      </c>
      <c r="G997" s="22">
        <v>3.6575699546629776</v>
      </c>
      <c r="H997" s="22">
        <v>4.0061858102028749</v>
      </c>
      <c r="I997" s="22">
        <v>4.3889812903307464</v>
      </c>
      <c r="J997" s="22">
        <v>4.8066110286881116</v>
      </c>
      <c r="K997" s="22">
        <v>5.2663331597436738</v>
      </c>
      <c r="L997" s="22">
        <v>5.7754043625278344</v>
      </c>
      <c r="M997" s="22">
        <v>6.3452785547791901</v>
      </c>
      <c r="N997" s="22">
        <v>6.982747404622188</v>
      </c>
      <c r="O997" s="22">
        <v>7.685795228159277</v>
      </c>
      <c r="P997" s="22">
        <v>8.4599427940634992</v>
      </c>
      <c r="Q997" s="22">
        <v>9.3056081252493676</v>
      </c>
      <c r="R997" s="22">
        <v>10.224357929360202</v>
      </c>
      <c r="S997" s="22"/>
      <c r="T997" s="22"/>
      <c r="U997" s="12"/>
      <c r="V997" s="12"/>
      <c r="W997" s="12"/>
      <c r="X997" s="12"/>
      <c r="Y997" s="12"/>
      <c r="Z997" s="12"/>
      <c r="AA997" s="12"/>
      <c r="AB997" s="12"/>
      <c r="AC997" s="12"/>
      <c r="AD997" s="12"/>
      <c r="AE997" s="12"/>
      <c r="AF997" s="12"/>
    </row>
    <row r="998" spans="1:32" x14ac:dyDescent="0.35">
      <c r="A998" s="21" t="s">
        <v>49</v>
      </c>
      <c r="B998" s="17" t="s">
        <v>59</v>
      </c>
      <c r="C998" s="18" t="s">
        <v>76</v>
      </c>
      <c r="D998" s="19" t="s">
        <v>77</v>
      </c>
      <c r="E998" s="19" t="s">
        <v>77</v>
      </c>
      <c r="F998" s="22">
        <v>5.0612464047844279</v>
      </c>
      <c r="G998" s="22">
        <v>5.465575091766584</v>
      </c>
      <c r="H998" s="22">
        <v>5.893975189468649</v>
      </c>
      <c r="I998" s="22">
        <v>6.3486624526156419</v>
      </c>
      <c r="J998" s="22">
        <v>6.8373910200954855</v>
      </c>
      <c r="K998" s="22">
        <v>7.3752431078106131</v>
      </c>
      <c r="L998" s="22">
        <v>7.9746938546014317</v>
      </c>
      <c r="M998" s="22">
        <v>8.6434048172837254</v>
      </c>
      <c r="N998" s="22">
        <v>9.3779641397149263</v>
      </c>
      <c r="O998" s="22">
        <v>10.17345447058535</v>
      </c>
      <c r="P998" s="22">
        <v>11.039894381093283</v>
      </c>
      <c r="Q998" s="22">
        <v>11.979718787313196</v>
      </c>
      <c r="R998" s="22">
        <v>12.989301508586582</v>
      </c>
      <c r="S998" s="22"/>
      <c r="T998" s="22"/>
      <c r="U998" s="12"/>
      <c r="V998" s="12"/>
      <c r="W998" s="12"/>
      <c r="X998" s="12"/>
      <c r="Y998" s="12"/>
      <c r="Z998" s="12"/>
      <c r="AA998" s="12"/>
      <c r="AB998" s="12"/>
      <c r="AC998" s="12"/>
      <c r="AD998" s="12"/>
      <c r="AE998" s="12"/>
      <c r="AF998" s="12"/>
    </row>
    <row r="999" spans="1:32" x14ac:dyDescent="0.35">
      <c r="A999" s="21" t="s">
        <v>49</v>
      </c>
      <c r="B999" s="17" t="s">
        <v>59</v>
      </c>
      <c r="C999" s="18" t="s">
        <v>76</v>
      </c>
      <c r="D999" s="19" t="s">
        <v>78</v>
      </c>
      <c r="E999" s="19" t="s">
        <v>78</v>
      </c>
      <c r="F999" s="22">
        <v>4.6797148794676229</v>
      </c>
      <c r="G999" s="22">
        <v>4.9747140666917717</v>
      </c>
      <c r="H999" s="22">
        <v>5.2932784758818903</v>
      </c>
      <c r="I999" s="22">
        <v>5.6400410903635603</v>
      </c>
      <c r="J999" s="22">
        <v>6.0154632447005891</v>
      </c>
      <c r="K999" s="22">
        <v>6.4193244884134657</v>
      </c>
      <c r="L999" s="22">
        <v>6.8559735889177214</v>
      </c>
      <c r="M999" s="22">
        <v>7.3259936639197605</v>
      </c>
      <c r="N999" s="22">
        <v>7.8314206842908032</v>
      </c>
      <c r="O999" s="22">
        <v>8.3781247675464332</v>
      </c>
      <c r="P999" s="22">
        <v>8.9644130511249003</v>
      </c>
      <c r="Q999" s="22">
        <v>9.5875073772511268</v>
      </c>
      <c r="R999" s="22">
        <v>10.244620229469877</v>
      </c>
      <c r="S999" s="22"/>
      <c r="T999" s="22"/>
      <c r="U999" s="12"/>
      <c r="V999" s="12"/>
      <c r="W999" s="12"/>
      <c r="X999" s="12"/>
      <c r="Y999" s="12"/>
      <c r="Z999" s="12"/>
      <c r="AA999" s="12"/>
      <c r="AB999" s="12"/>
      <c r="AC999" s="12"/>
      <c r="AD999" s="12"/>
      <c r="AE999" s="12"/>
      <c r="AF999" s="12"/>
    </row>
    <row r="1000" spans="1:32" x14ac:dyDescent="0.35">
      <c r="A1000" s="21" t="s">
        <v>49</v>
      </c>
      <c r="B1000" s="17" t="s">
        <v>59</v>
      </c>
      <c r="C1000" s="18" t="s">
        <v>76</v>
      </c>
      <c r="D1000" s="19" t="s">
        <v>79</v>
      </c>
      <c r="E1000" s="19" t="s">
        <v>79</v>
      </c>
      <c r="F1000" s="22">
        <v>2.7498274831477496</v>
      </c>
      <c r="G1000" s="22">
        <v>3.0223867281416581</v>
      </c>
      <c r="H1000" s="22">
        <v>3.3226116909265118</v>
      </c>
      <c r="I1000" s="22">
        <v>3.6618509562651966</v>
      </c>
      <c r="J1000" s="22">
        <v>4.0431083484069905</v>
      </c>
      <c r="K1000" s="22">
        <v>4.4692473501539043</v>
      </c>
      <c r="L1000" s="22">
        <v>4.9413401937014614</v>
      </c>
      <c r="M1000" s="22">
        <v>5.4593358838261956</v>
      </c>
      <c r="N1000" s="22">
        <v>6.0264802195207627</v>
      </c>
      <c r="O1000" s="22">
        <v>6.6606650474611921</v>
      </c>
      <c r="P1000" s="22">
        <v>7.3711893971363986</v>
      </c>
      <c r="Q1000" s="22">
        <v>8.1585708250473417</v>
      </c>
      <c r="R1000" s="22">
        <v>9.023615092194877</v>
      </c>
      <c r="S1000" s="22"/>
      <c r="T1000" s="22"/>
      <c r="U1000" s="12"/>
      <c r="V1000" s="12"/>
      <c r="W1000" s="12"/>
      <c r="X1000" s="12"/>
      <c r="Y1000" s="12"/>
      <c r="Z1000" s="12"/>
      <c r="AA1000" s="12"/>
      <c r="AB1000" s="12"/>
      <c r="AC1000" s="12"/>
      <c r="AD1000" s="12"/>
      <c r="AE1000" s="12"/>
      <c r="AF1000" s="12"/>
    </row>
    <row r="1001" spans="1:32" x14ac:dyDescent="0.35">
      <c r="A1001" s="21" t="s">
        <v>49</v>
      </c>
      <c r="B1001" s="17" t="s">
        <v>59</v>
      </c>
      <c r="C1001" s="18" t="s">
        <v>76</v>
      </c>
      <c r="D1001" s="19" t="s">
        <v>80</v>
      </c>
      <c r="E1001" s="19" t="s">
        <v>80</v>
      </c>
      <c r="F1001" s="22">
        <v>2.2477390083598503</v>
      </c>
      <c r="G1001" s="22">
        <v>2.3727960743795746</v>
      </c>
      <c r="H1001" s="22">
        <v>2.5045194695200474</v>
      </c>
      <c r="I1001" s="22">
        <v>2.6460276986622109</v>
      </c>
      <c r="J1001" s="22">
        <v>2.7971502544219367</v>
      </c>
      <c r="K1001" s="22">
        <v>2.9601463782904363</v>
      </c>
      <c r="L1001" s="22">
        <v>3.1358857812208827</v>
      </c>
      <c r="M1001" s="22">
        <v>3.3240267802062182</v>
      </c>
      <c r="N1001" s="22">
        <v>3.5233653224670571</v>
      </c>
      <c r="O1001" s="22">
        <v>3.7375340522855192</v>
      </c>
      <c r="P1001" s="22">
        <v>3.9666179316217276</v>
      </c>
      <c r="Q1001" s="22">
        <v>4.2084885292234144</v>
      </c>
      <c r="R1001" s="22">
        <v>4.4622286333519146</v>
      </c>
      <c r="S1001" s="22"/>
      <c r="T1001" s="22"/>
      <c r="U1001" s="12"/>
      <c r="V1001" s="12"/>
      <c r="W1001" s="12"/>
      <c r="X1001" s="12"/>
      <c r="Y1001" s="12"/>
      <c r="Z1001" s="12"/>
      <c r="AA1001" s="12"/>
      <c r="AB1001" s="12"/>
      <c r="AC1001" s="12"/>
      <c r="AD1001" s="12"/>
      <c r="AE1001" s="12"/>
      <c r="AF1001" s="12"/>
    </row>
    <row r="1002" spans="1:32" x14ac:dyDescent="0.35">
      <c r="A1002" s="21" t="s">
        <v>49</v>
      </c>
      <c r="B1002" s="17" t="s">
        <v>59</v>
      </c>
      <c r="C1002" s="18" t="s">
        <v>76</v>
      </c>
      <c r="D1002" s="19" t="s">
        <v>81</v>
      </c>
      <c r="E1002" s="19" t="s">
        <v>81</v>
      </c>
      <c r="F1002" s="22">
        <v>2.502572356790262</v>
      </c>
      <c r="G1002" s="22">
        <v>2.6808464893951172</v>
      </c>
      <c r="H1002" s="22">
        <v>2.875435475748521</v>
      </c>
      <c r="I1002" s="22">
        <v>3.0850914355367816</v>
      </c>
      <c r="J1002" s="22">
        <v>3.3092515381396472</v>
      </c>
      <c r="K1002" s="22">
        <v>3.5497042022447838</v>
      </c>
      <c r="L1002" s="22">
        <v>3.8111270055820095</v>
      </c>
      <c r="M1002" s="22">
        <v>4.0986358479648963</v>
      </c>
      <c r="N1002" s="22">
        <v>4.4152706316772328</v>
      </c>
      <c r="O1002" s="22">
        <v>4.7591487345908785</v>
      </c>
      <c r="P1002" s="22">
        <v>5.1295728755134471</v>
      </c>
      <c r="Q1002" s="22">
        <v>5.5245505035598184</v>
      </c>
      <c r="R1002" s="22">
        <v>5.9433661737615386</v>
      </c>
      <c r="S1002" s="22"/>
      <c r="T1002" s="22"/>
      <c r="U1002" s="12"/>
      <c r="V1002" s="12"/>
      <c r="W1002" s="12"/>
      <c r="X1002" s="12"/>
      <c r="Y1002" s="12"/>
      <c r="Z1002" s="12"/>
      <c r="AA1002" s="12"/>
      <c r="AB1002" s="12"/>
      <c r="AC1002" s="12"/>
      <c r="AD1002" s="12"/>
      <c r="AE1002" s="12"/>
      <c r="AF1002" s="12"/>
    </row>
    <row r="1003" spans="1:32" x14ac:dyDescent="0.35">
      <c r="A1003" s="21" t="s">
        <v>49</v>
      </c>
      <c r="B1003" s="17" t="s">
        <v>47</v>
      </c>
      <c r="C1003" s="13" t="s">
        <v>82</v>
      </c>
      <c r="D1003" s="13" t="s">
        <v>82</v>
      </c>
      <c r="E1003" s="13" t="s">
        <v>82</v>
      </c>
      <c r="F1003" s="14">
        <v>88.216715119798437</v>
      </c>
      <c r="G1003" s="14">
        <v>94.911617367833657</v>
      </c>
      <c r="H1003" s="14">
        <v>102.28327792530277</v>
      </c>
      <c r="I1003" s="14">
        <v>110.34668890599136</v>
      </c>
      <c r="J1003" s="14">
        <v>119.11262027981496</v>
      </c>
      <c r="K1003" s="14">
        <v>128.69598019141495</v>
      </c>
      <c r="L1003" s="14">
        <v>139.24294031892916</v>
      </c>
      <c r="M1003" s="14">
        <v>150.91839268182451</v>
      </c>
      <c r="N1003" s="14">
        <v>163.75889184213992</v>
      </c>
      <c r="O1003" s="14">
        <v>177.7919814526781</v>
      </c>
      <c r="P1003" s="14">
        <v>192.87048026864727</v>
      </c>
      <c r="Q1003" s="14">
        <v>208.89911766272959</v>
      </c>
      <c r="R1003" s="14">
        <v>226.01897180387789</v>
      </c>
      <c r="S1003" s="22"/>
      <c r="T1003" s="22"/>
      <c r="U1003" s="12"/>
      <c r="V1003" s="12"/>
      <c r="W1003" s="12"/>
      <c r="X1003" s="12"/>
      <c r="Y1003" s="12"/>
      <c r="Z1003" s="12"/>
      <c r="AA1003" s="12"/>
      <c r="AB1003" s="12"/>
      <c r="AC1003" s="12"/>
      <c r="AD1003" s="12"/>
      <c r="AE1003" s="12"/>
      <c r="AF1003" s="12"/>
    </row>
    <row r="1004" spans="1:32" x14ac:dyDescent="0.35">
      <c r="A1004" s="21" t="s">
        <v>49</v>
      </c>
      <c r="B1004" s="17" t="s">
        <v>47</v>
      </c>
      <c r="C1004" s="13" t="s">
        <v>83</v>
      </c>
      <c r="D1004" s="13" t="s">
        <v>83</v>
      </c>
      <c r="E1004" s="13" t="s">
        <v>83</v>
      </c>
      <c r="F1004" s="14">
        <v>143.95313020955933</v>
      </c>
      <c r="G1004" s="14">
        <v>152.35675707926811</v>
      </c>
      <c r="H1004" s="14">
        <v>161.28960864552431</v>
      </c>
      <c r="I1004" s="14">
        <v>170.88409846891915</v>
      </c>
      <c r="J1004" s="14">
        <v>181.34349132018505</v>
      </c>
      <c r="K1004" s="14">
        <v>192.90387022145899</v>
      </c>
      <c r="L1004" s="14">
        <v>205.69440448952554</v>
      </c>
      <c r="M1004" s="14">
        <v>219.67515412575858</v>
      </c>
      <c r="N1004" s="14">
        <v>234.61486177815965</v>
      </c>
      <c r="O1004" s="14">
        <v>250.42296525518992</v>
      </c>
      <c r="P1004" s="14">
        <v>266.99779614837968</v>
      </c>
      <c r="Q1004" s="14">
        <v>284.3745588753755</v>
      </c>
      <c r="R1004" s="14">
        <v>302.56644985455978</v>
      </c>
      <c r="S1004" s="22"/>
      <c r="T1004" s="22"/>
      <c r="U1004" s="12"/>
      <c r="V1004" s="12"/>
      <c r="W1004" s="12"/>
      <c r="X1004" s="12"/>
      <c r="Y1004" s="12"/>
      <c r="Z1004" s="12"/>
      <c r="AA1004" s="12"/>
      <c r="AB1004" s="12"/>
      <c r="AC1004" s="12"/>
      <c r="AD1004" s="12"/>
      <c r="AE1004" s="12"/>
      <c r="AF1004" s="12"/>
    </row>
    <row r="1005" spans="1:32" x14ac:dyDescent="0.35">
      <c r="A1005" s="21" t="s">
        <v>49</v>
      </c>
      <c r="B1005" s="17" t="s">
        <v>84</v>
      </c>
      <c r="C1005" s="13" t="s">
        <v>85</v>
      </c>
      <c r="D1005" s="13" t="s">
        <v>85</v>
      </c>
      <c r="E1005" s="13" t="s">
        <v>85</v>
      </c>
      <c r="F1005" s="14">
        <v>13.952907474486246</v>
      </c>
      <c r="G1005" s="14">
        <v>14.640595276828222</v>
      </c>
      <c r="H1005" s="14">
        <v>15.384847564354384</v>
      </c>
      <c r="I1005" s="14">
        <v>16.17740030157346</v>
      </c>
      <c r="J1005" s="14">
        <v>17.000740857313154</v>
      </c>
      <c r="K1005" s="14">
        <v>17.847628847489283</v>
      </c>
      <c r="L1005" s="14">
        <v>18.74109795312302</v>
      </c>
      <c r="M1005" s="14">
        <v>19.701777812031672</v>
      </c>
      <c r="N1005" s="14">
        <v>20.747782513844371</v>
      </c>
      <c r="O1005" s="14">
        <v>21.889904823537023</v>
      </c>
      <c r="P1005" s="14">
        <v>23.103652907624497</v>
      </c>
      <c r="Q1005" s="14">
        <v>24.360518719854333</v>
      </c>
      <c r="R1005" s="14">
        <v>25.661256230466822</v>
      </c>
      <c r="S1005" s="22"/>
      <c r="T1005" s="22"/>
      <c r="U1005" s="12"/>
      <c r="V1005" s="12"/>
      <c r="W1005" s="12"/>
      <c r="X1005" s="12"/>
      <c r="Y1005" s="12"/>
      <c r="Z1005" s="12"/>
      <c r="AA1005" s="12"/>
      <c r="AB1005" s="12"/>
      <c r="AC1005" s="12"/>
      <c r="AD1005" s="12"/>
      <c r="AE1005" s="12"/>
      <c r="AF1005" s="12"/>
    </row>
    <row r="1006" spans="1:32" x14ac:dyDescent="0.35">
      <c r="A1006" s="21" t="s">
        <v>49</v>
      </c>
      <c r="B1006" s="17" t="s">
        <v>84</v>
      </c>
      <c r="C1006" s="13" t="s">
        <v>86</v>
      </c>
      <c r="D1006" s="13" t="s">
        <v>86</v>
      </c>
      <c r="E1006" s="13" t="s">
        <v>86</v>
      </c>
      <c r="F1006" s="14">
        <v>41.042902742294267</v>
      </c>
      <c r="G1006" s="14">
        <v>43.250237683732323</v>
      </c>
      <c r="H1006" s="14">
        <v>45.647723680998837</v>
      </c>
      <c r="I1006" s="14">
        <v>48.210976479905106</v>
      </c>
      <c r="J1006" s="14">
        <v>50.876814857967076</v>
      </c>
      <c r="K1006" s="14">
        <v>53.690425066152642</v>
      </c>
      <c r="L1006" s="14">
        <v>56.684381794538425</v>
      </c>
      <c r="M1006" s="14">
        <v>59.918664359603724</v>
      </c>
      <c r="N1006" s="14">
        <v>63.4091749988293</v>
      </c>
      <c r="O1006" s="14">
        <v>67.156631223603483</v>
      </c>
      <c r="P1006" s="14">
        <v>71.095276905084773</v>
      </c>
      <c r="Q1006" s="14">
        <v>75.17208563171755</v>
      </c>
      <c r="R1006" s="14">
        <v>79.42260015341995</v>
      </c>
      <c r="S1006" s="22"/>
      <c r="T1006" s="22"/>
      <c r="U1006" s="12"/>
      <c r="V1006" s="12"/>
      <c r="W1006" s="12"/>
      <c r="X1006" s="12"/>
      <c r="Y1006" s="12"/>
      <c r="Z1006" s="12"/>
      <c r="AA1006" s="12"/>
      <c r="AB1006" s="12"/>
      <c r="AC1006" s="12"/>
      <c r="AD1006" s="12"/>
      <c r="AE1006" s="12"/>
      <c r="AF1006" s="12"/>
    </row>
    <row r="1007" spans="1:32" x14ac:dyDescent="0.35">
      <c r="A1007" s="21" t="s">
        <v>49</v>
      </c>
      <c r="B1007" s="17" t="s">
        <v>84</v>
      </c>
      <c r="C1007" s="40" t="s">
        <v>87</v>
      </c>
      <c r="D1007" s="40" t="s">
        <v>87</v>
      </c>
      <c r="E1007" s="40" t="s">
        <v>87</v>
      </c>
      <c r="F1007" s="42">
        <v>75.152716869421056</v>
      </c>
      <c r="G1007" s="42">
        <v>80.432482630789167</v>
      </c>
      <c r="H1007" s="42">
        <v>86.347617156764954</v>
      </c>
      <c r="I1007" s="42">
        <v>92.955720665534528</v>
      </c>
      <c r="J1007" s="42">
        <v>100.38241363903313</v>
      </c>
      <c r="K1007" s="42">
        <v>108.73633877545787</v>
      </c>
      <c r="L1007" s="42">
        <v>118.05466679011241</v>
      </c>
      <c r="M1007" s="42">
        <v>128.40895379647071</v>
      </c>
      <c r="N1007" s="42">
        <v>139.71069047339293</v>
      </c>
      <c r="O1007" s="42">
        <v>151.85878715346803</v>
      </c>
      <c r="P1007" s="42">
        <v>164.59789300994407</v>
      </c>
      <c r="Q1007" s="42">
        <v>177.87311126392353</v>
      </c>
      <c r="R1007" s="42">
        <v>191.88372342457347</v>
      </c>
      <c r="S1007" s="22"/>
      <c r="T1007" s="22"/>
      <c r="U1007" s="12"/>
      <c r="V1007" s="12"/>
      <c r="W1007" s="12"/>
      <c r="X1007" s="12"/>
      <c r="Y1007" s="12"/>
      <c r="Z1007" s="12"/>
      <c r="AA1007" s="12"/>
      <c r="AB1007" s="12"/>
      <c r="AC1007" s="12"/>
      <c r="AD1007" s="12"/>
      <c r="AE1007" s="12"/>
      <c r="AF1007" s="12"/>
    </row>
    <row r="1008" spans="1:32" x14ac:dyDescent="0.35">
      <c r="A1008" s="21" t="s">
        <v>49</v>
      </c>
      <c r="B1008" s="17" t="s">
        <v>84</v>
      </c>
      <c r="C1008" s="13" t="s">
        <v>88</v>
      </c>
      <c r="D1008" s="13" t="s">
        <v>88</v>
      </c>
      <c r="E1008" s="13" t="s">
        <v>88</v>
      </c>
      <c r="F1008" s="14">
        <v>52.639271584587192</v>
      </c>
      <c r="G1008" s="14">
        <v>56.468949609722166</v>
      </c>
      <c r="H1008" s="14">
        <v>60.45428482097266</v>
      </c>
      <c r="I1008" s="14">
        <v>64.679070313520029</v>
      </c>
      <c r="J1008" s="14">
        <v>69.286517144060156</v>
      </c>
      <c r="K1008" s="14">
        <v>74.420218608147977</v>
      </c>
      <c r="L1008" s="14">
        <v>80.191757885180436</v>
      </c>
      <c r="M1008" s="14">
        <v>86.549962210704948</v>
      </c>
      <c r="N1008" s="14">
        <v>93.373294940108678</v>
      </c>
      <c r="O1008" s="14">
        <v>100.66040049061068</v>
      </c>
      <c r="P1008" s="14">
        <v>108.48610214910525</v>
      </c>
      <c r="Q1008" s="14">
        <v>116.95798853824684</v>
      </c>
      <c r="R1008" s="14">
        <v>126.03089700490921</v>
      </c>
      <c r="S1008" s="22"/>
      <c r="T1008" s="22"/>
      <c r="U1008" s="12"/>
      <c r="V1008" s="12"/>
      <c r="W1008" s="12"/>
      <c r="X1008" s="12"/>
      <c r="Y1008" s="12"/>
      <c r="Z1008" s="12"/>
      <c r="AA1008" s="12"/>
      <c r="AB1008" s="12"/>
      <c r="AC1008" s="12"/>
      <c r="AD1008" s="12"/>
      <c r="AE1008" s="12"/>
      <c r="AF1008" s="12"/>
    </row>
    <row r="1009" spans="1:32" x14ac:dyDescent="0.35">
      <c r="A1009" s="21" t="s">
        <v>49</v>
      </c>
      <c r="B1009" s="17" t="s">
        <v>84</v>
      </c>
      <c r="C1009" s="13" t="s">
        <v>89</v>
      </c>
      <c r="D1009" s="13" t="s">
        <v>89</v>
      </c>
      <c r="E1009" s="13" t="s">
        <v>89</v>
      </c>
      <c r="F1009" s="14">
        <v>16.175845267473473</v>
      </c>
      <c r="G1009" s="14">
        <v>17.266607011364599</v>
      </c>
      <c r="H1009" s="14">
        <v>18.452292292632379</v>
      </c>
      <c r="I1009" s="14">
        <v>19.725505374107485</v>
      </c>
      <c r="J1009" s="14">
        <v>21.064952001868278</v>
      </c>
      <c r="K1009" s="14">
        <v>22.492094328899363</v>
      </c>
      <c r="L1009" s="14">
        <v>24.023488725653372</v>
      </c>
      <c r="M1009" s="14">
        <v>25.702911343338769</v>
      </c>
      <c r="N1009" s="14">
        <v>27.550301777494333</v>
      </c>
      <c r="O1009" s="14">
        <v>29.55884358501325</v>
      </c>
      <c r="P1009" s="14">
        <v>31.730752359802825</v>
      </c>
      <c r="Q1009" s="14">
        <v>34.032731732972458</v>
      </c>
      <c r="R1009" s="14">
        <v>36.463117205290757</v>
      </c>
      <c r="S1009" s="22"/>
      <c r="T1009" s="22"/>
      <c r="U1009" s="12"/>
      <c r="V1009" s="12"/>
      <c r="W1009" s="12"/>
      <c r="X1009" s="12"/>
      <c r="Y1009" s="12"/>
      <c r="Z1009" s="12"/>
      <c r="AA1009" s="12"/>
      <c r="AB1009" s="12"/>
      <c r="AC1009" s="12"/>
      <c r="AD1009" s="12"/>
      <c r="AE1009" s="12"/>
      <c r="AF1009" s="12"/>
    </row>
    <row r="1010" spans="1:32" x14ac:dyDescent="0.35">
      <c r="A1010" s="21" t="s">
        <v>49</v>
      </c>
      <c r="B1010" s="17" t="s">
        <v>84</v>
      </c>
      <c r="C1010" s="13" t="s">
        <v>90</v>
      </c>
      <c r="D1010" s="13" t="s">
        <v>90</v>
      </c>
      <c r="E1010" s="13" t="s">
        <v>90</v>
      </c>
      <c r="F1010" s="14">
        <v>33.206201391095561</v>
      </c>
      <c r="G1010" s="14">
        <v>35.209502234665258</v>
      </c>
      <c r="H1010" s="14">
        <v>37.286121055103891</v>
      </c>
      <c r="I1010" s="14">
        <v>39.482114240269894</v>
      </c>
      <c r="J1010" s="14">
        <v>41.844673099758239</v>
      </c>
      <c r="K1010" s="14">
        <v>44.413144786726832</v>
      </c>
      <c r="L1010" s="14">
        <v>47.241951659847068</v>
      </c>
      <c r="M1010" s="14">
        <v>50.311277285433206</v>
      </c>
      <c r="N1010" s="14">
        <v>53.582508916629962</v>
      </c>
      <c r="O1010" s="14">
        <v>57.09037943163554</v>
      </c>
      <c r="P1010" s="14">
        <v>60.85459908546558</v>
      </c>
      <c r="Q1010" s="14">
        <v>64.877240651390409</v>
      </c>
      <c r="R1010" s="14">
        <v>69.123827639777431</v>
      </c>
      <c r="S1010" s="22"/>
      <c r="T1010" s="22"/>
      <c r="U1010" s="12"/>
      <c r="V1010" s="12"/>
      <c r="W1010" s="12"/>
      <c r="X1010" s="12"/>
      <c r="Y1010" s="12"/>
      <c r="Z1010" s="12"/>
      <c r="AA1010" s="12"/>
      <c r="AB1010" s="12"/>
      <c r="AC1010" s="12"/>
      <c r="AD1010" s="12"/>
      <c r="AE1010" s="12"/>
      <c r="AF1010" s="12"/>
    </row>
    <row r="1011" spans="1:32" x14ac:dyDescent="0.35">
      <c r="A1011" s="21" t="s">
        <v>49</v>
      </c>
      <c r="B1011" s="17" t="s">
        <v>91</v>
      </c>
      <c r="C1011" s="13" t="s">
        <v>92</v>
      </c>
      <c r="D1011" s="13" t="s">
        <v>92</v>
      </c>
      <c r="E1011" s="13" t="s">
        <v>92</v>
      </c>
      <c r="F1011" s="14">
        <v>98.593149907978528</v>
      </c>
      <c r="G1011" s="14">
        <v>105.80546462715191</v>
      </c>
      <c r="H1011" s="14">
        <v>113.6864476306198</v>
      </c>
      <c r="I1011" s="14">
        <v>122.27285500763846</v>
      </c>
      <c r="J1011" s="14">
        <v>131.62103690615845</v>
      </c>
      <c r="K1011" s="14">
        <v>141.88664304117108</v>
      </c>
      <c r="L1011" s="14">
        <v>153.18395907456872</v>
      </c>
      <c r="M1011" s="14">
        <v>165.64014026907026</v>
      </c>
      <c r="N1011" s="14">
        <v>179.24898250770588</v>
      </c>
      <c r="O1011" s="14">
        <v>193.93242086261324</v>
      </c>
      <c r="P1011" s="14">
        <v>209.65059182729769</v>
      </c>
      <c r="Q1011" s="14">
        <v>226.38804857980784</v>
      </c>
      <c r="R1011" s="14">
        <v>244.17802728461552</v>
      </c>
      <c r="S1011" s="14"/>
      <c r="T1011" s="14"/>
      <c r="U1011" s="12"/>
      <c r="V1011" s="12"/>
      <c r="W1011" s="12"/>
      <c r="X1011" s="12"/>
      <c r="Y1011" s="12"/>
      <c r="Z1011" s="12"/>
      <c r="AA1011" s="12"/>
      <c r="AB1011" s="12"/>
      <c r="AC1011" s="12"/>
      <c r="AD1011" s="12"/>
      <c r="AE1011" s="12"/>
      <c r="AF1011" s="12"/>
    </row>
    <row r="1012" spans="1:32" x14ac:dyDescent="0.35">
      <c r="A1012" s="21" t="s">
        <v>49</v>
      </c>
      <c r="B1012" s="17" t="s">
        <v>91</v>
      </c>
      <c r="C1012" s="13" t="s">
        <v>93</v>
      </c>
      <c r="D1012" s="13" t="s">
        <v>93</v>
      </c>
      <c r="E1012" s="13" t="s">
        <v>93</v>
      </c>
      <c r="F1012" s="14">
        <v>133.57669542137927</v>
      </c>
      <c r="G1012" s="14">
        <v>141.46290981994986</v>
      </c>
      <c r="H1012" s="14">
        <v>149.88643894020728</v>
      </c>
      <c r="I1012" s="14">
        <v>158.95793236727201</v>
      </c>
      <c r="J1012" s="14">
        <v>168.83507469384153</v>
      </c>
      <c r="K1012" s="14">
        <v>179.71320737170288</v>
      </c>
      <c r="L1012" s="14">
        <v>191.75338573388601</v>
      </c>
      <c r="M1012" s="14">
        <v>204.95340653851281</v>
      </c>
      <c r="N1012" s="14">
        <v>219.12477111259369</v>
      </c>
      <c r="O1012" s="14">
        <v>234.28252584525478</v>
      </c>
      <c r="P1012" s="14">
        <v>250.21768458972929</v>
      </c>
      <c r="Q1012" s="14">
        <v>266.88562795829728</v>
      </c>
      <c r="R1012" s="14">
        <v>284.40739437382206</v>
      </c>
      <c r="S1012" s="14"/>
      <c r="T1012" s="14"/>
      <c r="U1012" s="12"/>
      <c r="V1012" s="12"/>
      <c r="W1012" s="12"/>
      <c r="X1012" s="12"/>
      <c r="Y1012" s="12"/>
      <c r="Z1012" s="12"/>
      <c r="AA1012" s="12"/>
      <c r="AB1012" s="12"/>
      <c r="AC1012" s="12"/>
      <c r="AD1012" s="12"/>
      <c r="AE1012" s="12"/>
      <c r="AF1012" s="12"/>
    </row>
    <row r="1013" spans="1:32" x14ac:dyDescent="0.35">
      <c r="A1013" s="21" t="s">
        <v>49</v>
      </c>
      <c r="B1013" s="17" t="s">
        <v>94</v>
      </c>
      <c r="C1013" s="13" t="s">
        <v>95</v>
      </c>
      <c r="D1013" s="13" t="s">
        <v>95</v>
      </c>
      <c r="E1013" s="13" t="s">
        <v>95</v>
      </c>
      <c r="F1013" s="14">
        <v>18.258235707045436</v>
      </c>
      <c r="G1013" s="14">
        <v>19.81034179249454</v>
      </c>
      <c r="H1013" s="14">
        <v>21.511613427291955</v>
      </c>
      <c r="I1013" s="14">
        <v>23.390046534646199</v>
      </c>
      <c r="J1013" s="14">
        <v>25.437476949363067</v>
      </c>
      <c r="K1013" s="14">
        <v>27.675352396450219</v>
      </c>
      <c r="L1013" s="14">
        <v>30.117387464526303</v>
      </c>
      <c r="M1013" s="14">
        <v>32.792207355856483</v>
      </c>
      <c r="N1013" s="14">
        <v>35.72331155731483</v>
      </c>
      <c r="O1013" s="14">
        <v>38.95953046647498</v>
      </c>
      <c r="P1013" s="14">
        <v>42.521119535598274</v>
      </c>
      <c r="Q1013" s="14">
        <v>46.385976257086412</v>
      </c>
      <c r="R1013" s="14">
        <v>50.559996829075025</v>
      </c>
      <c r="S1013" s="14"/>
      <c r="T1013" s="14"/>
      <c r="U1013" s="12"/>
      <c r="V1013" s="12"/>
      <c r="W1013" s="12"/>
      <c r="X1013" s="12"/>
      <c r="Y1013" s="12"/>
      <c r="Z1013" s="12"/>
      <c r="AA1013" s="12"/>
      <c r="AB1013" s="12"/>
      <c r="AC1013" s="12"/>
      <c r="AD1013" s="12"/>
      <c r="AE1013" s="12"/>
      <c r="AF1013" s="12"/>
    </row>
    <row r="1014" spans="1:32" x14ac:dyDescent="0.35">
      <c r="A1014" s="21" t="s">
        <v>49</v>
      </c>
      <c r="B1014" s="17" t="s">
        <v>94</v>
      </c>
      <c r="C1014" s="40" t="s">
        <v>96</v>
      </c>
      <c r="D1014" s="40" t="s">
        <v>96</v>
      </c>
      <c r="E1014" s="40" t="s">
        <v>96</v>
      </c>
      <c r="F1014" s="42">
        <v>31.12182303528455</v>
      </c>
      <c r="G1014" s="42">
        <v>33.123086781847142</v>
      </c>
      <c r="H1014" s="42">
        <v>35.261211618018223</v>
      </c>
      <c r="I1014" s="42">
        <v>37.620517597845094</v>
      </c>
      <c r="J1014" s="42">
        <v>40.461489260840125</v>
      </c>
      <c r="K1014" s="42">
        <v>43.859090825540697</v>
      </c>
      <c r="L1014" s="42">
        <v>47.879996679366542</v>
      </c>
      <c r="M1014" s="42">
        <v>52.411312681143215</v>
      </c>
      <c r="N1014" s="42">
        <v>57.252492279742924</v>
      </c>
      <c r="O1014" s="42">
        <v>62.291372209765555</v>
      </c>
      <c r="P1014" s="42">
        <v>67.411831606966857</v>
      </c>
      <c r="Q1014" s="42">
        <v>72.735235456911042</v>
      </c>
      <c r="R1014" s="42">
        <v>78.314330233817515</v>
      </c>
      <c r="S1014" s="14"/>
      <c r="T1014" s="14"/>
      <c r="U1014" s="12"/>
      <c r="V1014" s="12"/>
      <c r="W1014" s="12"/>
      <c r="X1014" s="12"/>
      <c r="Y1014" s="12"/>
      <c r="Z1014" s="12"/>
      <c r="AA1014" s="12"/>
      <c r="AB1014" s="12"/>
      <c r="AC1014" s="12"/>
      <c r="AD1014" s="12"/>
      <c r="AE1014" s="12"/>
      <c r="AF1014" s="12"/>
    </row>
    <row r="1015" spans="1:32" x14ac:dyDescent="0.35">
      <c r="A1015" s="21" t="s">
        <v>49</v>
      </c>
      <c r="B1015" s="17" t="s">
        <v>94</v>
      </c>
      <c r="C1015" s="13" t="s">
        <v>97</v>
      </c>
      <c r="D1015" s="13" t="s">
        <v>97</v>
      </c>
      <c r="E1015" s="13" t="s">
        <v>97</v>
      </c>
      <c r="F1015" s="14">
        <v>23.478870250559247</v>
      </c>
      <c r="G1015" s="14">
        <v>24.925532735634793</v>
      </c>
      <c r="H1015" s="14">
        <v>26.504127962464722</v>
      </c>
      <c r="I1015" s="14">
        <v>28.180197023936543</v>
      </c>
      <c r="J1015" s="14">
        <v>29.915937965066302</v>
      </c>
      <c r="K1015" s="14">
        <v>31.727614626121561</v>
      </c>
      <c r="L1015" s="14">
        <v>33.659475859598352</v>
      </c>
      <c r="M1015" s="14">
        <v>35.780202381133734</v>
      </c>
      <c r="N1015" s="14">
        <v>38.126442362404703</v>
      </c>
      <c r="O1015" s="14">
        <v>40.682300273389949</v>
      </c>
      <c r="P1015" s="14">
        <v>43.41724904476699</v>
      </c>
      <c r="Q1015" s="14">
        <v>46.280033413213957</v>
      </c>
      <c r="R1015" s="14">
        <v>49.280514079013997</v>
      </c>
      <c r="S1015" s="14"/>
      <c r="T1015" s="14"/>
      <c r="U1015" s="12"/>
      <c r="V1015" s="12"/>
      <c r="W1015" s="12"/>
      <c r="X1015" s="12"/>
      <c r="Y1015" s="12"/>
      <c r="Z1015" s="12"/>
      <c r="AA1015" s="12"/>
      <c r="AB1015" s="12"/>
      <c r="AC1015" s="12"/>
      <c r="AD1015" s="12"/>
      <c r="AE1015" s="12"/>
      <c r="AF1015" s="12"/>
    </row>
    <row r="1016" spans="1:32" x14ac:dyDescent="0.35">
      <c r="A1016" s="21" t="s">
        <v>49</v>
      </c>
      <c r="B1016" s="17" t="s">
        <v>94</v>
      </c>
      <c r="C1016" s="13" t="s">
        <v>98</v>
      </c>
      <c r="D1016" s="13" t="s">
        <v>98</v>
      </c>
      <c r="E1016" s="13" t="s">
        <v>98</v>
      </c>
      <c r="F1016" s="14">
        <v>70.264252764650536</v>
      </c>
      <c r="G1016" s="14">
        <v>74.960730074893945</v>
      </c>
      <c r="H1016" s="14">
        <v>80.10817016046488</v>
      </c>
      <c r="I1016" s="14">
        <v>85.702256442026084</v>
      </c>
      <c r="J1016" s="14">
        <v>91.710513713899388</v>
      </c>
      <c r="K1016" s="14">
        <v>98.243831934844877</v>
      </c>
      <c r="L1016" s="14">
        <v>105.36578401952974</v>
      </c>
      <c r="M1016" s="14">
        <v>113.18868208622828</v>
      </c>
      <c r="N1016" s="14">
        <v>121.70232216967773</v>
      </c>
      <c r="O1016" s="14">
        <v>130.89523929761043</v>
      </c>
      <c r="P1016" s="14">
        <v>140.63531202388941</v>
      </c>
      <c r="Q1016" s="14">
        <v>150.83501881135629</v>
      </c>
      <c r="R1016" s="14">
        <v>161.60800411794838</v>
      </c>
      <c r="S1016" s="14"/>
      <c r="T1016" s="14"/>
      <c r="U1016" s="12"/>
      <c r="V1016" s="12"/>
      <c r="W1016" s="12"/>
      <c r="X1016" s="12"/>
      <c r="Y1016" s="12"/>
      <c r="Z1016" s="12"/>
      <c r="AA1016" s="12"/>
      <c r="AB1016" s="12"/>
      <c r="AC1016" s="12"/>
      <c r="AD1016" s="12"/>
      <c r="AE1016" s="12"/>
      <c r="AF1016" s="12"/>
    </row>
    <row r="1017" spans="1:32" x14ac:dyDescent="0.35">
      <c r="A1017" s="21" t="s">
        <v>49</v>
      </c>
      <c r="B1017" s="17" t="s">
        <v>94</v>
      </c>
      <c r="C1017" s="13" t="s">
        <v>48</v>
      </c>
      <c r="D1017" s="13" t="s">
        <v>48</v>
      </c>
      <c r="E1017" s="13" t="s">
        <v>48</v>
      </c>
      <c r="F1017" s="14">
        <v>35.965725001766202</v>
      </c>
      <c r="G1017" s="14">
        <v>38.63445889232348</v>
      </c>
      <c r="H1017" s="14">
        <v>41.553659220381256</v>
      </c>
      <c r="I1017" s="14">
        <v>44.718334737836912</v>
      </c>
      <c r="J1017" s="14">
        <v>48.110699114267184</v>
      </c>
      <c r="K1017" s="14">
        <v>51.783909376290417</v>
      </c>
      <c r="L1017" s="14">
        <v>55.784922205184067</v>
      </c>
      <c r="M1017" s="14">
        <v>60.182260135375643</v>
      </c>
      <c r="N1017" s="14">
        <v>65.004322375633464</v>
      </c>
      <c r="O1017" s="14">
        <v>70.237358522176194</v>
      </c>
      <c r="P1017" s="14">
        <v>75.871504080171519</v>
      </c>
      <c r="Q1017" s="14">
        <v>81.887301132791507</v>
      </c>
      <c r="R1017" s="14">
        <v>88.298237415085907</v>
      </c>
      <c r="S1017" s="14"/>
      <c r="T1017" s="14"/>
      <c r="U1017" s="12"/>
      <c r="V1017" s="12"/>
      <c r="W1017" s="12"/>
      <c r="X1017" s="12"/>
      <c r="Y1017" s="12"/>
      <c r="Z1017" s="12"/>
      <c r="AA1017" s="12"/>
      <c r="AB1017" s="12"/>
      <c r="AC1017" s="12"/>
      <c r="AD1017" s="12"/>
      <c r="AE1017" s="12"/>
      <c r="AF1017" s="12"/>
    </row>
    <row r="1018" spans="1:32" x14ac:dyDescent="0.35">
      <c r="A1018" s="21" t="s">
        <v>49</v>
      </c>
      <c r="B1018" s="17" t="s">
        <v>94</v>
      </c>
      <c r="C1018" s="13" t="s">
        <v>99</v>
      </c>
      <c r="D1018" s="13" t="s">
        <v>99</v>
      </c>
      <c r="E1018" s="13" t="s">
        <v>99</v>
      </c>
      <c r="F1018" s="14">
        <v>30.491666863947231</v>
      </c>
      <c r="G1018" s="14">
        <v>32.02032465419412</v>
      </c>
      <c r="H1018" s="14">
        <v>33.54298402430917</v>
      </c>
      <c r="I1018" s="14">
        <v>35.12414545959308</v>
      </c>
      <c r="J1018" s="14">
        <v>36.831522544288795</v>
      </c>
      <c r="K1018" s="14">
        <v>38.725461161990566</v>
      </c>
      <c r="L1018" s="14">
        <v>40.839395976329946</v>
      </c>
      <c r="M1018" s="14">
        <v>43.123530172631256</v>
      </c>
      <c r="N1018" s="14">
        <v>45.503233520978561</v>
      </c>
      <c r="O1018" s="14">
        <v>48.000701725491687</v>
      </c>
      <c r="P1018" s="14">
        <v>50.653004367861364</v>
      </c>
      <c r="Q1018" s="14">
        <v>53.481223933564678</v>
      </c>
      <c r="R1018" s="14">
        <v>56.443070026943467</v>
      </c>
      <c r="S1018" s="14"/>
      <c r="T1018" s="14"/>
      <c r="U1018" s="12"/>
      <c r="V1018" s="12"/>
      <c r="W1018" s="12"/>
      <c r="X1018" s="12"/>
      <c r="Y1018" s="12"/>
      <c r="Z1018" s="12"/>
      <c r="AA1018" s="12"/>
      <c r="AB1018" s="12"/>
      <c r="AC1018" s="12"/>
      <c r="AD1018" s="12"/>
      <c r="AE1018" s="12"/>
      <c r="AF1018" s="12"/>
    </row>
    <row r="1019" spans="1:32" x14ac:dyDescent="0.35">
      <c r="A1019" s="21" t="s">
        <v>49</v>
      </c>
      <c r="B1019" s="17" t="s">
        <v>94</v>
      </c>
      <c r="C1019" s="13" t="s">
        <v>100</v>
      </c>
      <c r="D1019" s="13" t="s">
        <v>100</v>
      </c>
      <c r="E1019" s="13" t="s">
        <v>100</v>
      </c>
      <c r="F1019" s="14">
        <v>22.589271706104583</v>
      </c>
      <c r="G1019" s="14">
        <v>23.793899515713729</v>
      </c>
      <c r="H1019" s="14">
        <v>25.091120157896885</v>
      </c>
      <c r="I1019" s="14">
        <v>26.495289579026593</v>
      </c>
      <c r="J1019" s="14">
        <v>27.988472052275178</v>
      </c>
      <c r="K1019" s="14">
        <v>29.584590091635629</v>
      </c>
      <c r="L1019" s="14">
        <v>31.290382603919774</v>
      </c>
      <c r="M1019" s="14">
        <v>33.115351995214461</v>
      </c>
      <c r="N1019" s="14">
        <v>35.061629354547364</v>
      </c>
      <c r="O1019" s="14">
        <v>37.148444212959262</v>
      </c>
      <c r="P1019" s="14">
        <v>39.358255757772547</v>
      </c>
      <c r="Q1019" s="14">
        <v>41.668887533181206</v>
      </c>
      <c r="R1019" s="14">
        <v>44.081268956553309</v>
      </c>
      <c r="S1019" s="14"/>
      <c r="T1019" s="14"/>
      <c r="U1019" s="12"/>
      <c r="V1019" s="12"/>
      <c r="W1019" s="12"/>
      <c r="X1019" s="12"/>
      <c r="Y1019" s="12"/>
      <c r="Z1019" s="12"/>
      <c r="AA1019" s="12"/>
      <c r="AB1019" s="12"/>
      <c r="AC1019" s="12"/>
      <c r="AD1019" s="12"/>
      <c r="AE1019" s="12"/>
      <c r="AF1019" s="12"/>
    </row>
    <row r="1020" spans="1:32" x14ac:dyDescent="0.35">
      <c r="A1020" s="21" t="s">
        <v>49</v>
      </c>
      <c r="B1020" s="17" t="s">
        <v>30</v>
      </c>
      <c r="C1020" t="s">
        <v>50</v>
      </c>
      <c r="D1020" t="s">
        <v>50</v>
      </c>
      <c r="E1020" t="s">
        <v>50</v>
      </c>
      <c r="F1020" s="14">
        <v>103.2382652696362</v>
      </c>
      <c r="G1020" s="14">
        <v>110.24937073549134</v>
      </c>
      <c r="H1020" s="14">
        <v>117.93264757553406</v>
      </c>
      <c r="I1020" s="14">
        <v>126.36130550092918</v>
      </c>
      <c r="J1020" s="14">
        <v>135.6596760414202</v>
      </c>
      <c r="K1020" s="14">
        <v>146.01997263974062</v>
      </c>
      <c r="L1020" s="14">
        <v>157.52964063948576</v>
      </c>
      <c r="M1020" s="14">
        <v>170.28072603173837</v>
      </c>
      <c r="N1020" s="14">
        <v>184.14173261027696</v>
      </c>
      <c r="O1020" s="14">
        <v>199.03144317652129</v>
      </c>
      <c r="P1020" s="14">
        <v>214.75259268208671</v>
      </c>
      <c r="Q1020" s="14">
        <v>231.24253150415353</v>
      </c>
      <c r="R1020" s="14">
        <v>248.66692633486446</v>
      </c>
      <c r="S1020" s="14"/>
      <c r="T1020" s="14"/>
      <c r="U1020" s="12"/>
      <c r="V1020" s="12"/>
      <c r="W1020" s="12"/>
      <c r="X1020" s="12"/>
      <c r="Y1020" s="12"/>
      <c r="Z1020" s="12"/>
      <c r="AA1020" s="12"/>
      <c r="AB1020" s="12"/>
      <c r="AC1020" s="12"/>
      <c r="AD1020" s="12"/>
      <c r="AE1020" s="12"/>
      <c r="AF1020" s="12"/>
    </row>
    <row r="1021" spans="1:32" x14ac:dyDescent="0.35">
      <c r="A1021" s="21" t="s">
        <v>49</v>
      </c>
      <c r="B1021" s="17" t="s">
        <v>30</v>
      </c>
      <c r="C1021" t="s">
        <v>45</v>
      </c>
      <c r="D1021" t="s">
        <v>45</v>
      </c>
      <c r="E1021" t="s">
        <v>45</v>
      </c>
      <c r="F1021" s="14">
        <v>53.164708046566837</v>
      </c>
      <c r="G1021" s="14">
        <v>56.27322479381165</v>
      </c>
      <c r="H1021" s="14">
        <v>59.4730333795913</v>
      </c>
      <c r="I1021" s="14">
        <v>62.809755003124408</v>
      </c>
      <c r="J1021" s="14">
        <v>66.378093717675611</v>
      </c>
      <c r="K1021" s="14">
        <v>70.25077948233654</v>
      </c>
      <c r="L1021" s="14">
        <v>74.548703189171022</v>
      </c>
      <c r="M1021" s="14">
        <v>79.252365500660005</v>
      </c>
      <c r="N1021" s="14">
        <v>84.29885658126824</v>
      </c>
      <c r="O1021" s="14">
        <v>89.707027773883738</v>
      </c>
      <c r="P1021" s="14">
        <v>95.492878147685872</v>
      </c>
      <c r="Q1021" s="14">
        <v>101.66731670468191</v>
      </c>
      <c r="R1021" s="14">
        <v>108.18312505539843</v>
      </c>
      <c r="S1021" s="14"/>
      <c r="T1021" s="14"/>
      <c r="U1021" s="12"/>
      <c r="V1021" s="12"/>
      <c r="W1021" s="12"/>
      <c r="X1021" s="12"/>
      <c r="Y1021" s="12"/>
      <c r="Z1021" s="12"/>
      <c r="AA1021" s="12"/>
      <c r="AB1021" s="12"/>
      <c r="AC1021" s="12"/>
      <c r="AD1021" s="12"/>
      <c r="AE1021" s="12"/>
      <c r="AF1021" s="12"/>
    </row>
    <row r="1022" spans="1:32" x14ac:dyDescent="0.35">
      <c r="A1022" s="21" t="s">
        <v>49</v>
      </c>
      <c r="B1022" s="17" t="s">
        <v>30</v>
      </c>
      <c r="C1022" t="s">
        <v>51</v>
      </c>
      <c r="D1022" t="s">
        <v>51</v>
      </c>
      <c r="E1022" t="s">
        <v>51</v>
      </c>
      <c r="F1022" s="14">
        <v>75.766872013154753</v>
      </c>
      <c r="G1022" s="14">
        <v>80.745778917798759</v>
      </c>
      <c r="H1022" s="14">
        <v>86.167205615701732</v>
      </c>
      <c r="I1022" s="14">
        <v>92.059726870856906</v>
      </c>
      <c r="J1022" s="14">
        <v>98.418341840904205</v>
      </c>
      <c r="K1022" s="14">
        <v>105.32909829079679</v>
      </c>
      <c r="L1022" s="14">
        <v>112.85900097979794</v>
      </c>
      <c r="M1022" s="14">
        <v>121.06045527518469</v>
      </c>
      <c r="N1022" s="14">
        <v>129.93316442875437</v>
      </c>
      <c r="O1022" s="14">
        <v>139.47647575746299</v>
      </c>
      <c r="P1022" s="14">
        <v>149.62280558725439</v>
      </c>
      <c r="Q1022" s="14">
        <v>160.36382832926967</v>
      </c>
      <c r="R1022" s="14">
        <v>171.73537026817473</v>
      </c>
      <c r="S1022" s="22"/>
      <c r="T1022" s="22"/>
      <c r="U1022" s="12"/>
      <c r="V1022" s="12"/>
      <c r="W1022" s="12"/>
      <c r="X1022" s="12"/>
      <c r="Y1022" s="12"/>
      <c r="Z1022" s="12"/>
      <c r="AA1022" s="12"/>
      <c r="AB1022" s="12"/>
      <c r="AC1022" s="12"/>
      <c r="AD1022" s="12"/>
      <c r="AE1022" s="12"/>
      <c r="AF1022" s="12"/>
    </row>
    <row r="1023" spans="1:32" x14ac:dyDescent="0.35">
      <c r="A1023" t="s">
        <v>50</v>
      </c>
      <c r="B1023" s="17" t="s">
        <v>54</v>
      </c>
      <c r="C1023" s="13" t="s">
        <v>55</v>
      </c>
      <c r="D1023" s="13" t="s">
        <v>55</v>
      </c>
      <c r="E1023" s="13" t="s">
        <v>55</v>
      </c>
      <c r="F1023" s="14">
        <v>10.555749968044408</v>
      </c>
      <c r="G1023" s="14">
        <v>11.586051942496733</v>
      </c>
      <c r="H1023" s="14">
        <v>12.736227408467325</v>
      </c>
      <c r="I1023" s="14">
        <v>14.021810627152156</v>
      </c>
      <c r="J1023" s="14">
        <v>15.465203068721904</v>
      </c>
      <c r="K1023" s="14">
        <v>17.098417557847579</v>
      </c>
      <c r="L1023" s="14">
        <v>18.944005208331859</v>
      </c>
      <c r="M1023" s="14">
        <v>21.026691922775981</v>
      </c>
      <c r="N1023" s="14">
        <v>23.345356218964838</v>
      </c>
      <c r="O1023" s="14">
        <v>25.904141677734486</v>
      </c>
      <c r="P1023" s="14">
        <v>28.691576472325718</v>
      </c>
      <c r="Q1023" s="14">
        <v>31.712008288452186</v>
      </c>
      <c r="R1023" s="14">
        <v>35.000681716804479</v>
      </c>
      <c r="S1023" s="22"/>
      <c r="T1023" s="22"/>
      <c r="U1023" s="12"/>
      <c r="V1023" s="12"/>
      <c r="W1023" s="12"/>
      <c r="X1023" s="12"/>
      <c r="Y1023" s="12"/>
      <c r="Z1023" s="12"/>
      <c r="AA1023" s="12"/>
      <c r="AB1023" s="12"/>
      <c r="AC1023" s="12"/>
      <c r="AD1023" s="12"/>
      <c r="AE1023" s="12"/>
      <c r="AF1023" s="12"/>
    </row>
    <row r="1024" spans="1:32" x14ac:dyDescent="0.35">
      <c r="A1024" t="s">
        <v>50</v>
      </c>
      <c r="B1024" s="17" t="s">
        <v>54</v>
      </c>
      <c r="C1024" s="13" t="s">
        <v>56</v>
      </c>
      <c r="D1024" s="13" t="s">
        <v>56</v>
      </c>
      <c r="E1024" s="13" t="s">
        <v>56</v>
      </c>
      <c r="F1024" s="14">
        <v>27.102690430030115</v>
      </c>
      <c r="G1024" s="14">
        <v>29.043399115854271</v>
      </c>
      <c r="H1024" s="14">
        <v>31.171479382929068</v>
      </c>
      <c r="I1024" s="14">
        <v>33.507441716204603</v>
      </c>
      <c r="J1024" s="14">
        <v>36.085473827017772</v>
      </c>
      <c r="K1024" s="14">
        <v>38.95808531547523</v>
      </c>
      <c r="L1024" s="14">
        <v>42.150275417317062</v>
      </c>
      <c r="M1024" s="14">
        <v>45.688331225564689</v>
      </c>
      <c r="N1024" s="14">
        <v>49.538597666368233</v>
      </c>
      <c r="O1024" s="14">
        <v>53.680309663084458</v>
      </c>
      <c r="P1024" s="14">
        <v>58.060932010421425</v>
      </c>
      <c r="Q1024" s="14">
        <v>62.663562855888841</v>
      </c>
      <c r="R1024" s="14">
        <v>67.532794714183268</v>
      </c>
      <c r="S1024" s="22"/>
      <c r="T1024" s="22"/>
      <c r="U1024" s="12"/>
      <c r="V1024" s="12"/>
      <c r="W1024" s="12"/>
      <c r="X1024" s="12"/>
      <c r="Y1024" s="12"/>
      <c r="Z1024" s="12"/>
      <c r="AA1024" s="12"/>
      <c r="AB1024" s="12"/>
      <c r="AC1024" s="12"/>
      <c r="AD1024" s="12"/>
      <c r="AE1024" s="12"/>
      <c r="AF1024" s="12"/>
    </row>
    <row r="1025" spans="1:32" x14ac:dyDescent="0.35">
      <c r="A1025" t="s">
        <v>50</v>
      </c>
      <c r="B1025" s="17" t="s">
        <v>54</v>
      </c>
      <c r="C1025" s="13" t="s">
        <v>57</v>
      </c>
      <c r="D1025" s="13" t="s">
        <v>57</v>
      </c>
      <c r="E1025" s="13" t="s">
        <v>57</v>
      </c>
      <c r="F1025" s="14">
        <v>65.579824871561669</v>
      </c>
      <c r="G1025" s="14">
        <v>69.619919677140345</v>
      </c>
      <c r="H1025" s="14">
        <v>74.024940784137669</v>
      </c>
      <c r="I1025" s="14">
        <v>78.832053157572417</v>
      </c>
      <c r="J1025" s="14">
        <v>84.108999145680528</v>
      </c>
      <c r="K1025" s="14">
        <v>89.963469766417802</v>
      </c>
      <c r="L1025" s="14">
        <v>96.435360013836842</v>
      </c>
      <c r="M1025" s="14">
        <v>103.56570288339771</v>
      </c>
      <c r="N1025" s="14">
        <v>111.25777872494388</v>
      </c>
      <c r="O1025" s="14">
        <v>119.44699183570233</v>
      </c>
      <c r="P1025" s="14">
        <v>128.00008419933957</v>
      </c>
      <c r="Q1025" s="14">
        <v>136.86696035981251</v>
      </c>
      <c r="R1025" s="14">
        <v>146.13344990387671</v>
      </c>
      <c r="S1025" s="22"/>
      <c r="T1025" s="22"/>
      <c r="U1025" s="12"/>
      <c r="V1025" s="12"/>
      <c r="W1025" s="12"/>
      <c r="X1025" s="12"/>
      <c r="Y1025" s="12"/>
      <c r="Z1025" s="12"/>
      <c r="AA1025" s="12"/>
      <c r="AB1025" s="12"/>
      <c r="AC1025" s="12"/>
      <c r="AD1025" s="12"/>
      <c r="AE1025" s="12"/>
      <c r="AF1025" s="12"/>
    </row>
    <row r="1026" spans="1:32" x14ac:dyDescent="0.35">
      <c r="A1026" t="s">
        <v>50</v>
      </c>
      <c r="B1026" s="17" t="s">
        <v>59</v>
      </c>
      <c r="C1026" s="18" t="s">
        <v>60</v>
      </c>
      <c r="D1026" s="38" t="s">
        <v>61</v>
      </c>
      <c r="E1026" s="39" t="s">
        <v>62</v>
      </c>
      <c r="F1026" s="22">
        <v>3.9859016443757693</v>
      </c>
      <c r="G1026" s="22">
        <v>4.4046672675481453</v>
      </c>
      <c r="H1026" s="22">
        <v>4.8729349552183168</v>
      </c>
      <c r="I1026" s="22">
        <v>5.3873302779977941</v>
      </c>
      <c r="J1026" s="22">
        <v>5.9452513875962287</v>
      </c>
      <c r="K1026" s="22">
        <v>6.5579791329296331</v>
      </c>
      <c r="L1026" s="22">
        <v>7.2371346340338443</v>
      </c>
      <c r="M1026" s="22">
        <v>8.0083360407716455</v>
      </c>
      <c r="N1026" s="22">
        <v>8.8877450765297787</v>
      </c>
      <c r="O1026" s="22">
        <v>9.8703893268040304</v>
      </c>
      <c r="P1026" s="22">
        <v>10.969079192903573</v>
      </c>
      <c r="Q1026" s="22">
        <v>12.179097022196554</v>
      </c>
      <c r="R1026" s="22">
        <v>13.504325335923149</v>
      </c>
      <c r="S1026" s="22"/>
      <c r="T1026" s="22"/>
      <c r="U1026" s="12"/>
      <c r="V1026" s="12"/>
      <c r="W1026" s="12"/>
      <c r="X1026" s="12"/>
      <c r="Y1026" s="12"/>
      <c r="Z1026" s="12"/>
      <c r="AA1026" s="12"/>
      <c r="AB1026" s="12"/>
      <c r="AC1026" s="12"/>
      <c r="AD1026" s="12"/>
      <c r="AE1026" s="12"/>
      <c r="AF1026" s="12"/>
    </row>
    <row r="1027" spans="1:32" x14ac:dyDescent="0.35">
      <c r="A1027" t="s">
        <v>50</v>
      </c>
      <c r="B1027" s="17" t="s">
        <v>59</v>
      </c>
      <c r="C1027" s="18" t="s">
        <v>60</v>
      </c>
      <c r="D1027" s="38" t="s">
        <v>61</v>
      </c>
      <c r="E1027" s="39" t="s">
        <v>63</v>
      </c>
      <c r="F1027" s="22">
        <v>7.0972220857601966</v>
      </c>
      <c r="G1027" s="22">
        <v>7.6192016649283882</v>
      </c>
      <c r="H1027" s="22">
        <v>8.192269959358347</v>
      </c>
      <c r="I1027" s="22">
        <v>8.8220946197815042</v>
      </c>
      <c r="J1027" s="22">
        <v>9.5179846158230728</v>
      </c>
      <c r="K1027" s="22">
        <v>10.294147957303936</v>
      </c>
      <c r="L1027" s="22">
        <v>11.157624789747508</v>
      </c>
      <c r="M1027" s="22">
        <v>12.115845618982991</v>
      </c>
      <c r="N1027" s="22">
        <v>13.160397412816621</v>
      </c>
      <c r="O1027" s="22">
        <v>14.286230275982522</v>
      </c>
      <c r="P1027" s="22">
        <v>15.479802332114605</v>
      </c>
      <c r="Q1027" s="22">
        <v>16.736974245397661</v>
      </c>
      <c r="R1027" s="22">
        <v>18.070001027923126</v>
      </c>
      <c r="S1027" s="22"/>
      <c r="T1027" s="22"/>
      <c r="U1027" s="12"/>
      <c r="V1027" s="12"/>
      <c r="W1027" s="12"/>
      <c r="X1027" s="12"/>
      <c r="Y1027" s="12"/>
      <c r="Z1027" s="12"/>
      <c r="AA1027" s="12"/>
      <c r="AB1027" s="12"/>
      <c r="AC1027" s="12"/>
      <c r="AD1027" s="12"/>
      <c r="AE1027" s="12"/>
      <c r="AF1027" s="12"/>
    </row>
    <row r="1028" spans="1:32" x14ac:dyDescent="0.35">
      <c r="A1028" t="s">
        <v>50</v>
      </c>
      <c r="B1028" s="17" t="s">
        <v>59</v>
      </c>
      <c r="C1028" s="18" t="s">
        <v>60</v>
      </c>
      <c r="D1028" s="38" t="s">
        <v>61</v>
      </c>
      <c r="E1028" s="39" t="s">
        <v>64</v>
      </c>
      <c r="F1028" s="22">
        <v>10.354095765247138</v>
      </c>
      <c r="G1028" s="22">
        <v>10.675586320657528</v>
      </c>
      <c r="H1028" s="22">
        <v>11.107518405086058</v>
      </c>
      <c r="I1028" s="22">
        <v>11.670909888286888</v>
      </c>
      <c r="J1028" s="22">
        <v>12.4487423421029</v>
      </c>
      <c r="K1028" s="22">
        <v>13.467293218602602</v>
      </c>
      <c r="L1028" s="22">
        <v>14.698845257741922</v>
      </c>
      <c r="M1028" s="22">
        <v>16.082111837026392</v>
      </c>
      <c r="N1028" s="22">
        <v>17.469144276556836</v>
      </c>
      <c r="O1028" s="22">
        <v>18.791200781629268</v>
      </c>
      <c r="P1028" s="22">
        <v>19.784541419778208</v>
      </c>
      <c r="Q1028" s="22">
        <v>20.451206971581176</v>
      </c>
      <c r="R1028" s="22">
        <v>20.957552657029503</v>
      </c>
      <c r="S1028" s="22"/>
      <c r="T1028" s="22"/>
      <c r="U1028" s="12"/>
      <c r="V1028" s="12"/>
      <c r="W1028" s="12"/>
      <c r="X1028" s="12"/>
      <c r="Y1028" s="12"/>
      <c r="Z1028" s="12"/>
      <c r="AA1028" s="12"/>
      <c r="AB1028" s="12"/>
      <c r="AC1028" s="12"/>
      <c r="AD1028" s="12"/>
      <c r="AE1028" s="12"/>
      <c r="AF1028" s="12"/>
    </row>
    <row r="1029" spans="1:32" x14ac:dyDescent="0.35">
      <c r="A1029" t="s">
        <v>50</v>
      </c>
      <c r="B1029" s="17" t="s">
        <v>59</v>
      </c>
      <c r="C1029" s="18" t="s">
        <v>60</v>
      </c>
      <c r="D1029" s="38" t="s">
        <v>65</v>
      </c>
      <c r="E1029" s="38" t="s">
        <v>65</v>
      </c>
      <c r="F1029" s="41">
        <v>18.590610507016542</v>
      </c>
      <c r="G1029" s="41">
        <v>19.930281599251021</v>
      </c>
      <c r="H1029" s="41">
        <v>21.391404526682095</v>
      </c>
      <c r="I1029" s="41">
        <v>22.943601313908395</v>
      </c>
      <c r="J1029" s="41">
        <v>24.562540944059542</v>
      </c>
      <c r="K1029" s="41">
        <v>26.283434444517763</v>
      </c>
      <c r="L1029" s="41">
        <v>28.138038395158897</v>
      </c>
      <c r="M1029" s="41">
        <v>30.20792047805277</v>
      </c>
      <c r="N1029" s="41">
        <v>32.52824235790164</v>
      </c>
      <c r="O1029" s="41">
        <v>35.051188299522025</v>
      </c>
      <c r="P1029" s="41">
        <v>37.796106621508031</v>
      </c>
      <c r="Q1029" s="41">
        <v>40.718188071064233</v>
      </c>
      <c r="R1029" s="41">
        <v>43.805103337859236</v>
      </c>
      <c r="S1029" s="22"/>
      <c r="T1029" s="22"/>
      <c r="U1029" s="12"/>
      <c r="V1029" s="12"/>
      <c r="W1029" s="12"/>
      <c r="X1029" s="12"/>
      <c r="Y1029" s="12"/>
      <c r="Z1029" s="12"/>
      <c r="AA1029" s="12"/>
      <c r="AB1029" s="12"/>
      <c r="AC1029" s="12"/>
      <c r="AD1029" s="12"/>
      <c r="AE1029" s="12"/>
      <c r="AF1029" s="12"/>
    </row>
    <row r="1030" spans="1:32" x14ac:dyDescent="0.35">
      <c r="A1030" t="s">
        <v>50</v>
      </c>
      <c r="B1030" s="17" t="s">
        <v>59</v>
      </c>
      <c r="C1030" s="18" t="s">
        <v>60</v>
      </c>
      <c r="D1030" s="38" t="s">
        <v>66</v>
      </c>
      <c r="E1030" s="38" t="s">
        <v>66</v>
      </c>
      <c r="F1030" s="41">
        <v>11.882619115343649</v>
      </c>
      <c r="G1030" s="41">
        <v>12.650906404895437</v>
      </c>
      <c r="H1030" s="41">
        <v>13.421083730133329</v>
      </c>
      <c r="I1030" s="41">
        <v>14.214640728522363</v>
      </c>
      <c r="J1030" s="41">
        <v>15.072468306581992</v>
      </c>
      <c r="K1030" s="41">
        <v>16.033506735015305</v>
      </c>
      <c r="L1030" s="41">
        <v>17.125471339566346</v>
      </c>
      <c r="M1030" s="41">
        <v>18.329225535295681</v>
      </c>
      <c r="N1030" s="41">
        <v>19.604580341133598</v>
      </c>
      <c r="O1030" s="41">
        <v>20.948984195673752</v>
      </c>
      <c r="P1030" s="41">
        <v>22.383621549070988</v>
      </c>
      <c r="Q1030" s="41">
        <v>23.93268278376576</v>
      </c>
      <c r="R1030" s="41">
        <v>25.580501405359389</v>
      </c>
      <c r="S1030" s="22"/>
      <c r="T1030" s="22"/>
      <c r="U1030" s="12"/>
      <c r="V1030" s="12"/>
      <c r="W1030" s="12"/>
      <c r="X1030" s="12"/>
      <c r="Y1030" s="12"/>
      <c r="Z1030" s="12"/>
      <c r="AA1030" s="12"/>
      <c r="AB1030" s="12"/>
      <c r="AC1030" s="12"/>
      <c r="AD1030" s="12"/>
      <c r="AE1030" s="12"/>
      <c r="AF1030" s="12"/>
    </row>
    <row r="1031" spans="1:32" x14ac:dyDescent="0.35">
      <c r="A1031" t="s">
        <v>50</v>
      </c>
      <c r="B1031" s="17" t="s">
        <v>59</v>
      </c>
      <c r="C1031" s="18" t="s">
        <v>60</v>
      </c>
      <c r="D1031" s="38" t="s">
        <v>67</v>
      </c>
      <c r="E1031" s="38" t="s">
        <v>67</v>
      </c>
      <c r="F1031" s="41">
        <v>7.5806871515805669</v>
      </c>
      <c r="G1031" s="41">
        <v>8.0181347266357825</v>
      </c>
      <c r="H1031" s="41">
        <v>8.4908481145656616</v>
      </c>
      <c r="I1031" s="41">
        <v>8.9850624350579427</v>
      </c>
      <c r="J1031" s="41">
        <v>9.4900726374775513</v>
      </c>
      <c r="K1031" s="41">
        <v>10.018722170007839</v>
      </c>
      <c r="L1031" s="41">
        <v>10.581829766380245</v>
      </c>
      <c r="M1031" s="41">
        <v>11.208332613339868</v>
      </c>
      <c r="N1031" s="41">
        <v>11.9083549748241</v>
      </c>
      <c r="O1031" s="41">
        <v>12.66102887061882</v>
      </c>
      <c r="P1031" s="41">
        <v>13.470771691084574</v>
      </c>
      <c r="Q1031" s="41">
        <v>14.318831271662241</v>
      </c>
      <c r="R1031" s="41">
        <v>15.198802646282003</v>
      </c>
      <c r="S1031" s="14"/>
      <c r="T1031" s="14"/>
      <c r="U1031" s="12"/>
      <c r="V1031" s="12"/>
      <c r="W1031" s="12"/>
      <c r="X1031" s="12"/>
      <c r="Y1031" s="12"/>
      <c r="Z1031" s="12"/>
      <c r="AA1031" s="12"/>
      <c r="AB1031" s="12"/>
      <c r="AC1031" s="12"/>
      <c r="AD1031" s="12"/>
      <c r="AE1031" s="12"/>
      <c r="AF1031" s="12"/>
    </row>
    <row r="1032" spans="1:32" x14ac:dyDescent="0.35">
      <c r="A1032" t="s">
        <v>50</v>
      </c>
      <c r="B1032" s="17" t="s">
        <v>59</v>
      </c>
      <c r="C1032" s="18" t="s">
        <v>60</v>
      </c>
      <c r="D1032" s="38" t="s">
        <v>68</v>
      </c>
      <c r="E1032" s="38" t="s">
        <v>68</v>
      </c>
      <c r="F1032" s="41">
        <v>12.392311521043036</v>
      </c>
      <c r="G1032" s="41">
        <v>13.424755331323073</v>
      </c>
      <c r="H1032" s="41">
        <v>14.545676534648925</v>
      </c>
      <c r="I1032" s="41">
        <v>15.799970847970647</v>
      </c>
      <c r="J1032" s="41">
        <v>17.19377866084168</v>
      </c>
      <c r="K1032" s="41">
        <v>18.732061805213586</v>
      </c>
      <c r="L1032" s="41">
        <v>20.411744715010105</v>
      </c>
      <c r="M1032" s="41">
        <v>22.225032203913983</v>
      </c>
      <c r="N1032" s="41">
        <v>24.17774269459683</v>
      </c>
      <c r="O1032" s="41">
        <v>26.333862945279808</v>
      </c>
      <c r="P1032" s="41">
        <v>28.719419204825179</v>
      </c>
      <c r="Q1032" s="41">
        <v>31.324343795834299</v>
      </c>
      <c r="R1032" s="41">
        <v>34.139849001666924</v>
      </c>
      <c r="S1032" s="14"/>
      <c r="T1032" s="14"/>
      <c r="U1032" s="12"/>
      <c r="V1032" s="12"/>
      <c r="W1032" s="12"/>
      <c r="X1032" s="12"/>
      <c r="Y1032" s="12"/>
      <c r="Z1032" s="12"/>
      <c r="AA1032" s="12"/>
      <c r="AB1032" s="12"/>
      <c r="AC1032" s="12"/>
      <c r="AD1032" s="12"/>
      <c r="AE1032" s="12"/>
      <c r="AF1032" s="12"/>
    </row>
    <row r="1033" spans="1:32" x14ac:dyDescent="0.35">
      <c r="A1033" t="s">
        <v>50</v>
      </c>
      <c r="B1033" s="17" t="s">
        <v>59</v>
      </c>
      <c r="C1033" s="18" t="s">
        <v>60</v>
      </c>
      <c r="D1033" s="38" t="s">
        <v>69</v>
      </c>
      <c r="E1033" s="38" t="s">
        <v>69</v>
      </c>
      <c r="F1033" s="41">
        <v>14.472402115958488</v>
      </c>
      <c r="G1033" s="41">
        <v>15.120897037317199</v>
      </c>
      <c r="H1033" s="41">
        <v>15.823651909940365</v>
      </c>
      <c r="I1033" s="41">
        <v>16.58544058818147</v>
      </c>
      <c r="J1033" s="41">
        <v>17.417074487605859</v>
      </c>
      <c r="K1033" s="41">
        <v>18.336854043814181</v>
      </c>
      <c r="L1033" s="41">
        <v>19.3479922984212</v>
      </c>
      <c r="M1033" s="41">
        <v>20.453583134012142</v>
      </c>
      <c r="N1033" s="41">
        <v>21.629167951295809</v>
      </c>
      <c r="O1033" s="41">
        <v>22.85790093006775</v>
      </c>
      <c r="P1033" s="41">
        <v>24.110721288337317</v>
      </c>
      <c r="Q1033" s="41">
        <v>25.375949219273014</v>
      </c>
      <c r="R1033" s="41">
        <v>26.667779721669589</v>
      </c>
      <c r="S1033" s="14"/>
      <c r="T1033" s="14"/>
      <c r="U1033" s="12"/>
      <c r="V1033" s="12"/>
      <c r="W1033" s="12"/>
      <c r="X1033" s="12"/>
      <c r="Y1033" s="12"/>
      <c r="Z1033" s="12"/>
      <c r="AA1033" s="12"/>
      <c r="AB1033" s="12"/>
      <c r="AC1033" s="12"/>
      <c r="AD1033" s="12"/>
      <c r="AE1033" s="12"/>
      <c r="AF1033" s="12"/>
    </row>
    <row r="1034" spans="1:32" x14ac:dyDescent="0.35">
      <c r="A1034" t="s">
        <v>50</v>
      </c>
      <c r="B1034" s="17" t="s">
        <v>59</v>
      </c>
      <c r="C1034" s="18" t="s">
        <v>70</v>
      </c>
      <c r="D1034" s="19" t="s">
        <v>71</v>
      </c>
      <c r="E1034" s="19" t="s">
        <v>71</v>
      </c>
      <c r="F1034" s="22">
        <v>2.3243571372427803</v>
      </c>
      <c r="G1034" s="22">
        <v>2.5796387752242</v>
      </c>
      <c r="H1034" s="22">
        <v>2.8661822686987257</v>
      </c>
      <c r="I1034" s="22">
        <v>3.1824050677411542</v>
      </c>
      <c r="J1034" s="22">
        <v>3.5271515770769239</v>
      </c>
      <c r="K1034" s="22">
        <v>3.9074805282332696</v>
      </c>
      <c r="L1034" s="22">
        <v>4.3307736803404158</v>
      </c>
      <c r="M1034" s="22">
        <v>4.8129140442106655</v>
      </c>
      <c r="N1034" s="22">
        <v>5.3643725455324356</v>
      </c>
      <c r="O1034" s="22">
        <v>5.9830398466957959</v>
      </c>
      <c r="P1034" s="22">
        <v>6.6775446604657143</v>
      </c>
      <c r="Q1034" s="22">
        <v>7.4459892994587999</v>
      </c>
      <c r="R1034" s="22">
        <v>8.2916967349284132</v>
      </c>
      <c r="S1034" s="14"/>
      <c r="T1034" s="14"/>
      <c r="U1034" s="12"/>
      <c r="V1034" s="12"/>
      <c r="W1034" s="12"/>
      <c r="X1034" s="12"/>
      <c r="Y1034" s="12"/>
      <c r="Z1034" s="12"/>
      <c r="AA1034" s="12"/>
      <c r="AB1034" s="12"/>
      <c r="AC1034" s="12"/>
      <c r="AD1034" s="12"/>
      <c r="AE1034" s="12"/>
      <c r="AF1034" s="12"/>
    </row>
    <row r="1035" spans="1:32" x14ac:dyDescent="0.35">
      <c r="A1035" t="s">
        <v>50</v>
      </c>
      <c r="B1035" s="17" t="s">
        <v>59</v>
      </c>
      <c r="C1035" s="18" t="s">
        <v>70</v>
      </c>
      <c r="D1035" s="19" t="s">
        <v>72</v>
      </c>
      <c r="E1035" s="19" t="s">
        <v>72</v>
      </c>
      <c r="F1035" s="22">
        <v>1.8245078328402971</v>
      </c>
      <c r="G1035" s="22">
        <v>2.0348044696274594</v>
      </c>
      <c r="H1035" s="22">
        <v>2.272731682923248</v>
      </c>
      <c r="I1035" s="22">
        <v>2.5422673222035415</v>
      </c>
      <c r="J1035" s="22">
        <v>2.8488531968698241</v>
      </c>
      <c r="K1035" s="22">
        <v>3.2000088752661737</v>
      </c>
      <c r="L1035" s="22">
        <v>3.6019154336407988</v>
      </c>
      <c r="M1035" s="22">
        <v>4.0615034584021066</v>
      </c>
      <c r="N1035" s="22">
        <v>4.58108665901233</v>
      </c>
      <c r="O1035" s="22">
        <v>5.1640854491421591</v>
      </c>
      <c r="P1035" s="22">
        <v>5.8109497290904653</v>
      </c>
      <c r="Q1035" s="22">
        <v>6.5252827159841553</v>
      </c>
      <c r="R1035" s="22">
        <v>7.3171957052589001</v>
      </c>
      <c r="S1035" s="14"/>
      <c r="T1035" s="14"/>
      <c r="U1035" s="12"/>
      <c r="V1035" s="12"/>
      <c r="W1035" s="12"/>
      <c r="X1035" s="12"/>
      <c r="Y1035" s="12"/>
      <c r="Z1035" s="12"/>
      <c r="AA1035" s="12"/>
      <c r="AB1035" s="12"/>
      <c r="AC1035" s="12"/>
      <c r="AD1035" s="12"/>
      <c r="AE1035" s="12"/>
      <c r="AF1035" s="12"/>
    </row>
    <row r="1036" spans="1:32" x14ac:dyDescent="0.35">
      <c r="A1036" t="s">
        <v>50</v>
      </c>
      <c r="B1036" s="17" t="s">
        <v>59</v>
      </c>
      <c r="C1036" s="18" t="s">
        <v>70</v>
      </c>
      <c r="D1036" s="19" t="s">
        <v>73</v>
      </c>
      <c r="E1036" s="19" t="s">
        <v>73</v>
      </c>
      <c r="F1036" s="22">
        <v>1.6807532757716261</v>
      </c>
      <c r="G1036" s="22">
        <v>1.8159399368491427</v>
      </c>
      <c r="H1036" s="22">
        <v>1.9639023699412075</v>
      </c>
      <c r="I1036" s="22">
        <v>2.1267029483463888</v>
      </c>
      <c r="J1036" s="22">
        <v>2.3062144927041435</v>
      </c>
      <c r="K1036" s="22">
        <v>2.5045572763991482</v>
      </c>
      <c r="L1036" s="22">
        <v>2.7237747247624982</v>
      </c>
      <c r="M1036" s="22">
        <v>2.9640798689551313</v>
      </c>
      <c r="N1036" s="22">
        <v>3.2255365436706533</v>
      </c>
      <c r="O1036" s="22">
        <v>3.5085736764939219</v>
      </c>
      <c r="P1036" s="22">
        <v>3.8135398892462375</v>
      </c>
      <c r="Q1036" s="22">
        <v>4.1429708833592063</v>
      </c>
      <c r="R1036" s="22">
        <v>4.4968410003282795</v>
      </c>
      <c r="S1036" s="14"/>
      <c r="T1036" s="14"/>
      <c r="U1036" s="12"/>
      <c r="V1036" s="12"/>
      <c r="W1036" s="12"/>
      <c r="X1036" s="12"/>
      <c r="Y1036" s="12"/>
      <c r="Z1036" s="12"/>
      <c r="AA1036" s="12"/>
      <c r="AB1036" s="12"/>
      <c r="AC1036" s="12"/>
      <c r="AD1036" s="12"/>
      <c r="AE1036" s="12"/>
      <c r="AF1036" s="12"/>
    </row>
    <row r="1037" spans="1:32" x14ac:dyDescent="0.35">
      <c r="A1037" t="s">
        <v>50</v>
      </c>
      <c r="B1037" s="17" t="s">
        <v>59</v>
      </c>
      <c r="C1037" s="18" t="s">
        <v>70</v>
      </c>
      <c r="D1037" s="19" t="s">
        <v>74</v>
      </c>
      <c r="E1037" s="19" t="s">
        <v>74</v>
      </c>
      <c r="F1037" s="22">
        <v>1.9118010797931944</v>
      </c>
      <c r="G1037" s="22">
        <v>2.082840612927281</v>
      </c>
      <c r="H1037" s="22">
        <v>2.2695640640003298</v>
      </c>
      <c r="I1037" s="22">
        <v>2.4792338669957199</v>
      </c>
      <c r="J1037" s="22">
        <v>2.7131935208284044</v>
      </c>
      <c r="K1037" s="22">
        <v>2.9726271939208018</v>
      </c>
      <c r="L1037" s="22">
        <v>3.2574665627498089</v>
      </c>
      <c r="M1037" s="22">
        <v>3.5668847528928858</v>
      </c>
      <c r="N1037" s="22">
        <v>3.9022173533188638</v>
      </c>
      <c r="O1037" s="22">
        <v>4.2742148462646368</v>
      </c>
      <c r="P1037" s="22">
        <v>4.6877057996258777</v>
      </c>
      <c r="Q1037" s="22">
        <v>5.1417308573256166</v>
      </c>
      <c r="R1037" s="22">
        <v>5.6355129277964053</v>
      </c>
      <c r="S1037" s="14"/>
      <c r="T1037" s="14"/>
      <c r="U1037" s="12"/>
      <c r="V1037" s="12"/>
      <c r="W1037" s="12"/>
      <c r="X1037" s="12"/>
      <c r="Y1037" s="12"/>
      <c r="Z1037" s="12"/>
      <c r="AA1037" s="12"/>
      <c r="AB1037" s="12"/>
      <c r="AC1037" s="12"/>
      <c r="AD1037" s="12"/>
      <c r="AE1037" s="12"/>
      <c r="AF1037" s="12"/>
    </row>
    <row r="1038" spans="1:32" x14ac:dyDescent="0.35">
      <c r="A1038" t="s">
        <v>50</v>
      </c>
      <c r="B1038" s="17" t="s">
        <v>59</v>
      </c>
      <c r="C1038" s="18" t="s">
        <v>70</v>
      </c>
      <c r="D1038" s="19" t="s">
        <v>75</v>
      </c>
      <c r="E1038" s="19" t="s">
        <v>75</v>
      </c>
      <c r="F1038" s="22">
        <v>1.4835917359269966</v>
      </c>
      <c r="G1038" s="22">
        <v>1.6288797839170588</v>
      </c>
      <c r="H1038" s="22">
        <v>1.7901023270515477</v>
      </c>
      <c r="I1038" s="22">
        <v>1.9698182620815323</v>
      </c>
      <c r="J1038" s="22">
        <v>2.1705548166627233</v>
      </c>
      <c r="K1038" s="22">
        <v>2.3952102082685753</v>
      </c>
      <c r="L1038" s="22">
        <v>2.6467675842329874</v>
      </c>
      <c r="M1038" s="22">
        <v>2.9265912536034202</v>
      </c>
      <c r="N1038" s="22">
        <v>3.235949887166115</v>
      </c>
      <c r="O1038" s="22">
        <v>3.5765226284393612</v>
      </c>
      <c r="P1038" s="22">
        <v>3.9499760902023975</v>
      </c>
      <c r="Q1038" s="22">
        <v>4.3603087696494853</v>
      </c>
      <c r="R1038" s="22">
        <v>4.8090383135360169</v>
      </c>
      <c r="S1038" s="14"/>
      <c r="T1038" s="14"/>
      <c r="U1038" s="12"/>
      <c r="V1038" s="12"/>
      <c r="W1038" s="12"/>
      <c r="X1038" s="12"/>
      <c r="Y1038" s="12"/>
      <c r="Z1038" s="12"/>
      <c r="AA1038" s="12"/>
      <c r="AB1038" s="12"/>
      <c r="AC1038" s="12"/>
      <c r="AD1038" s="12"/>
      <c r="AE1038" s="12"/>
      <c r="AF1038" s="12"/>
    </row>
    <row r="1039" spans="1:32" x14ac:dyDescent="0.35">
      <c r="A1039" t="s">
        <v>50</v>
      </c>
      <c r="B1039" s="17" t="s">
        <v>59</v>
      </c>
      <c r="C1039" s="18" t="s">
        <v>76</v>
      </c>
      <c r="D1039" s="19" t="s">
        <v>77</v>
      </c>
      <c r="E1039" s="19" t="s">
        <v>77</v>
      </c>
      <c r="F1039" s="22">
        <v>2.2391185903554187</v>
      </c>
      <c r="G1039" s="22">
        <v>2.4312098763379977</v>
      </c>
      <c r="H1039" s="22">
        <v>2.6428194546422263</v>
      </c>
      <c r="I1039" s="22">
        <v>2.8708651610855256</v>
      </c>
      <c r="J1039" s="22">
        <v>3.1128469264464274</v>
      </c>
      <c r="K1039" s="22">
        <v>3.3736686197857875</v>
      </c>
      <c r="L1039" s="22">
        <v>3.6580310828593787</v>
      </c>
      <c r="M1039" s="22">
        <v>3.9773362085694961</v>
      </c>
      <c r="N1039" s="22">
        <v>4.337439436654229</v>
      </c>
      <c r="O1039" s="22">
        <v>4.7333990567036865</v>
      </c>
      <c r="P1039" s="22">
        <v>5.1690554026735418</v>
      </c>
      <c r="Q1039" s="22">
        <v>5.639639978407291</v>
      </c>
      <c r="R1039" s="22">
        <v>6.1446065469471742</v>
      </c>
      <c r="S1039" s="14"/>
      <c r="T1039" s="14"/>
      <c r="U1039" s="12"/>
      <c r="V1039" s="12"/>
      <c r="W1039" s="12"/>
      <c r="X1039" s="12"/>
      <c r="Y1039" s="12"/>
      <c r="Z1039" s="12"/>
      <c r="AA1039" s="12"/>
      <c r="AB1039" s="12"/>
      <c r="AC1039" s="12"/>
      <c r="AD1039" s="12"/>
      <c r="AE1039" s="12"/>
      <c r="AF1039" s="12"/>
    </row>
    <row r="1040" spans="1:32" x14ac:dyDescent="0.35">
      <c r="A1040" t="s">
        <v>50</v>
      </c>
      <c r="B1040" s="17" t="s">
        <v>59</v>
      </c>
      <c r="C1040" s="18" t="s">
        <v>76</v>
      </c>
      <c r="D1040" s="19" t="s">
        <v>78</v>
      </c>
      <c r="E1040" s="19" t="s">
        <v>78</v>
      </c>
      <c r="F1040" s="22">
        <v>2.0762323414484696</v>
      </c>
      <c r="G1040" s="22">
        <v>2.2165382072592719</v>
      </c>
      <c r="H1040" s="22">
        <v>2.3686476313527196</v>
      </c>
      <c r="I1040" s="22">
        <v>2.5345511137943055</v>
      </c>
      <c r="J1040" s="22">
        <v>2.7159067143492326</v>
      </c>
      <c r="K1040" s="22">
        <v>2.9145714319173699</v>
      </c>
      <c r="L1040" s="22">
        <v>3.1322094430312739</v>
      </c>
      <c r="M1040" s="22">
        <v>3.3682840932946667</v>
      </c>
      <c r="N1040" s="22">
        <v>3.6220955537299306</v>
      </c>
      <c r="O1040" s="22">
        <v>3.8933681165885985</v>
      </c>
      <c r="P1040" s="22">
        <v>4.1817313836422532</v>
      </c>
      <c r="Q1040" s="22">
        <v>4.4892121337463626</v>
      </c>
      <c r="R1040" s="22">
        <v>4.814947318512643</v>
      </c>
      <c r="S1040" s="14"/>
      <c r="T1040" s="14"/>
      <c r="U1040" s="12"/>
      <c r="V1040" s="12"/>
      <c r="W1040" s="12"/>
      <c r="X1040" s="12"/>
      <c r="Y1040" s="12"/>
      <c r="Z1040" s="12"/>
      <c r="AA1040" s="12"/>
      <c r="AB1040" s="12"/>
      <c r="AC1040" s="12"/>
      <c r="AD1040" s="12"/>
      <c r="AE1040" s="12"/>
      <c r="AF1040" s="12"/>
    </row>
    <row r="1041" spans="1:32" x14ac:dyDescent="0.35">
      <c r="A1041" t="s">
        <v>50</v>
      </c>
      <c r="B1041" s="17" t="s">
        <v>59</v>
      </c>
      <c r="C1041" s="18" t="s">
        <v>76</v>
      </c>
      <c r="D1041" s="19" t="s">
        <v>79</v>
      </c>
      <c r="E1041" s="19" t="s">
        <v>79</v>
      </c>
      <c r="F1041" s="22">
        <v>1.2683333929357796</v>
      </c>
      <c r="G1041" s="22">
        <v>1.4008541358048974</v>
      </c>
      <c r="H1041" s="22">
        <v>1.5474780128288024</v>
      </c>
      <c r="I1041" s="22">
        <v>1.7136807384574173</v>
      </c>
      <c r="J1041" s="22">
        <v>1.9011347000444627</v>
      </c>
      <c r="K1041" s="22">
        <v>2.1114730634528076</v>
      </c>
      <c r="L1041" s="22">
        <v>2.3455082628701729</v>
      </c>
      <c r="M1041" s="22">
        <v>2.6035291762905395</v>
      </c>
      <c r="N1041" s="22">
        <v>2.8873965501828738</v>
      </c>
      <c r="O1041" s="22">
        <v>3.2060172863123979</v>
      </c>
      <c r="P1041" s="22">
        <v>3.5643212079536508</v>
      </c>
      <c r="Q1041" s="22">
        <v>3.9630741226912964</v>
      </c>
      <c r="R1041" s="22">
        <v>4.4031863300164176</v>
      </c>
      <c r="S1041" s="14"/>
      <c r="T1041" s="14"/>
      <c r="U1041" s="12"/>
      <c r="V1041" s="12"/>
      <c r="W1041" s="12"/>
      <c r="X1041" s="12"/>
      <c r="Y1041" s="12"/>
      <c r="Z1041" s="12"/>
      <c r="AA1041" s="12"/>
      <c r="AB1041" s="12"/>
      <c r="AC1041" s="12"/>
      <c r="AD1041" s="12"/>
      <c r="AE1041" s="12"/>
      <c r="AF1041" s="12"/>
    </row>
    <row r="1042" spans="1:32" x14ac:dyDescent="0.35">
      <c r="A1042" t="s">
        <v>50</v>
      </c>
      <c r="B1042" s="17" t="s">
        <v>59</v>
      </c>
      <c r="C1042" s="18" t="s">
        <v>76</v>
      </c>
      <c r="D1042" s="19" t="s">
        <v>80</v>
      </c>
      <c r="E1042" s="19" t="s">
        <v>80</v>
      </c>
      <c r="F1042" s="22">
        <v>0.96266419812071324</v>
      </c>
      <c r="G1042" s="22">
        <v>1.0199274645325809</v>
      </c>
      <c r="H1042" s="22">
        <v>1.0807839696054153</v>
      </c>
      <c r="I1042" s="22">
        <v>1.1482273945637775</v>
      </c>
      <c r="J1042" s="22">
        <v>1.2221580214571548</v>
      </c>
      <c r="K1042" s="22">
        <v>1.3023784298255185</v>
      </c>
      <c r="L1042" s="22">
        <v>1.3881267326999505</v>
      </c>
      <c r="M1042" s="22">
        <v>1.4783638503427727</v>
      </c>
      <c r="N1042" s="22">
        <v>1.5730260927747857</v>
      </c>
      <c r="O1042" s="22">
        <v>1.6758214557805711</v>
      </c>
      <c r="P1042" s="22">
        <v>1.7876989980782403</v>
      </c>
      <c r="Q1042" s="22">
        <v>1.9072485997958017</v>
      </c>
      <c r="R1042" s="22">
        <v>2.0332285423870036</v>
      </c>
      <c r="S1042" s="14"/>
      <c r="T1042" s="14"/>
      <c r="U1042" s="12"/>
      <c r="V1042" s="12"/>
      <c r="W1042" s="12"/>
      <c r="X1042" s="12"/>
      <c r="Y1042" s="12"/>
      <c r="Z1042" s="12"/>
      <c r="AA1042" s="12"/>
      <c r="AB1042" s="12"/>
      <c r="AC1042" s="12"/>
      <c r="AD1042" s="12"/>
      <c r="AE1042" s="12"/>
      <c r="AF1042" s="12"/>
    </row>
    <row r="1043" spans="1:32" x14ac:dyDescent="0.35">
      <c r="A1043" t="s">
        <v>50</v>
      </c>
      <c r="B1043" s="17" t="s">
        <v>59</v>
      </c>
      <c r="C1043" s="18" t="s">
        <v>76</v>
      </c>
      <c r="D1043" s="19" t="s">
        <v>81</v>
      </c>
      <c r="E1043" s="19" t="s">
        <v>81</v>
      </c>
      <c r="F1043" s="22">
        <v>1.1110557788755386</v>
      </c>
      <c r="G1043" s="22">
        <v>1.1943071204548825</v>
      </c>
      <c r="H1043" s="22">
        <v>1.2850476588567366</v>
      </c>
      <c r="I1043" s="22">
        <v>1.3845029259528157</v>
      </c>
      <c r="J1043" s="22">
        <v>1.4937486928920778</v>
      </c>
      <c r="K1043" s="22">
        <v>1.6139975052663122</v>
      </c>
      <c r="L1043" s="22">
        <v>1.7463859362384071</v>
      </c>
      <c r="M1043" s="22">
        <v>1.890851863781208</v>
      </c>
      <c r="N1043" s="22">
        <v>2.0472369025795252</v>
      </c>
      <c r="O1043" s="22">
        <v>2.21561518852221</v>
      </c>
      <c r="P1043" s="22">
        <v>2.3960062214858802</v>
      </c>
      <c r="Q1043" s="22">
        <v>2.5898007629605666</v>
      </c>
      <c r="R1043" s="22">
        <v>2.7967577814402564</v>
      </c>
      <c r="S1043" s="14"/>
      <c r="T1043" s="14"/>
      <c r="U1043" s="12"/>
      <c r="V1043" s="12"/>
      <c r="W1043" s="12"/>
      <c r="X1043" s="12"/>
      <c r="Y1043" s="12"/>
      <c r="Z1043" s="12"/>
      <c r="AA1043" s="12"/>
      <c r="AB1043" s="12"/>
      <c r="AC1043" s="12"/>
      <c r="AD1043" s="12"/>
      <c r="AE1043" s="12"/>
      <c r="AF1043" s="12"/>
    </row>
    <row r="1044" spans="1:32" x14ac:dyDescent="0.35">
      <c r="A1044" t="s">
        <v>50</v>
      </c>
      <c r="B1044" s="17" t="s">
        <v>47</v>
      </c>
      <c r="C1044" s="13" t="s">
        <v>82</v>
      </c>
      <c r="D1044" s="13" t="s">
        <v>82</v>
      </c>
      <c r="E1044" s="13" t="s">
        <v>82</v>
      </c>
      <c r="F1044" s="14">
        <v>37.658440398074525</v>
      </c>
      <c r="G1044" s="14">
        <v>40.629451058351002</v>
      </c>
      <c r="H1044" s="14">
        <v>43.907706791396393</v>
      </c>
      <c r="I1044" s="14">
        <v>47.52925234335676</v>
      </c>
      <c r="J1044" s="14">
        <v>51.550676895739677</v>
      </c>
      <c r="K1044" s="14">
        <v>56.056502873322813</v>
      </c>
      <c r="L1044" s="14">
        <v>61.094280625648921</v>
      </c>
      <c r="M1044" s="14">
        <v>66.715023148340663</v>
      </c>
      <c r="N1044" s="14">
        <v>72.883953885333071</v>
      </c>
      <c r="O1044" s="14">
        <v>79.584451340818944</v>
      </c>
      <c r="P1044" s="14">
        <v>86.752508482747146</v>
      </c>
      <c r="Q1044" s="14">
        <v>94.375571144341023</v>
      </c>
      <c r="R1044" s="14">
        <v>102.53347643098775</v>
      </c>
      <c r="S1044" s="14"/>
      <c r="T1044" s="14"/>
      <c r="U1044" s="12"/>
      <c r="V1044" s="12"/>
      <c r="W1044" s="12"/>
      <c r="X1044" s="12"/>
      <c r="Y1044" s="12"/>
      <c r="Z1044" s="12"/>
      <c r="AA1044" s="12"/>
      <c r="AB1044" s="12"/>
      <c r="AC1044" s="12"/>
      <c r="AD1044" s="12"/>
      <c r="AE1044" s="12"/>
      <c r="AF1044" s="12"/>
    </row>
    <row r="1045" spans="1:32" x14ac:dyDescent="0.35">
      <c r="A1045" t="s">
        <v>50</v>
      </c>
      <c r="B1045" s="17" t="s">
        <v>47</v>
      </c>
      <c r="C1045" s="13" t="s">
        <v>83</v>
      </c>
      <c r="D1045" s="13" t="s">
        <v>83</v>
      </c>
      <c r="E1045" s="13" t="s">
        <v>83</v>
      </c>
      <c r="F1045" s="14">
        <v>65.579824871561669</v>
      </c>
      <c r="G1045" s="14">
        <v>69.619919677140345</v>
      </c>
      <c r="H1045" s="14">
        <v>74.024940784137669</v>
      </c>
      <c r="I1045" s="14">
        <v>78.832053157572417</v>
      </c>
      <c r="J1045" s="14">
        <v>84.108999145680528</v>
      </c>
      <c r="K1045" s="14">
        <v>89.963469766417802</v>
      </c>
      <c r="L1045" s="14">
        <v>96.435360013836842</v>
      </c>
      <c r="M1045" s="14">
        <v>103.56570288339771</v>
      </c>
      <c r="N1045" s="14">
        <v>111.25777872494388</v>
      </c>
      <c r="O1045" s="14">
        <v>119.44699183570233</v>
      </c>
      <c r="P1045" s="14">
        <v>128.00008419933957</v>
      </c>
      <c r="Q1045" s="14">
        <v>136.86696035981251</v>
      </c>
      <c r="R1045" s="14">
        <v>146.13344990387671</v>
      </c>
      <c r="S1045" s="14"/>
      <c r="T1045" s="14"/>
      <c r="U1045" s="12"/>
      <c r="V1045" s="12"/>
      <c r="W1045" s="12"/>
      <c r="X1045" s="12"/>
      <c r="Y1045" s="12"/>
      <c r="Z1045" s="12"/>
      <c r="AA1045" s="12"/>
      <c r="AB1045" s="12"/>
      <c r="AC1045" s="12"/>
      <c r="AD1045" s="12"/>
      <c r="AE1045" s="12"/>
      <c r="AF1045" s="12"/>
    </row>
    <row r="1046" spans="1:32" x14ac:dyDescent="0.35">
      <c r="A1046" t="s">
        <v>50</v>
      </c>
      <c r="B1046" s="17" t="s">
        <v>84</v>
      </c>
      <c r="C1046" s="13" t="s">
        <v>85</v>
      </c>
      <c r="D1046" s="13" t="s">
        <v>85</v>
      </c>
      <c r="E1046" s="13" t="s">
        <v>85</v>
      </c>
      <c r="F1046" s="14">
        <v>6.3107330121943574</v>
      </c>
      <c r="G1046" s="14">
        <v>6.6622127968534288</v>
      </c>
      <c r="H1046" s="14">
        <v>7.0465928691788493</v>
      </c>
      <c r="I1046" s="14">
        <v>7.4508010992500271</v>
      </c>
      <c r="J1046" s="14">
        <v>7.8682612104023715</v>
      </c>
      <c r="K1046" s="14">
        <v>8.2881291180805672</v>
      </c>
      <c r="L1046" s="14">
        <v>8.7331648202966186</v>
      </c>
      <c r="M1046" s="14">
        <v>9.2195632916784245</v>
      </c>
      <c r="N1046" s="14">
        <v>9.7637838740602323</v>
      </c>
      <c r="O1046" s="14">
        <v>10.366165950036908</v>
      </c>
      <c r="P1046" s="14">
        <v>11.009167711839615</v>
      </c>
      <c r="Q1046" s="14">
        <v>11.67737526856307</v>
      </c>
      <c r="R1046" s="14">
        <v>12.370896939294031</v>
      </c>
      <c r="S1046" s="22"/>
      <c r="T1046" s="22"/>
      <c r="U1046" s="12"/>
      <c r="V1046" s="12"/>
      <c r="W1046" s="12"/>
      <c r="X1046" s="12"/>
      <c r="Y1046" s="12"/>
      <c r="Z1046" s="12"/>
      <c r="AA1046" s="12"/>
      <c r="AB1046" s="12"/>
      <c r="AC1046" s="12"/>
      <c r="AD1046" s="12"/>
      <c r="AE1046" s="12"/>
      <c r="AF1046" s="12"/>
    </row>
    <row r="1047" spans="1:32" x14ac:dyDescent="0.35">
      <c r="A1047" t="s">
        <v>50</v>
      </c>
      <c r="B1047" s="17" t="s">
        <v>84</v>
      </c>
      <c r="C1047" s="13" t="s">
        <v>86</v>
      </c>
      <c r="D1047" s="13" t="s">
        <v>86</v>
      </c>
      <c r="E1047" s="13" t="s">
        <v>86</v>
      </c>
      <c r="F1047" s="14">
        <v>17.048675003893226</v>
      </c>
      <c r="G1047" s="14">
        <v>18.090634108172488</v>
      </c>
      <c r="H1047" s="14">
        <v>19.228254059686918</v>
      </c>
      <c r="I1047" s="14">
        <v>20.445433541774211</v>
      </c>
      <c r="J1047" s="14">
        <v>21.705548166627231</v>
      </c>
      <c r="K1047" s="14">
        <v>23.031768440644807</v>
      </c>
      <c r="L1047" s="14">
        <v>24.441277433593871</v>
      </c>
      <c r="M1047" s="14">
        <v>25.97225478134218</v>
      </c>
      <c r="N1047" s="14">
        <v>27.638636001604823</v>
      </c>
      <c r="O1047" s="14">
        <v>29.444699146597962</v>
      </c>
      <c r="P1047" s="14">
        <v>31.357175179619396</v>
      </c>
      <c r="Q1047" s="14">
        <v>33.344275789546842</v>
      </c>
      <c r="R1047" s="14">
        <v>35.430639580945616</v>
      </c>
      <c r="S1047" s="22"/>
      <c r="T1047" s="22"/>
      <c r="U1047" s="12"/>
      <c r="V1047" s="12"/>
      <c r="W1047" s="12"/>
      <c r="X1047" s="12"/>
      <c r="Y1047" s="12"/>
      <c r="Z1047" s="12"/>
      <c r="AA1047" s="12"/>
      <c r="AB1047" s="12"/>
      <c r="AC1047" s="12"/>
      <c r="AD1047" s="12"/>
      <c r="AE1047" s="12"/>
      <c r="AF1047" s="12"/>
    </row>
    <row r="1048" spans="1:32" x14ac:dyDescent="0.35">
      <c r="A1048" t="s">
        <v>50</v>
      </c>
      <c r="B1048" s="17" t="s">
        <v>84</v>
      </c>
      <c r="C1048" s="40" t="s">
        <v>87</v>
      </c>
      <c r="D1048" s="40" t="s">
        <v>87</v>
      </c>
      <c r="E1048" s="40" t="s">
        <v>87</v>
      </c>
      <c r="F1048" s="42">
        <v>31.830125331172326</v>
      </c>
      <c r="G1048" s="42">
        <v>33.903260391772918</v>
      </c>
      <c r="H1048" s="42">
        <v>36.408076617517182</v>
      </c>
      <c r="I1048" s="42">
        <v>39.38526584865717</v>
      </c>
      <c r="J1048" s="42">
        <v>42.86845762908878</v>
      </c>
      <c r="K1048" s="42">
        <v>46.879376275612501</v>
      </c>
      <c r="L1048" s="42">
        <v>51.343258812682265</v>
      </c>
      <c r="M1048" s="42">
        <v>56.316076239481703</v>
      </c>
      <c r="N1048" s="42">
        <v>61.751804059095988</v>
      </c>
      <c r="O1048" s="42">
        <v>67.585725553709608</v>
      </c>
      <c r="P1048" s="42">
        <v>73.576816938087774</v>
      </c>
      <c r="Q1048" s="42">
        <v>79.629082315607917</v>
      </c>
      <c r="R1048" s="42">
        <v>85.932967548588834</v>
      </c>
      <c r="S1048" s="22"/>
      <c r="T1048" s="22"/>
      <c r="U1048" s="12"/>
      <c r="V1048" s="12"/>
      <c r="W1048" s="12"/>
      <c r="X1048" s="12"/>
      <c r="Y1048" s="12"/>
      <c r="Z1048" s="12"/>
      <c r="AA1048" s="12"/>
      <c r="AB1048" s="12"/>
      <c r="AC1048" s="12"/>
      <c r="AD1048" s="12"/>
      <c r="AE1048" s="12"/>
      <c r="AF1048" s="12"/>
    </row>
    <row r="1049" spans="1:32" x14ac:dyDescent="0.35">
      <c r="A1049" t="s">
        <v>50</v>
      </c>
      <c r="B1049" s="17" t="s">
        <v>84</v>
      </c>
      <c r="C1049" s="13" t="s">
        <v>88</v>
      </c>
      <c r="D1049" s="13" t="s">
        <v>88</v>
      </c>
      <c r="E1049" s="13" t="s">
        <v>88</v>
      </c>
      <c r="F1049" s="14">
        <v>23.789714320648805</v>
      </c>
      <c r="G1049" s="14">
        <v>25.676985504351823</v>
      </c>
      <c r="H1049" s="14">
        <v>27.61699015058981</v>
      </c>
      <c r="I1049" s="14">
        <v>29.655196927482994</v>
      </c>
      <c r="J1049" s="14">
        <v>31.880023869733744</v>
      </c>
      <c r="K1049" s="14">
        <v>34.380571310186639</v>
      </c>
      <c r="L1049" s="14">
        <v>37.226600655496739</v>
      </c>
      <c r="M1049" s="14">
        <v>40.389569265030708</v>
      </c>
      <c r="N1049" s="14">
        <v>43.79260851334039</v>
      </c>
      <c r="O1049" s="14">
        <v>47.4383873273242</v>
      </c>
      <c r="P1049" s="14">
        <v>51.383241745097301</v>
      </c>
      <c r="Q1049" s="14">
        <v>55.693274297411733</v>
      </c>
      <c r="R1049" s="14">
        <v>60.345179353306719</v>
      </c>
      <c r="S1049" s="22"/>
      <c r="T1049" s="22"/>
      <c r="U1049" s="12"/>
      <c r="V1049" s="12"/>
      <c r="W1049" s="12"/>
      <c r="X1049" s="12"/>
      <c r="Y1049" s="12"/>
      <c r="Z1049" s="12"/>
      <c r="AA1049" s="12"/>
      <c r="AB1049" s="12"/>
      <c r="AC1049" s="12"/>
      <c r="AD1049" s="12"/>
      <c r="AE1049" s="12"/>
      <c r="AF1049" s="12"/>
    </row>
    <row r="1050" spans="1:32" x14ac:dyDescent="0.35">
      <c r="A1050" t="s">
        <v>50</v>
      </c>
      <c r="B1050" s="17" t="s">
        <v>84</v>
      </c>
      <c r="C1050" s="13" t="s">
        <v>89</v>
      </c>
      <c r="D1050" s="13" t="s">
        <v>89</v>
      </c>
      <c r="E1050" s="13" t="s">
        <v>89</v>
      </c>
      <c r="F1050" s="14">
        <v>8.0884933235112157</v>
      </c>
      <c r="G1050" s="14">
        <v>8.6775091631295336</v>
      </c>
      <c r="H1050" s="14">
        <v>9.3202648787172286</v>
      </c>
      <c r="I1050" s="14">
        <v>10.003640245679355</v>
      </c>
      <c r="J1050" s="14">
        <v>10.717114407272195</v>
      </c>
      <c r="K1050" s="14">
        <v>11.476116025828139</v>
      </c>
      <c r="L1050" s="14">
        <v>12.294609300154582</v>
      </c>
      <c r="M1050" s="14">
        <v>13.208362532302958</v>
      </c>
      <c r="N1050" s="14">
        <v>14.232954410941733</v>
      </c>
      <c r="O1050" s="14">
        <v>15.347700086554536</v>
      </c>
      <c r="P1050" s="14">
        <v>16.561265038715415</v>
      </c>
      <c r="Q1050" s="14">
        <v>17.854227070397847</v>
      </c>
      <c r="R1050" s="14">
        <v>19.221351186476593</v>
      </c>
      <c r="S1050" s="22"/>
      <c r="T1050" s="22"/>
      <c r="U1050" s="12"/>
      <c r="V1050" s="12"/>
      <c r="W1050" s="12"/>
      <c r="X1050" s="12"/>
      <c r="Y1050" s="12"/>
      <c r="Z1050" s="12"/>
      <c r="AA1050" s="12"/>
      <c r="AB1050" s="12"/>
      <c r="AC1050" s="12"/>
      <c r="AD1050" s="12"/>
      <c r="AE1050" s="12"/>
      <c r="AF1050" s="12"/>
    </row>
    <row r="1051" spans="1:32" x14ac:dyDescent="0.35">
      <c r="A1051" t="s">
        <v>50</v>
      </c>
      <c r="B1051" s="17" t="s">
        <v>84</v>
      </c>
      <c r="C1051" s="13" t="s">
        <v>90</v>
      </c>
      <c r="D1051" s="13" t="s">
        <v>90</v>
      </c>
      <c r="E1051" s="13" t="s">
        <v>90</v>
      </c>
      <c r="F1051" s="14">
        <v>16.170524278216273</v>
      </c>
      <c r="G1051" s="14">
        <v>17.238768771211152</v>
      </c>
      <c r="H1051" s="14">
        <v>18.312468999844075</v>
      </c>
      <c r="I1051" s="14">
        <v>19.420967838085431</v>
      </c>
      <c r="J1051" s="14">
        <v>20.620270758295874</v>
      </c>
      <c r="K1051" s="14">
        <v>21.96401146938797</v>
      </c>
      <c r="L1051" s="14">
        <v>23.490729617261689</v>
      </c>
      <c r="M1051" s="14">
        <v>25.174899921902391</v>
      </c>
      <c r="N1051" s="14">
        <v>26.961945751233799</v>
      </c>
      <c r="O1051" s="14">
        <v>28.848765112298072</v>
      </c>
      <c r="P1051" s="14">
        <v>30.864926068727211</v>
      </c>
      <c r="Q1051" s="14">
        <v>33.044296762626125</v>
      </c>
      <c r="R1051" s="14">
        <v>35.365891726252656</v>
      </c>
      <c r="S1051" s="22"/>
      <c r="T1051" s="22"/>
      <c r="U1051" s="12"/>
      <c r="V1051" s="12"/>
      <c r="W1051" s="12"/>
      <c r="X1051" s="12"/>
      <c r="Y1051" s="12"/>
      <c r="Z1051" s="12"/>
      <c r="AA1051" s="12"/>
      <c r="AB1051" s="12"/>
      <c r="AC1051" s="12"/>
      <c r="AD1051" s="12"/>
      <c r="AE1051" s="12"/>
      <c r="AF1051" s="12"/>
    </row>
    <row r="1052" spans="1:32" x14ac:dyDescent="0.35">
      <c r="A1052" t="s">
        <v>50</v>
      </c>
      <c r="B1052" s="17" t="s">
        <v>91</v>
      </c>
      <c r="C1052" s="13" t="s">
        <v>92</v>
      </c>
      <c r="D1052" s="13" t="s">
        <v>92</v>
      </c>
      <c r="E1052" s="13" t="s">
        <v>92</v>
      </c>
      <c r="F1052" s="14">
        <v>42.460017158476489</v>
      </c>
      <c r="G1052" s="14">
        <v>45.835998844892778</v>
      </c>
      <c r="H1052" s="14">
        <v>49.5284223654252</v>
      </c>
      <c r="I1052" s="14">
        <v>53.588462756668854</v>
      </c>
      <c r="J1052" s="14">
        <v>58.062341345727845</v>
      </c>
      <c r="K1052" s="14">
        <v>63.002348769241152</v>
      </c>
      <c r="L1052" s="14">
        <v>68.458660999421525</v>
      </c>
      <c r="M1052" s="14">
        <v>74.435274680534803</v>
      </c>
      <c r="N1052" s="14">
        <v>80.932421214405892</v>
      </c>
      <c r="O1052" s="14">
        <v>87.959486358905167</v>
      </c>
      <c r="P1052" s="14">
        <v>95.52380506611992</v>
      </c>
      <c r="Q1052" s="14">
        <v>103.68746476330719</v>
      </c>
      <c r="R1052" s="14">
        <v>112.44823193724538</v>
      </c>
      <c r="S1052" s="22"/>
      <c r="T1052" s="22"/>
      <c r="U1052" s="12"/>
      <c r="V1052" s="12"/>
      <c r="W1052" s="12"/>
      <c r="X1052" s="12"/>
      <c r="Y1052" s="12"/>
      <c r="Z1052" s="12"/>
      <c r="AA1052" s="12"/>
      <c r="AB1052" s="12"/>
      <c r="AC1052" s="12"/>
      <c r="AD1052" s="12"/>
      <c r="AE1052" s="12"/>
      <c r="AF1052" s="12"/>
    </row>
    <row r="1053" spans="1:32" x14ac:dyDescent="0.35">
      <c r="A1053" t="s">
        <v>50</v>
      </c>
      <c r="B1053" s="17" t="s">
        <v>91</v>
      </c>
      <c r="C1053" s="13" t="s">
        <v>93</v>
      </c>
      <c r="D1053" s="13" t="s">
        <v>93</v>
      </c>
      <c r="E1053" s="13" t="s">
        <v>93</v>
      </c>
      <c r="F1053" s="14">
        <v>60.778248111159712</v>
      </c>
      <c r="G1053" s="14">
        <v>64.413371890598569</v>
      </c>
      <c r="H1053" s="14">
        <v>68.404225210108862</v>
      </c>
      <c r="I1053" s="14">
        <v>72.772842744260316</v>
      </c>
      <c r="J1053" s="14">
        <v>77.597334695692354</v>
      </c>
      <c r="K1053" s="14">
        <v>83.017623870499463</v>
      </c>
      <c r="L1053" s="14">
        <v>89.070979640064238</v>
      </c>
      <c r="M1053" s="14">
        <v>95.845451351203565</v>
      </c>
      <c r="N1053" s="14">
        <v>103.20931139587107</v>
      </c>
      <c r="O1053" s="14">
        <v>111.07195681761613</v>
      </c>
      <c r="P1053" s="14">
        <v>119.22878761596679</v>
      </c>
      <c r="Q1053" s="14">
        <v>127.55506674084634</v>
      </c>
      <c r="R1053" s="14">
        <v>136.21869439761906</v>
      </c>
      <c r="S1053" s="22"/>
      <c r="T1053" s="22"/>
      <c r="U1053" s="12"/>
      <c r="V1053" s="12"/>
      <c r="W1053" s="12"/>
      <c r="X1053" s="12"/>
      <c r="Y1053" s="12"/>
      <c r="Z1053" s="12"/>
      <c r="AA1053" s="12"/>
      <c r="AB1053" s="12"/>
      <c r="AC1053" s="12"/>
      <c r="AD1053" s="12"/>
      <c r="AE1053" s="12"/>
      <c r="AF1053" s="12"/>
    </row>
    <row r="1054" spans="1:32" x14ac:dyDescent="0.35">
      <c r="A1054" t="s">
        <v>50</v>
      </c>
      <c r="B1054" s="17" t="s">
        <v>94</v>
      </c>
      <c r="C1054" s="13" t="s">
        <v>95</v>
      </c>
      <c r="D1054" s="13" t="s">
        <v>95</v>
      </c>
      <c r="E1054" s="13" t="s">
        <v>95</v>
      </c>
      <c r="F1054" s="14">
        <v>3.3845857604815763</v>
      </c>
      <c r="G1054" s="14">
        <v>3.7093078426865889</v>
      </c>
      <c r="H1054" s="14">
        <v>4.069820868710476</v>
      </c>
      <c r="I1054" s="14">
        <v>4.4623203146042725</v>
      </c>
      <c r="J1054" s="14">
        <v>4.8837483374911264</v>
      </c>
      <c r="K1054" s="14">
        <v>5.3425347618400698</v>
      </c>
      <c r="L1054" s="14">
        <v>5.8470915177766321</v>
      </c>
      <c r="M1054" s="14">
        <v>6.4168406223932832</v>
      </c>
      <c r="N1054" s="14">
        <v>7.062961640733147</v>
      </c>
      <c r="O1054" s="14">
        <v>7.7794387457027829</v>
      </c>
      <c r="P1054" s="14">
        <v>8.5744309096857663</v>
      </c>
      <c r="Q1054" s="14">
        <v>9.4420900486565582</v>
      </c>
      <c r="R1054" s="14">
        <v>10.38338574321245</v>
      </c>
      <c r="S1054" s="22"/>
      <c r="T1054" s="22"/>
      <c r="U1054" s="12"/>
      <c r="V1054" s="12"/>
      <c r="W1054" s="12"/>
      <c r="X1054" s="12"/>
      <c r="Y1054" s="12"/>
      <c r="Z1054" s="12"/>
      <c r="AA1054" s="12"/>
      <c r="AB1054" s="12"/>
      <c r="AC1054" s="12"/>
      <c r="AD1054" s="12"/>
      <c r="AE1054" s="12"/>
      <c r="AF1054" s="12"/>
    </row>
    <row r="1055" spans="1:32" x14ac:dyDescent="0.35">
      <c r="A1055" t="s">
        <v>50</v>
      </c>
      <c r="B1055" s="17" t="s">
        <v>94</v>
      </c>
      <c r="C1055" s="40" t="s">
        <v>96</v>
      </c>
      <c r="D1055" s="40" t="s">
        <v>96</v>
      </c>
      <c r="E1055" s="40" t="s">
        <v>96</v>
      </c>
      <c r="F1055" s="42">
        <v>15.683156270588768</v>
      </c>
      <c r="G1055" s="42">
        <v>16.405296878413495</v>
      </c>
      <c r="H1055" s="42">
        <v>17.297922477725294</v>
      </c>
      <c r="I1055" s="42">
        <v>18.428526016008846</v>
      </c>
      <c r="J1055" s="42">
        <v>19.941972378088806</v>
      </c>
      <c r="K1055" s="42">
        <v>21.865744888518122</v>
      </c>
      <c r="L1055" s="42">
        <v>24.156188061683082</v>
      </c>
      <c r="M1055" s="42">
        <v>26.772048847355762</v>
      </c>
      <c r="N1055" s="42">
        <v>29.566502296651123</v>
      </c>
      <c r="O1055" s="42">
        <v>32.455971969458744</v>
      </c>
      <c r="P1055" s="42">
        <v>35.273413607921213</v>
      </c>
      <c r="Q1055" s="42">
        <v>38.000891217275438</v>
      </c>
      <c r="R1055" s="42">
        <v>40.750982370019074</v>
      </c>
      <c r="S1055" s="22"/>
      <c r="T1055" s="22"/>
      <c r="U1055" s="12"/>
      <c r="V1055" s="12"/>
      <c r="W1055" s="12"/>
      <c r="X1055" s="12"/>
      <c r="Y1055" s="12"/>
      <c r="Z1055" s="12"/>
      <c r="AA1055" s="12"/>
      <c r="AB1055" s="12"/>
      <c r="AC1055" s="12"/>
      <c r="AD1055" s="12"/>
      <c r="AE1055" s="12"/>
      <c r="AF1055" s="12"/>
    </row>
    <row r="1056" spans="1:32" x14ac:dyDescent="0.35">
      <c r="A1056" t="s">
        <v>50</v>
      </c>
      <c r="B1056" s="17" t="s">
        <v>94</v>
      </c>
      <c r="C1056" s="13" t="s">
        <v>97</v>
      </c>
      <c r="D1056" s="13" t="s">
        <v>97</v>
      </c>
      <c r="E1056" s="13" t="s">
        <v>97</v>
      </c>
      <c r="F1056" s="14">
        <v>7.0445299060863835</v>
      </c>
      <c r="G1056" s="14">
        <v>7.53535560861022</v>
      </c>
      <c r="H1056" s="14">
        <v>8.0697986527844705</v>
      </c>
      <c r="I1056" s="14">
        <v>8.6360945753136615</v>
      </c>
      <c r="J1056" s="14">
        <v>9.2248579708165739</v>
      </c>
      <c r="K1056" s="14">
        <v>9.8491477214640035</v>
      </c>
      <c r="L1056" s="14">
        <v>10.52061068481261</v>
      </c>
      <c r="M1056" s="14">
        <v>11.269412284858998</v>
      </c>
      <c r="N1056" s="14">
        <v>12.108135224767201</v>
      </c>
      <c r="O1056" s="14">
        <v>13.018360992457954</v>
      </c>
      <c r="P1056" s="14">
        <v>14.006776505065645</v>
      </c>
      <c r="Q1056" s="14">
        <v>15.056230419753309</v>
      </c>
      <c r="R1056" s="14">
        <v>16.161730037534898</v>
      </c>
      <c r="S1056" s="22"/>
      <c r="T1056" s="22"/>
      <c r="U1056" s="12"/>
      <c r="V1056" s="12"/>
      <c r="W1056" s="12"/>
      <c r="X1056" s="12"/>
      <c r="Y1056" s="12"/>
      <c r="Z1056" s="12"/>
      <c r="AA1056" s="12"/>
      <c r="AB1056" s="12"/>
      <c r="AC1056" s="12"/>
      <c r="AD1056" s="12"/>
      <c r="AE1056" s="12"/>
      <c r="AF1056" s="12"/>
    </row>
    <row r="1057" spans="1:32" x14ac:dyDescent="0.35">
      <c r="A1057" t="s">
        <v>50</v>
      </c>
      <c r="B1057" s="17" t="s">
        <v>94</v>
      </c>
      <c r="C1057" s="13" t="s">
        <v>98</v>
      </c>
      <c r="D1057" s="13" t="s">
        <v>98</v>
      </c>
      <c r="E1057" s="13" t="s">
        <v>98</v>
      </c>
      <c r="F1057" s="14">
        <v>33.970549646217385</v>
      </c>
      <c r="G1057" s="14">
        <v>36.604934706319384</v>
      </c>
      <c r="H1057" s="14">
        <v>39.508322303213511</v>
      </c>
      <c r="I1057" s="14">
        <v>42.658477976808264</v>
      </c>
      <c r="J1057" s="14">
        <v>45.988630178041447</v>
      </c>
      <c r="K1057" s="14">
        <v>49.55426134428464</v>
      </c>
      <c r="L1057" s="14">
        <v>53.401200040699358</v>
      </c>
      <c r="M1057" s="14">
        <v>57.623706197598317</v>
      </c>
      <c r="N1057" s="14">
        <v>62.26773996774854</v>
      </c>
      <c r="O1057" s="14">
        <v>67.359868789844469</v>
      </c>
      <c r="P1057" s="14">
        <v>72.841872189606519</v>
      </c>
      <c r="Q1057" s="14">
        <v>78.654817548234661</v>
      </c>
      <c r="R1057" s="14">
        <v>84.868763539883247</v>
      </c>
      <c r="S1057" s="22"/>
      <c r="T1057" s="22"/>
      <c r="U1057" s="12"/>
      <c r="V1057" s="12"/>
      <c r="W1057" s="12"/>
      <c r="X1057" s="12"/>
      <c r="Y1057" s="12"/>
      <c r="Z1057" s="12"/>
      <c r="AA1057" s="12"/>
      <c r="AB1057" s="12"/>
      <c r="AC1057" s="12"/>
      <c r="AD1057" s="12"/>
      <c r="AE1057" s="12"/>
      <c r="AF1057" s="12"/>
    </row>
    <row r="1058" spans="1:32" x14ac:dyDescent="0.35">
      <c r="A1058" t="s">
        <v>50</v>
      </c>
      <c r="B1058" s="17" t="s">
        <v>94</v>
      </c>
      <c r="C1058" s="13" t="s">
        <v>48</v>
      </c>
      <c r="D1058" s="13" t="s">
        <v>48</v>
      </c>
      <c r="E1058" s="13" t="s">
        <v>48</v>
      </c>
      <c r="F1058" s="14">
        <v>15.675874620658909</v>
      </c>
      <c r="G1058" s="14">
        <v>16.92188442897589</v>
      </c>
      <c r="H1058" s="14">
        <v>18.284662041843738</v>
      </c>
      <c r="I1058" s="14">
        <v>19.78309209896425</v>
      </c>
      <c r="J1058" s="14">
        <v>21.43422881454439</v>
      </c>
      <c r="K1058" s="14">
        <v>23.257365424631718</v>
      </c>
      <c r="L1058" s="14">
        <v>25.271012820439474</v>
      </c>
      <c r="M1058" s="14">
        <v>27.476633485994626</v>
      </c>
      <c r="N1058" s="14">
        <v>29.874299870051694</v>
      </c>
      <c r="O1058" s="14">
        <v>32.467463500307922</v>
      </c>
      <c r="P1058" s="14">
        <v>35.258818579294449</v>
      </c>
      <c r="Q1058" s="14">
        <v>38.271268741092911</v>
      </c>
      <c r="R1058" s="14">
        <v>41.503974573921823</v>
      </c>
      <c r="S1058" s="22"/>
      <c r="T1058" s="22"/>
      <c r="U1058" s="12"/>
      <c r="V1058" s="12"/>
      <c r="W1058" s="12"/>
      <c r="X1058" s="12"/>
      <c r="Y1058" s="12"/>
      <c r="Z1058" s="12"/>
      <c r="AA1058" s="12"/>
      <c r="AB1058" s="12"/>
      <c r="AC1058" s="12"/>
      <c r="AD1058" s="12"/>
      <c r="AE1058" s="12"/>
      <c r="AF1058" s="12"/>
    </row>
    <row r="1059" spans="1:32" x14ac:dyDescent="0.35">
      <c r="A1059" t="s">
        <v>50</v>
      </c>
      <c r="B1059" s="17" t="s">
        <v>94</v>
      </c>
      <c r="C1059" s="13" t="s">
        <v>99</v>
      </c>
      <c r="D1059" s="13" t="s">
        <v>99</v>
      </c>
      <c r="E1059" s="13" t="s">
        <v>99</v>
      </c>
      <c r="F1059" s="14">
        <v>18.404143110780062</v>
      </c>
      <c r="G1059" s="14">
        <v>19.419157965085219</v>
      </c>
      <c r="H1059" s="14">
        <v>20.416802843258381</v>
      </c>
      <c r="I1059" s="14">
        <v>21.429939294483834</v>
      </c>
      <c r="J1059" s="14">
        <v>22.519506222875755</v>
      </c>
      <c r="K1059" s="14">
        <v>23.741329591504975</v>
      </c>
      <c r="L1059" s="14">
        <v>25.132576336101518</v>
      </c>
      <c r="M1059" s="14">
        <v>26.660268049005257</v>
      </c>
      <c r="N1059" s="14">
        <v>28.26189531405009</v>
      </c>
      <c r="O1059" s="14">
        <v>29.931355070163765</v>
      </c>
      <c r="P1059" s="14">
        <v>31.69663066576193</v>
      </c>
      <c r="Q1059" s="14">
        <v>33.588924600666196</v>
      </c>
      <c r="R1059" s="14">
        <v>35.582335621374611</v>
      </c>
      <c r="S1059" s="22"/>
      <c r="T1059" s="22"/>
      <c r="U1059" s="12"/>
      <c r="V1059" s="12"/>
      <c r="W1059" s="12"/>
      <c r="X1059" s="12"/>
      <c r="Y1059" s="12"/>
      <c r="Z1059" s="12"/>
      <c r="AA1059" s="12"/>
      <c r="AB1059" s="12"/>
      <c r="AC1059" s="12"/>
      <c r="AD1059" s="12"/>
      <c r="AE1059" s="12"/>
      <c r="AF1059" s="12"/>
    </row>
    <row r="1060" spans="1:32" x14ac:dyDescent="0.35">
      <c r="A1060" t="s">
        <v>50</v>
      </c>
      <c r="B1060" s="17" t="s">
        <v>94</v>
      </c>
      <c r="C1060" s="13" t="s">
        <v>100</v>
      </c>
      <c r="D1060" s="13" t="s">
        <v>100</v>
      </c>
      <c r="E1060" s="13" t="s">
        <v>100</v>
      </c>
      <c r="F1060" s="14">
        <v>9.0754259548231104</v>
      </c>
      <c r="G1060" s="14">
        <v>9.6534333054005366</v>
      </c>
      <c r="H1060" s="14">
        <v>10.285318387998185</v>
      </c>
      <c r="I1060" s="14">
        <v>10.962855224746052</v>
      </c>
      <c r="J1060" s="14">
        <v>11.666732139562118</v>
      </c>
      <c r="K1060" s="14">
        <v>12.409588907497083</v>
      </c>
      <c r="L1060" s="14">
        <v>13.200961177973088</v>
      </c>
      <c r="M1060" s="14">
        <v>14.061816544532112</v>
      </c>
      <c r="N1060" s="14">
        <v>15.000198296275148</v>
      </c>
      <c r="O1060" s="14">
        <v>16.018984108585677</v>
      </c>
      <c r="P1060" s="14">
        <v>17.10065022475121</v>
      </c>
      <c r="Q1060" s="14">
        <v>18.228308928474458</v>
      </c>
      <c r="R1060" s="14">
        <v>19.415754448918332</v>
      </c>
      <c r="S1060" s="22"/>
      <c r="T1060" s="22"/>
      <c r="U1060" s="12"/>
      <c r="V1060" s="12"/>
      <c r="W1060" s="12"/>
      <c r="X1060" s="12"/>
      <c r="Y1060" s="12"/>
      <c r="Z1060" s="12"/>
      <c r="AA1060" s="12"/>
      <c r="AB1060" s="12"/>
      <c r="AC1060" s="12"/>
      <c r="AD1060" s="12"/>
      <c r="AE1060" s="12"/>
      <c r="AF1060" s="12"/>
    </row>
    <row r="1061" spans="1:32" x14ac:dyDescent="0.35">
      <c r="A1061" t="s">
        <v>45</v>
      </c>
      <c r="B1061" s="17" t="s">
        <v>54</v>
      </c>
      <c r="C1061" s="13" t="s">
        <v>55</v>
      </c>
      <c r="D1061" s="13" t="s">
        <v>55</v>
      </c>
      <c r="E1061" s="13" t="s">
        <v>55</v>
      </c>
      <c r="F1061" s="14">
        <v>4.8754852203552961</v>
      </c>
      <c r="G1061" s="14">
        <v>5.2957846561452548</v>
      </c>
      <c r="H1061" s="14">
        <v>5.7532875820727991</v>
      </c>
      <c r="I1061" s="14">
        <v>6.2660484833559602</v>
      </c>
      <c r="J1061" s="14">
        <v>6.8369436529205876</v>
      </c>
      <c r="K1061" s="14">
        <v>7.4684096546374352</v>
      </c>
      <c r="L1061" s="14">
        <v>8.1597028934878644</v>
      </c>
      <c r="M1061" s="14">
        <v>8.9081837139750721</v>
      </c>
      <c r="N1061" s="14">
        <v>9.7166396522864886</v>
      </c>
      <c r="O1061" s="14">
        <v>10.611263594097338</v>
      </c>
      <c r="P1061" s="14">
        <v>11.603229510836094</v>
      </c>
      <c r="Q1061" s="14">
        <v>12.689245202473893</v>
      </c>
      <c r="R1061" s="14">
        <v>13.866499695079032</v>
      </c>
      <c r="S1061" s="22"/>
      <c r="T1061" s="22"/>
      <c r="U1061" s="12"/>
      <c r="V1061" s="12"/>
      <c r="W1061" s="12"/>
      <c r="X1061" s="12"/>
      <c r="Y1061" s="12"/>
      <c r="Z1061" s="12"/>
      <c r="AA1061" s="12"/>
      <c r="AB1061" s="12"/>
      <c r="AC1061" s="12"/>
      <c r="AD1061" s="12"/>
      <c r="AE1061" s="12"/>
      <c r="AF1061" s="12"/>
    </row>
    <row r="1062" spans="1:32" x14ac:dyDescent="0.35">
      <c r="A1062" t="s">
        <v>45</v>
      </c>
      <c r="B1062" s="17" t="s">
        <v>54</v>
      </c>
      <c r="C1062" s="13" t="s">
        <v>56</v>
      </c>
      <c r="D1062" s="13" t="s">
        <v>56</v>
      </c>
      <c r="E1062" s="13" t="s">
        <v>56</v>
      </c>
      <c r="F1062" s="14">
        <v>15.575575453154329</v>
      </c>
      <c r="G1062" s="14">
        <v>16.560473815432569</v>
      </c>
      <c r="H1062" s="14">
        <v>17.640771709329524</v>
      </c>
      <c r="I1062" s="14">
        <v>18.78566097334593</v>
      </c>
      <c r="J1062" s="14">
        <v>19.979806209020364</v>
      </c>
      <c r="K1062" s="14">
        <v>21.19658000888559</v>
      </c>
      <c r="L1062" s="14">
        <v>22.4945210791786</v>
      </c>
      <c r="M1062" s="14">
        <v>23.916928683812536</v>
      </c>
      <c r="N1062" s="14">
        <v>25.509003214674589</v>
      </c>
      <c r="O1062" s="14">
        <v>27.275081135714874</v>
      </c>
      <c r="P1062" s="14">
        <v>29.172522530235852</v>
      </c>
      <c r="Q1062" s="14">
        <v>31.163066243111523</v>
      </c>
      <c r="R1062" s="14">
        <v>33.248752896343234</v>
      </c>
      <c r="S1062" s="14"/>
      <c r="T1062" s="14"/>
      <c r="U1062" s="12"/>
      <c r="V1062" s="12"/>
      <c r="W1062" s="12"/>
      <c r="X1062" s="12"/>
      <c r="Y1062" s="12"/>
      <c r="Z1062" s="12"/>
      <c r="AA1062" s="12"/>
      <c r="AB1062" s="12"/>
      <c r="AC1062" s="12"/>
      <c r="AD1062" s="12"/>
      <c r="AE1062" s="12"/>
      <c r="AF1062" s="12"/>
    </row>
    <row r="1063" spans="1:32" x14ac:dyDescent="0.35">
      <c r="A1063" t="s">
        <v>45</v>
      </c>
      <c r="B1063" s="17" t="s">
        <v>54</v>
      </c>
      <c r="C1063" s="13" t="s">
        <v>57</v>
      </c>
      <c r="D1063" s="13" t="s">
        <v>57</v>
      </c>
      <c r="E1063" s="13" t="s">
        <v>57</v>
      </c>
      <c r="F1063" s="14">
        <v>32.713647373057213</v>
      </c>
      <c r="G1063" s="14">
        <v>34.416966322233826</v>
      </c>
      <c r="H1063" s="14">
        <v>36.078974088188978</v>
      </c>
      <c r="I1063" s="14">
        <v>37.758045546422515</v>
      </c>
      <c r="J1063" s="14">
        <v>39.561343855734663</v>
      </c>
      <c r="K1063" s="14">
        <v>41.585789818813517</v>
      </c>
      <c r="L1063" s="14">
        <v>43.894479216504557</v>
      </c>
      <c r="M1063" s="14">
        <v>46.427253102872406</v>
      </c>
      <c r="N1063" s="14">
        <v>49.073213714307165</v>
      </c>
      <c r="O1063" s="14">
        <v>51.820683044071536</v>
      </c>
      <c r="P1063" s="14">
        <v>54.717126106613932</v>
      </c>
      <c r="Q1063" s="14">
        <v>57.815005259096495</v>
      </c>
      <c r="R1063" s="14">
        <v>61.067872463976173</v>
      </c>
      <c r="S1063" s="14"/>
      <c r="T1063" s="14"/>
      <c r="U1063" s="12"/>
      <c r="V1063" s="12"/>
      <c r="W1063" s="12"/>
      <c r="X1063" s="12"/>
      <c r="Y1063" s="12"/>
      <c r="Z1063" s="12"/>
      <c r="AA1063" s="12"/>
      <c r="AB1063" s="12"/>
      <c r="AC1063" s="12"/>
      <c r="AD1063" s="12"/>
      <c r="AE1063" s="12"/>
      <c r="AF1063" s="12"/>
    </row>
    <row r="1064" spans="1:32" x14ac:dyDescent="0.35">
      <c r="A1064" t="s">
        <v>45</v>
      </c>
      <c r="B1064" s="17" t="s">
        <v>59</v>
      </c>
      <c r="C1064" s="18" t="s">
        <v>60</v>
      </c>
      <c r="D1064" s="38" t="s">
        <v>61</v>
      </c>
      <c r="E1064" s="39" t="s">
        <v>62</v>
      </c>
      <c r="F1064" s="22">
        <v>1.9567555816246174</v>
      </c>
      <c r="G1064" s="22">
        <v>2.1198672095700442</v>
      </c>
      <c r="H1064" s="22">
        <v>2.300108641637912</v>
      </c>
      <c r="I1064" s="22">
        <v>2.4995085922819857</v>
      </c>
      <c r="J1064" s="22">
        <v>2.7211938480698503</v>
      </c>
      <c r="K1064" s="22">
        <v>2.9697972265853285</v>
      </c>
      <c r="L1064" s="22">
        <v>3.2480420897504656</v>
      </c>
      <c r="M1064" s="22">
        <v>3.558852225652736</v>
      </c>
      <c r="N1064" s="22">
        <v>3.9005905448760583</v>
      </c>
      <c r="O1064" s="22">
        <v>4.2725438477831146</v>
      </c>
      <c r="P1064" s="22">
        <v>4.6714208613603319</v>
      </c>
      <c r="Q1064" s="22">
        <v>5.0966363339194443</v>
      </c>
      <c r="R1064" s="22">
        <v>5.5525651196921597</v>
      </c>
      <c r="S1064" s="14"/>
      <c r="T1064" s="14"/>
      <c r="U1064" s="12"/>
      <c r="V1064" s="12"/>
      <c r="W1064" s="12"/>
      <c r="X1064" s="12"/>
      <c r="Y1064" s="12"/>
      <c r="Z1064" s="12"/>
      <c r="AA1064" s="12"/>
      <c r="AB1064" s="12"/>
      <c r="AC1064" s="12"/>
      <c r="AD1064" s="12"/>
      <c r="AE1064" s="12"/>
      <c r="AF1064" s="12"/>
    </row>
    <row r="1065" spans="1:32" x14ac:dyDescent="0.35">
      <c r="A1065" t="s">
        <v>45</v>
      </c>
      <c r="B1065" s="17" t="s">
        <v>59</v>
      </c>
      <c r="C1065" s="18" t="s">
        <v>60</v>
      </c>
      <c r="D1065" s="38" t="s">
        <v>61</v>
      </c>
      <c r="E1065" s="39" t="s">
        <v>63</v>
      </c>
      <c r="F1065" s="22">
        <v>4.207962304758694</v>
      </c>
      <c r="G1065" s="22">
        <v>4.4535314209002514</v>
      </c>
      <c r="H1065" s="22">
        <v>4.7208540616086463</v>
      </c>
      <c r="I1065" s="22">
        <v>5.0120907989438797</v>
      </c>
      <c r="J1065" s="22">
        <v>5.331318559483786</v>
      </c>
      <c r="K1065" s="22">
        <v>5.6850952758535467</v>
      </c>
      <c r="L1065" s="22">
        <v>6.0756132015055098</v>
      </c>
      <c r="M1065" s="22">
        <v>6.5051076296298662</v>
      </c>
      <c r="N1065" s="22">
        <v>6.9671320477045633</v>
      </c>
      <c r="O1065" s="22">
        <v>7.4573269349096716</v>
      </c>
      <c r="P1065" s="22">
        <v>7.9670963993657056</v>
      </c>
      <c r="Q1065" s="22">
        <v>8.493122896484417</v>
      </c>
      <c r="R1065" s="22">
        <v>9.0405624346906439</v>
      </c>
      <c r="S1065" s="14"/>
      <c r="T1065" s="14"/>
      <c r="U1065" s="12"/>
      <c r="V1065" s="12"/>
      <c r="W1065" s="12"/>
      <c r="X1065" s="12"/>
      <c r="Y1065" s="12"/>
      <c r="Z1065" s="12"/>
      <c r="AA1065" s="12"/>
      <c r="AB1065" s="12"/>
      <c r="AC1065" s="12"/>
      <c r="AD1065" s="12"/>
      <c r="AE1065" s="12"/>
      <c r="AF1065" s="12"/>
    </row>
    <row r="1066" spans="1:32" x14ac:dyDescent="0.35">
      <c r="A1066" t="s">
        <v>45</v>
      </c>
      <c r="B1066" s="17" t="s">
        <v>59</v>
      </c>
      <c r="C1066" s="18" t="s">
        <v>60</v>
      </c>
      <c r="D1066" s="38" t="s">
        <v>61</v>
      </c>
      <c r="E1066" s="39" t="s">
        <v>64</v>
      </c>
      <c r="F1066" s="22">
        <v>5.0369202536840056</v>
      </c>
      <c r="G1066" s="22">
        <v>5.3729930410481241</v>
      </c>
      <c r="H1066" s="22">
        <v>5.5939015561004002</v>
      </c>
      <c r="I1066" s="22">
        <v>5.7120939125745158</v>
      </c>
      <c r="J1066" s="22">
        <v>5.8311296744353953</v>
      </c>
      <c r="K1066" s="22">
        <v>5.9754801446598709</v>
      </c>
      <c r="L1066" s="22">
        <v>6.2286480233019219</v>
      </c>
      <c r="M1066" s="22">
        <v>6.543853583571698</v>
      </c>
      <c r="N1066" s="22">
        <v>6.8645395183705826</v>
      </c>
      <c r="O1066" s="22">
        <v>7.1705142037745944</v>
      </c>
      <c r="P1066" s="22">
        <v>7.5067174287164526</v>
      </c>
      <c r="Q1066" s="22">
        <v>7.9259825542616902</v>
      </c>
      <c r="R1066" s="22">
        <v>8.3709231256535261</v>
      </c>
      <c r="S1066" s="14"/>
      <c r="T1066" s="14"/>
      <c r="U1066" s="12"/>
      <c r="V1066" s="12"/>
      <c r="W1066" s="12"/>
      <c r="X1066" s="12"/>
      <c r="Y1066" s="12"/>
      <c r="Z1066" s="12"/>
      <c r="AA1066" s="12"/>
      <c r="AB1066" s="12"/>
      <c r="AC1066" s="12"/>
      <c r="AD1066" s="12"/>
      <c r="AE1066" s="12"/>
      <c r="AF1066" s="12"/>
    </row>
    <row r="1067" spans="1:32" x14ac:dyDescent="0.35">
      <c r="A1067" t="s">
        <v>45</v>
      </c>
      <c r="B1067" s="17" t="s">
        <v>59</v>
      </c>
      <c r="C1067" s="18" t="s">
        <v>60</v>
      </c>
      <c r="D1067" s="38" t="s">
        <v>65</v>
      </c>
      <c r="E1067" s="38" t="s">
        <v>65</v>
      </c>
      <c r="F1067" s="41">
        <v>9.60334885415201</v>
      </c>
      <c r="G1067" s="41">
        <v>10.124765861160183</v>
      </c>
      <c r="H1067" s="41">
        <v>10.676349534138168</v>
      </c>
      <c r="I1067" s="41">
        <v>11.287180796225238</v>
      </c>
      <c r="J1067" s="41">
        <v>11.955358459490554</v>
      </c>
      <c r="K1067" s="41">
        <v>12.678053943892463</v>
      </c>
      <c r="L1067" s="41">
        <v>13.446989975782689</v>
      </c>
      <c r="M1067" s="41">
        <v>14.251356284582126</v>
      </c>
      <c r="N1067" s="41">
        <v>15.089947963745937</v>
      </c>
      <c r="O1067" s="41">
        <v>15.997758830633581</v>
      </c>
      <c r="P1067" s="41">
        <v>16.982756812706093</v>
      </c>
      <c r="Q1067" s="41">
        <v>18.030331838948523</v>
      </c>
      <c r="R1067" s="41">
        <v>19.127737394820592</v>
      </c>
      <c r="S1067" s="14"/>
      <c r="T1067" s="14"/>
      <c r="U1067" s="12"/>
      <c r="V1067" s="12"/>
      <c r="W1067" s="12"/>
      <c r="X1067" s="12"/>
      <c r="Y1067" s="12"/>
      <c r="Z1067" s="12"/>
      <c r="AA1067" s="12"/>
      <c r="AB1067" s="12"/>
      <c r="AC1067" s="12"/>
      <c r="AD1067" s="12"/>
      <c r="AE1067" s="12"/>
      <c r="AF1067" s="12"/>
    </row>
    <row r="1068" spans="1:32" x14ac:dyDescent="0.35">
      <c r="A1068" t="s">
        <v>45</v>
      </c>
      <c r="B1068" s="17" t="s">
        <v>59</v>
      </c>
      <c r="C1068" s="18" t="s">
        <v>60</v>
      </c>
      <c r="D1068" s="38" t="s">
        <v>66</v>
      </c>
      <c r="E1068" s="38" t="s">
        <v>66</v>
      </c>
      <c r="F1068" s="41">
        <v>6.1896568947963004</v>
      </c>
      <c r="G1068" s="41">
        <v>6.4808957711022703</v>
      </c>
      <c r="H1068" s="41">
        <v>6.7926276766208309</v>
      </c>
      <c r="I1068" s="41">
        <v>7.1289768153939468</v>
      </c>
      <c r="J1068" s="41">
        <v>7.4927592188512238</v>
      </c>
      <c r="K1068" s="41">
        <v>7.8870576995798238</v>
      </c>
      <c r="L1068" s="41">
        <v>8.3141240919149801</v>
      </c>
      <c r="M1068" s="41">
        <v>8.770115257865406</v>
      </c>
      <c r="N1068" s="41">
        <v>9.2509692569133009</v>
      </c>
      <c r="O1068" s="41">
        <v>9.753936813920884</v>
      </c>
      <c r="P1068" s="41">
        <v>10.276168468181321</v>
      </c>
      <c r="Q1068" s="41">
        <v>10.820855629631188</v>
      </c>
      <c r="R1068" s="41">
        <v>11.383917775552574</v>
      </c>
      <c r="S1068" s="14"/>
      <c r="T1068" s="14"/>
      <c r="U1068" s="12"/>
      <c r="V1068" s="12"/>
      <c r="W1068" s="12"/>
      <c r="X1068" s="12"/>
      <c r="Y1068" s="12"/>
      <c r="Z1068" s="12"/>
      <c r="AA1068" s="12"/>
      <c r="AB1068" s="12"/>
      <c r="AC1068" s="12"/>
      <c r="AD1068" s="12"/>
      <c r="AE1068" s="12"/>
      <c r="AF1068" s="12"/>
    </row>
    <row r="1069" spans="1:32" x14ac:dyDescent="0.35">
      <c r="A1069" t="s">
        <v>45</v>
      </c>
      <c r="B1069" s="17" t="s">
        <v>59</v>
      </c>
      <c r="C1069" s="18" t="s">
        <v>60</v>
      </c>
      <c r="D1069" s="38" t="s">
        <v>67</v>
      </c>
      <c r="E1069" s="38" t="s">
        <v>67</v>
      </c>
      <c r="F1069" s="41">
        <v>3.9330691961668003</v>
      </c>
      <c r="G1069" s="41">
        <v>4.0974714978375877</v>
      </c>
      <c r="H1069" s="41">
        <v>4.2532689615976196</v>
      </c>
      <c r="I1069" s="41">
        <v>4.407540338551347</v>
      </c>
      <c r="J1069" s="41">
        <v>4.5727868762106736</v>
      </c>
      <c r="K1069" s="41">
        <v>4.7598357801888183</v>
      </c>
      <c r="L1069" s="41">
        <v>4.9752125110246412</v>
      </c>
      <c r="M1069" s="41">
        <v>5.2112061974219426</v>
      </c>
      <c r="N1069" s="41">
        <v>5.4546946343852536</v>
      </c>
      <c r="O1069" s="41">
        <v>5.7040811856650055</v>
      </c>
      <c r="P1069" s="41">
        <v>5.9643358218481008</v>
      </c>
      <c r="Q1069" s="41">
        <v>6.2407752147313147</v>
      </c>
      <c r="R1069" s="41">
        <v>6.5278249209031998</v>
      </c>
      <c r="S1069" s="22"/>
      <c r="T1069" s="22"/>
      <c r="U1069" s="12"/>
      <c r="V1069" s="12"/>
      <c r="W1069" s="12"/>
      <c r="X1069" s="12"/>
      <c r="Y1069" s="12"/>
      <c r="Z1069" s="12"/>
      <c r="AA1069" s="12"/>
      <c r="AB1069" s="12"/>
      <c r="AC1069" s="12"/>
      <c r="AD1069" s="12"/>
      <c r="AE1069" s="12"/>
      <c r="AF1069" s="12"/>
    </row>
    <row r="1070" spans="1:32" x14ac:dyDescent="0.35">
      <c r="A1070" t="s">
        <v>45</v>
      </c>
      <c r="B1070" s="17" t="s">
        <v>59</v>
      </c>
      <c r="C1070" s="18" t="s">
        <v>60</v>
      </c>
      <c r="D1070" s="38" t="s">
        <v>68</v>
      </c>
      <c r="E1070" s="38" t="s">
        <v>68</v>
      </c>
      <c r="F1070" s="41">
        <v>6.5225719229961632</v>
      </c>
      <c r="G1070" s="41">
        <v>6.9921791537020512</v>
      </c>
      <c r="H1070" s="41">
        <v>7.5079572396519962</v>
      </c>
      <c r="I1070" s="41">
        <v>8.0649135756805599</v>
      </c>
      <c r="J1070" s="41">
        <v>8.6497293923503094</v>
      </c>
      <c r="K1070" s="41">
        <v>9.2723459758336126</v>
      </c>
      <c r="L1070" s="41">
        <v>9.9406873832648373</v>
      </c>
      <c r="M1070" s="41">
        <v>10.671522096180166</v>
      </c>
      <c r="N1070" s="41">
        <v>11.472319304023646</v>
      </c>
      <c r="O1070" s="41">
        <v>12.346809738025947</v>
      </c>
      <c r="P1070" s="41">
        <v>13.283092795299712</v>
      </c>
      <c r="Q1070" s="41">
        <v>14.269367930630121</v>
      </c>
      <c r="R1070" s="41">
        <v>15.317465868206275</v>
      </c>
      <c r="S1070" s="22"/>
      <c r="T1070" s="22"/>
      <c r="U1070" s="12"/>
      <c r="V1070" s="12"/>
      <c r="W1070" s="12"/>
      <c r="X1070" s="12"/>
      <c r="Y1070" s="12"/>
      <c r="Z1070" s="12"/>
      <c r="AA1070" s="12"/>
      <c r="AB1070" s="12"/>
      <c r="AC1070" s="12"/>
      <c r="AD1070" s="12"/>
      <c r="AE1070" s="12"/>
      <c r="AF1070" s="12"/>
    </row>
    <row r="1071" spans="1:32" x14ac:dyDescent="0.35">
      <c r="A1071" t="s">
        <v>45</v>
      </c>
      <c r="B1071" s="17" t="s">
        <v>59</v>
      </c>
      <c r="C1071" s="18" t="s">
        <v>60</v>
      </c>
      <c r="D1071" s="38" t="s">
        <v>69</v>
      </c>
      <c r="E1071" s="38" t="s">
        <v>69</v>
      </c>
      <c r="F1071" s="41">
        <v>7.3405710486069378</v>
      </c>
      <c r="G1071" s="41">
        <v>7.615330054287182</v>
      </c>
      <c r="H1071" s="41">
        <v>7.9138353451405692</v>
      </c>
      <c r="I1071" s="41">
        <v>8.2273426188967527</v>
      </c>
      <c r="J1071" s="41">
        <v>8.5395417567789682</v>
      </c>
      <c r="K1071" s="41">
        <v>8.8590401231203408</v>
      </c>
      <c r="L1071" s="41">
        <v>9.1913599460248303</v>
      </c>
      <c r="M1071" s="41">
        <v>9.5493862244390382</v>
      </c>
      <c r="N1071" s="41">
        <v>9.9358835622912185</v>
      </c>
      <c r="O1071" s="41">
        <v>10.349803237488125</v>
      </c>
      <c r="P1071" s="41">
        <v>10.776887132278315</v>
      </c>
      <c r="Q1071" s="41">
        <v>11.204550227592748</v>
      </c>
      <c r="R1071" s="41">
        <v>11.640226256362572</v>
      </c>
      <c r="S1071" s="22"/>
      <c r="T1071" s="22"/>
      <c r="U1071" s="12"/>
      <c r="V1071" s="12"/>
      <c r="W1071" s="12"/>
      <c r="X1071" s="12"/>
      <c r="Y1071" s="12"/>
      <c r="Z1071" s="12"/>
      <c r="AA1071" s="12"/>
      <c r="AB1071" s="12"/>
      <c r="AC1071" s="12"/>
      <c r="AD1071" s="12"/>
      <c r="AE1071" s="12"/>
      <c r="AF1071" s="12"/>
    </row>
    <row r="1072" spans="1:32" x14ac:dyDescent="0.35">
      <c r="A1072" t="s">
        <v>45</v>
      </c>
      <c r="B1072" s="17" t="s">
        <v>59</v>
      </c>
      <c r="C1072" s="18" t="s">
        <v>70</v>
      </c>
      <c r="D1072" s="19" t="s">
        <v>71</v>
      </c>
      <c r="E1072" s="19" t="s">
        <v>71</v>
      </c>
      <c r="F1072" s="22">
        <v>1.1014369822384209</v>
      </c>
      <c r="G1072" s="22">
        <v>1.20710374107595</v>
      </c>
      <c r="H1072" s="22">
        <v>1.3250415369882127</v>
      </c>
      <c r="I1072" s="22">
        <v>1.4550549527281487</v>
      </c>
      <c r="J1072" s="22">
        <v>1.5953974825043333</v>
      </c>
      <c r="K1072" s="22">
        <v>1.7484266756062647</v>
      </c>
      <c r="L1072" s="22">
        <v>1.9163055601007666</v>
      </c>
      <c r="M1072" s="22">
        <v>2.1030641994625565</v>
      </c>
      <c r="N1072" s="22">
        <v>2.3112227527721005</v>
      </c>
      <c r="O1072" s="22">
        <v>2.542724624616115</v>
      </c>
      <c r="P1072" s="22">
        <v>2.7964125117535841</v>
      </c>
      <c r="Q1072" s="22">
        <v>3.0709881463138857</v>
      </c>
      <c r="R1072" s="22">
        <v>3.3700686662116732</v>
      </c>
      <c r="S1072" s="22"/>
      <c r="T1072" s="22"/>
      <c r="U1072" s="12"/>
      <c r="V1072" s="12"/>
      <c r="W1072" s="12"/>
      <c r="X1072" s="12"/>
      <c r="Y1072" s="12"/>
      <c r="Z1072" s="12"/>
      <c r="AA1072" s="12"/>
      <c r="AB1072" s="12"/>
      <c r="AC1072" s="12"/>
      <c r="AD1072" s="12"/>
      <c r="AE1072" s="12"/>
      <c r="AF1072" s="12"/>
    </row>
    <row r="1073" spans="1:32" x14ac:dyDescent="0.35">
      <c r="A1073" t="s">
        <v>45</v>
      </c>
      <c r="B1073" s="17" t="s">
        <v>59</v>
      </c>
      <c r="C1073" s="18" t="s">
        <v>70</v>
      </c>
      <c r="D1073" s="19" t="s">
        <v>72</v>
      </c>
      <c r="E1073" s="19" t="s">
        <v>72</v>
      </c>
      <c r="F1073" s="22">
        <v>0.83668396953344326</v>
      </c>
      <c r="G1073" s="22">
        <v>0.9262403189645374</v>
      </c>
      <c r="H1073" s="22">
        <v>1.0272350142054445</v>
      </c>
      <c r="I1073" s="22">
        <v>1.1388994813929187</v>
      </c>
      <c r="J1073" s="22">
        <v>1.2611837806358368</v>
      </c>
      <c r="K1073" s="22">
        <v>1.3932346594114582</v>
      </c>
      <c r="L1073" s="22">
        <v>1.5395761936652872</v>
      </c>
      <c r="M1073" s="22">
        <v>1.7043681923127181</v>
      </c>
      <c r="N1073" s="22">
        <v>1.8924803002731476</v>
      </c>
      <c r="O1073" s="22">
        <v>2.1064010650535563</v>
      </c>
      <c r="P1073" s="22">
        <v>2.345204978034134</v>
      </c>
      <c r="Q1073" s="22">
        <v>2.6079552894508931</v>
      </c>
      <c r="R1073" s="22">
        <v>2.8967391162607359</v>
      </c>
      <c r="S1073" s="22"/>
      <c r="T1073" s="22"/>
      <c r="U1073" s="12"/>
      <c r="V1073" s="12"/>
      <c r="W1073" s="12"/>
      <c r="X1073" s="12"/>
      <c r="Y1073" s="12"/>
      <c r="Z1073" s="12"/>
      <c r="AA1073" s="12"/>
      <c r="AB1073" s="12"/>
      <c r="AC1073" s="12"/>
      <c r="AD1073" s="12"/>
      <c r="AE1073" s="12"/>
      <c r="AF1073" s="12"/>
    </row>
    <row r="1074" spans="1:32" x14ac:dyDescent="0.35">
      <c r="A1074" t="s">
        <v>45</v>
      </c>
      <c r="B1074" s="17" t="s">
        <v>59</v>
      </c>
      <c r="C1074" s="18" t="s">
        <v>70</v>
      </c>
      <c r="D1074" s="19" t="s">
        <v>73</v>
      </c>
      <c r="E1074" s="19" t="s">
        <v>73</v>
      </c>
      <c r="F1074" s="22">
        <v>0.85859550928276707</v>
      </c>
      <c r="G1074" s="22">
        <v>0.91841419849398021</v>
      </c>
      <c r="H1074" s="22">
        <v>0.98402400645423604</v>
      </c>
      <c r="I1074" s="22">
        <v>1.0547313346925453</v>
      </c>
      <c r="J1074" s="22">
        <v>1.1287594836690737</v>
      </c>
      <c r="K1074" s="22">
        <v>1.2073823172672591</v>
      </c>
      <c r="L1074" s="22">
        <v>1.2915998246571223</v>
      </c>
      <c r="M1074" s="22">
        <v>1.3835522810410084</v>
      </c>
      <c r="N1074" s="22">
        <v>1.4841555249321474</v>
      </c>
      <c r="O1074" s="22">
        <v>1.5938335373728585</v>
      </c>
      <c r="P1074" s="22">
        <v>1.7109884787445531</v>
      </c>
      <c r="Q1074" s="22">
        <v>1.8340488637013403</v>
      </c>
      <c r="R1074" s="22">
        <v>1.9644938452662264</v>
      </c>
      <c r="S1074" s="22"/>
      <c r="T1074" s="22"/>
      <c r="U1074" s="12"/>
      <c r="V1074" s="12"/>
      <c r="W1074" s="12"/>
      <c r="X1074" s="12"/>
      <c r="Y1074" s="12"/>
      <c r="Z1074" s="12"/>
      <c r="AA1074" s="12"/>
      <c r="AB1074" s="12"/>
      <c r="AC1074" s="12"/>
      <c r="AD1074" s="12"/>
      <c r="AE1074" s="12"/>
      <c r="AF1074" s="12"/>
    </row>
    <row r="1075" spans="1:32" x14ac:dyDescent="0.35">
      <c r="A1075" t="s">
        <v>45</v>
      </c>
      <c r="B1075" s="17" t="s">
        <v>59</v>
      </c>
      <c r="C1075" s="18" t="s">
        <v>70</v>
      </c>
      <c r="D1075" s="19" t="s">
        <v>74</v>
      </c>
      <c r="E1075" s="19" t="s">
        <v>74</v>
      </c>
      <c r="F1075" s="22">
        <v>0.93990663351285952</v>
      </c>
      <c r="G1075" s="22">
        <v>1.009719426909409</v>
      </c>
      <c r="H1075" s="22">
        <v>1.0849027669818043</v>
      </c>
      <c r="I1075" s="22">
        <v>1.1686512607289552</v>
      </c>
      <c r="J1075" s="22">
        <v>1.2611837806358368</v>
      </c>
      <c r="K1075" s="22">
        <v>1.3626213963399589</v>
      </c>
      <c r="L1075" s="22">
        <v>1.4724921849536172</v>
      </c>
      <c r="M1075" s="22">
        <v>1.5899949244336824</v>
      </c>
      <c r="N1075" s="22">
        <v>1.7153245473396725</v>
      </c>
      <c r="O1075" s="22">
        <v>1.852792284065065</v>
      </c>
      <c r="P1075" s="22">
        <v>2.0038911518737748</v>
      </c>
      <c r="Q1075" s="22">
        <v>2.1675401309039608</v>
      </c>
      <c r="R1075" s="22">
        <v>2.3427757539108764</v>
      </c>
      <c r="S1075" s="22"/>
      <c r="T1075" s="22"/>
      <c r="U1075" s="12"/>
      <c r="V1075" s="12"/>
      <c r="W1075" s="12"/>
      <c r="X1075" s="12"/>
      <c r="Y1075" s="12"/>
      <c r="Z1075" s="12"/>
      <c r="AA1075" s="12"/>
      <c r="AB1075" s="12"/>
      <c r="AC1075" s="12"/>
      <c r="AD1075" s="12"/>
      <c r="AE1075" s="12"/>
      <c r="AF1075" s="12"/>
    </row>
    <row r="1076" spans="1:32" x14ac:dyDescent="0.35">
      <c r="A1076" t="s">
        <v>45</v>
      </c>
      <c r="B1076" s="17" t="s">
        <v>59</v>
      </c>
      <c r="C1076" s="18" t="s">
        <v>70</v>
      </c>
      <c r="D1076" s="19" t="s">
        <v>75</v>
      </c>
      <c r="E1076" s="19" t="s">
        <v>75</v>
      </c>
      <c r="F1076" s="22">
        <v>0.76180264329224412</v>
      </c>
      <c r="G1076" s="22">
        <v>0.8272208312611059</v>
      </c>
      <c r="H1076" s="22">
        <v>0.89929069355999069</v>
      </c>
      <c r="I1076" s="22">
        <v>0.97696502189777878</v>
      </c>
      <c r="J1076" s="22">
        <v>1.0593943757341029</v>
      </c>
      <c r="K1076" s="22">
        <v>1.1482488344702284</v>
      </c>
      <c r="L1076" s="22">
        <v>1.2451298970950031</v>
      </c>
      <c r="M1076" s="22">
        <v>1.3539204838090619</v>
      </c>
      <c r="N1076" s="22">
        <v>1.4766166591160819</v>
      </c>
      <c r="O1076" s="22">
        <v>1.6115393778494429</v>
      </c>
      <c r="P1076" s="22">
        <v>1.7599990286809983</v>
      </c>
      <c r="Q1076" s="22">
        <v>1.9203752112767101</v>
      </c>
      <c r="R1076" s="22">
        <v>2.0924847709070806</v>
      </c>
      <c r="S1076" s="22"/>
      <c r="T1076" s="22"/>
      <c r="U1076" s="12"/>
      <c r="V1076" s="12"/>
      <c r="W1076" s="12"/>
      <c r="X1076" s="12"/>
      <c r="Y1076" s="12"/>
      <c r="Z1076" s="12"/>
      <c r="AA1076" s="12"/>
      <c r="AB1076" s="12"/>
      <c r="AC1076" s="12"/>
      <c r="AD1076" s="12"/>
      <c r="AE1076" s="12"/>
      <c r="AF1076" s="12"/>
    </row>
    <row r="1077" spans="1:32" x14ac:dyDescent="0.35">
      <c r="A1077" t="s">
        <v>45</v>
      </c>
      <c r="B1077" s="17" t="s">
        <v>59</v>
      </c>
      <c r="C1077" s="18" t="s">
        <v>76</v>
      </c>
      <c r="D1077" s="19" t="s">
        <v>77</v>
      </c>
      <c r="E1077" s="19" t="s">
        <v>77</v>
      </c>
      <c r="F1077" s="22">
        <v>1.1275777330984436</v>
      </c>
      <c r="G1077" s="22">
        <v>1.2063765486396223</v>
      </c>
      <c r="H1077" s="22">
        <v>1.2861253911392159</v>
      </c>
      <c r="I1077" s="22">
        <v>1.368893364704735</v>
      </c>
      <c r="J1077" s="22">
        <v>1.4586586094459211</v>
      </c>
      <c r="K1077" s="22">
        <v>1.5592886344357968</v>
      </c>
      <c r="L1077" s="22">
        <v>1.6736344476227518</v>
      </c>
      <c r="M1077" s="22">
        <v>1.8000225598083406</v>
      </c>
      <c r="N1077" s="22">
        <v>1.9346773367443524</v>
      </c>
      <c r="O1077" s="22">
        <v>2.0774620994445852</v>
      </c>
      <c r="P1077" s="22">
        <v>2.2305903857092275</v>
      </c>
      <c r="Q1077" s="22">
        <v>2.3966176777059265</v>
      </c>
      <c r="R1077" s="22">
        <v>2.5741569719636246</v>
      </c>
      <c r="S1077" s="22"/>
      <c r="T1077" s="22"/>
      <c r="U1077" s="12"/>
      <c r="V1077" s="12"/>
      <c r="W1077" s="12"/>
      <c r="X1077" s="12"/>
      <c r="Y1077" s="12"/>
      <c r="Z1077" s="12"/>
      <c r="AA1077" s="12"/>
      <c r="AB1077" s="12"/>
      <c r="AC1077" s="12"/>
      <c r="AD1077" s="12"/>
      <c r="AE1077" s="12"/>
      <c r="AF1077" s="12"/>
    </row>
    <row r="1078" spans="1:32" x14ac:dyDescent="0.35">
      <c r="A1078" t="s">
        <v>45</v>
      </c>
      <c r="B1078" s="17" t="s">
        <v>59</v>
      </c>
      <c r="C1078" s="18" t="s">
        <v>76</v>
      </c>
      <c r="D1078" s="19" t="s">
        <v>78</v>
      </c>
      <c r="E1078" s="19" t="s">
        <v>78</v>
      </c>
      <c r="F1078" s="22">
        <v>1.0649966878510073</v>
      </c>
      <c r="G1078" s="22">
        <v>1.1246038795508</v>
      </c>
      <c r="H1078" s="22">
        <v>1.1897964558662677</v>
      </c>
      <c r="I1078" s="22">
        <v>1.258371605820126</v>
      </c>
      <c r="J1078" s="22">
        <v>1.3292213266964541</v>
      </c>
      <c r="K1078" s="22">
        <v>1.4005154880528643</v>
      </c>
      <c r="L1078" s="22">
        <v>1.4761004240259579</v>
      </c>
      <c r="M1078" s="22">
        <v>1.5587168320831533</v>
      </c>
      <c r="N1078" s="22">
        <v>1.65115295107166</v>
      </c>
      <c r="O1078" s="22">
        <v>1.7534738561669181</v>
      </c>
      <c r="P1078" s="22">
        <v>1.862720014384752</v>
      </c>
      <c r="Q1078" s="22">
        <v>1.9762888767002762</v>
      </c>
      <c r="R1078" s="22">
        <v>2.0942022030620095</v>
      </c>
      <c r="S1078" s="14"/>
      <c r="T1078" s="14"/>
      <c r="U1078" s="12"/>
      <c r="V1078" s="12"/>
      <c r="W1078" s="12"/>
      <c r="X1078" s="12"/>
      <c r="Y1078" s="12"/>
      <c r="Z1078" s="12"/>
      <c r="AA1078" s="12"/>
      <c r="AB1078" s="12"/>
      <c r="AC1078" s="12"/>
      <c r="AD1078" s="12"/>
      <c r="AE1078" s="12"/>
      <c r="AF1078" s="12"/>
    </row>
    <row r="1079" spans="1:32" x14ac:dyDescent="0.35">
      <c r="A1079" t="s">
        <v>45</v>
      </c>
      <c r="B1079" s="17" t="s">
        <v>59</v>
      </c>
      <c r="C1079" s="18" t="s">
        <v>76</v>
      </c>
      <c r="D1079" s="19" t="s">
        <v>79</v>
      </c>
      <c r="E1079" s="19" t="s">
        <v>79</v>
      </c>
      <c r="F1079" s="22">
        <v>0.60724556035254351</v>
      </c>
      <c r="G1079" s="22">
        <v>0.66146975380563289</v>
      </c>
      <c r="H1079" s="22">
        <v>0.72065718074851459</v>
      </c>
      <c r="I1079" s="22">
        <v>0.78711149750150367</v>
      </c>
      <c r="J1079" s="22">
        <v>0.86125576598684095</v>
      </c>
      <c r="K1079" s="22">
        <v>0.9434622013348557</v>
      </c>
      <c r="L1079" s="22">
        <v>1.0337052583754156</v>
      </c>
      <c r="M1079" s="22">
        <v>1.1317186825019085</v>
      </c>
      <c r="N1079" s="22">
        <v>1.2379224890460343</v>
      </c>
      <c r="O1079" s="22">
        <v>1.3557231600749398</v>
      </c>
      <c r="P1079" s="22">
        <v>1.4866466990878888</v>
      </c>
      <c r="Q1079" s="22">
        <v>1.6303825812669037</v>
      </c>
      <c r="R1079" s="22">
        <v>1.7866782496891449</v>
      </c>
      <c r="S1079" s="14"/>
      <c r="T1079" s="14"/>
      <c r="U1079" s="12"/>
      <c r="V1079" s="12"/>
      <c r="W1079" s="12"/>
      <c r="X1079" s="12"/>
      <c r="Y1079" s="12"/>
      <c r="Z1079" s="12"/>
      <c r="AA1079" s="12"/>
      <c r="AB1079" s="12"/>
      <c r="AC1079" s="12"/>
      <c r="AD1079" s="12"/>
      <c r="AE1079" s="12"/>
      <c r="AF1079" s="12"/>
    </row>
    <row r="1080" spans="1:32" x14ac:dyDescent="0.35">
      <c r="A1080" t="s">
        <v>45</v>
      </c>
      <c r="B1080" s="17" t="s">
        <v>59</v>
      </c>
      <c r="C1080" s="18" t="s">
        <v>76</v>
      </c>
      <c r="D1080" s="19" t="s">
        <v>80</v>
      </c>
      <c r="E1080" s="19" t="s">
        <v>80</v>
      </c>
      <c r="F1080" s="22">
        <v>0.50529557617998555</v>
      </c>
      <c r="G1080" s="22">
        <v>0.52861808812203637</v>
      </c>
      <c r="H1080" s="22">
        <v>0.55102039662062696</v>
      </c>
      <c r="I1080" s="22">
        <v>0.57340693551077726</v>
      </c>
      <c r="J1080" s="22">
        <v>0.59740284345908046</v>
      </c>
      <c r="K1080" s="22">
        <v>0.62444187453796551</v>
      </c>
      <c r="L1080" s="22">
        <v>0.65541728117076403</v>
      </c>
      <c r="M1080" s="22">
        <v>0.6893613848395671</v>
      </c>
      <c r="N1080" s="22">
        <v>0.72457408972539838</v>
      </c>
      <c r="O1080" s="22">
        <v>0.76085771094696864</v>
      </c>
      <c r="P1080" s="22">
        <v>0.79888706418239452</v>
      </c>
      <c r="Q1080" s="22">
        <v>0.83939455672009955</v>
      </c>
      <c r="R1080" s="22">
        <v>0.88165976461451312</v>
      </c>
      <c r="S1080" s="14"/>
      <c r="T1080" s="14"/>
      <c r="U1080" s="12"/>
      <c r="V1080" s="12"/>
      <c r="W1080" s="12"/>
      <c r="X1080" s="12"/>
      <c r="Y1080" s="12"/>
      <c r="Z1080" s="12"/>
      <c r="AA1080" s="12"/>
      <c r="AB1080" s="12"/>
      <c r="AC1080" s="12"/>
      <c r="AD1080" s="12"/>
      <c r="AE1080" s="12"/>
      <c r="AF1080" s="12"/>
    </row>
    <row r="1081" spans="1:32" x14ac:dyDescent="0.35">
      <c r="A1081" t="s">
        <v>45</v>
      </c>
      <c r="B1081" s="17" t="s">
        <v>59</v>
      </c>
      <c r="C1081" s="18" t="s">
        <v>76</v>
      </c>
      <c r="D1081" s="19" t="s">
        <v>81</v>
      </c>
      <c r="E1081" s="19" t="s">
        <v>81</v>
      </c>
      <c r="F1081" s="22">
        <v>0.57031069443958915</v>
      </c>
      <c r="G1081" s="22">
        <v>0.60642399738088515</v>
      </c>
      <c r="H1081" s="22">
        <v>0.64603692053083472</v>
      </c>
      <c r="I1081" s="22">
        <v>0.68802209959869376</v>
      </c>
      <c r="J1081" s="22">
        <v>0.73181848323737353</v>
      </c>
      <c r="K1081" s="22">
        <v>0.77645123116609061</v>
      </c>
      <c r="L1081" s="22">
        <v>0.82406489493446311</v>
      </c>
      <c r="M1081" s="22">
        <v>0.87624646102502823</v>
      </c>
      <c r="N1081" s="22">
        <v>0.93465309793708029</v>
      </c>
      <c r="O1081" s="22">
        <v>0.9994452660923705</v>
      </c>
      <c r="P1081" s="22">
        <v>1.0690621154785263</v>
      </c>
      <c r="Q1081" s="22">
        <v>1.1421027444424623</v>
      </c>
      <c r="R1081" s="22">
        <v>1.2186428176310018</v>
      </c>
      <c r="S1081" s="14"/>
      <c r="T1081" s="14"/>
      <c r="U1081" s="12"/>
      <c r="V1081" s="12"/>
      <c r="W1081" s="12"/>
      <c r="X1081" s="12"/>
      <c r="Y1081" s="12"/>
      <c r="Z1081" s="12"/>
      <c r="AA1081" s="12"/>
      <c r="AB1081" s="12"/>
      <c r="AC1081" s="12"/>
      <c r="AD1081" s="12"/>
      <c r="AE1081" s="12"/>
      <c r="AF1081" s="12"/>
    </row>
    <row r="1082" spans="1:32" x14ac:dyDescent="0.35">
      <c r="A1082" t="s">
        <v>45</v>
      </c>
      <c r="B1082" s="17" t="s">
        <v>47</v>
      </c>
      <c r="C1082" s="13" t="s">
        <v>82</v>
      </c>
      <c r="D1082" s="13" t="s">
        <v>82</v>
      </c>
      <c r="E1082" s="13" t="s">
        <v>82</v>
      </c>
      <c r="F1082" s="14">
        <v>20.451060673509623</v>
      </c>
      <c r="G1082" s="14">
        <v>21.856258471577824</v>
      </c>
      <c r="H1082" s="14">
        <v>23.394059291402321</v>
      </c>
      <c r="I1082" s="14">
        <v>25.051709456701889</v>
      </c>
      <c r="J1082" s="14">
        <v>26.816749861940952</v>
      </c>
      <c r="K1082" s="14">
        <v>28.664989663523023</v>
      </c>
      <c r="L1082" s="14">
        <v>30.654223972666465</v>
      </c>
      <c r="M1082" s="14">
        <v>32.825112397787606</v>
      </c>
      <c r="N1082" s="14">
        <v>35.225642866961081</v>
      </c>
      <c r="O1082" s="14">
        <v>37.886344729812208</v>
      </c>
      <c r="P1082" s="14">
        <v>40.775752041071947</v>
      </c>
      <c r="Q1082" s="14">
        <v>43.852311445585414</v>
      </c>
      <c r="R1082" s="14">
        <v>47.115252591422262</v>
      </c>
      <c r="S1082" s="14"/>
      <c r="T1082" s="14"/>
      <c r="U1082" s="12"/>
      <c r="V1082" s="12"/>
      <c r="W1082" s="12"/>
      <c r="X1082" s="12"/>
      <c r="Y1082" s="12"/>
      <c r="Z1082" s="12"/>
      <c r="AA1082" s="12"/>
      <c r="AB1082" s="12"/>
      <c r="AC1082" s="12"/>
      <c r="AD1082" s="12"/>
      <c r="AE1082" s="12"/>
      <c r="AF1082" s="12"/>
    </row>
    <row r="1083" spans="1:32" x14ac:dyDescent="0.35">
      <c r="A1083" t="s">
        <v>45</v>
      </c>
      <c r="B1083" s="17" t="s">
        <v>47</v>
      </c>
      <c r="C1083" s="13" t="s">
        <v>83</v>
      </c>
      <c r="D1083" s="13" t="s">
        <v>83</v>
      </c>
      <c r="E1083" s="13" t="s">
        <v>83</v>
      </c>
      <c r="F1083" s="14">
        <v>32.713647373057213</v>
      </c>
      <c r="G1083" s="14">
        <v>34.416966322233826</v>
      </c>
      <c r="H1083" s="14">
        <v>36.078974088188978</v>
      </c>
      <c r="I1083" s="14">
        <v>37.758045546422515</v>
      </c>
      <c r="J1083" s="14">
        <v>39.561343855734663</v>
      </c>
      <c r="K1083" s="14">
        <v>41.585789818813517</v>
      </c>
      <c r="L1083" s="14">
        <v>43.894479216504557</v>
      </c>
      <c r="M1083" s="14">
        <v>46.427253102872406</v>
      </c>
      <c r="N1083" s="14">
        <v>49.073213714307165</v>
      </c>
      <c r="O1083" s="14">
        <v>51.820683044071536</v>
      </c>
      <c r="P1083" s="14">
        <v>54.717126106613932</v>
      </c>
      <c r="Q1083" s="14">
        <v>57.815005259096495</v>
      </c>
      <c r="R1083" s="14">
        <v>61.067872463976173</v>
      </c>
      <c r="S1083" s="14"/>
      <c r="T1083" s="14"/>
      <c r="U1083" s="12"/>
      <c r="V1083" s="12"/>
      <c r="W1083" s="12"/>
      <c r="X1083" s="12"/>
      <c r="Y1083" s="12"/>
      <c r="Z1083" s="12"/>
      <c r="AA1083" s="12"/>
      <c r="AB1083" s="12"/>
      <c r="AC1083" s="12"/>
      <c r="AD1083" s="12"/>
      <c r="AE1083" s="12"/>
      <c r="AF1083" s="12"/>
    </row>
    <row r="1084" spans="1:32" x14ac:dyDescent="0.35">
      <c r="A1084" t="s">
        <v>45</v>
      </c>
      <c r="B1084" s="17" t="s">
        <v>84</v>
      </c>
      <c r="C1084" s="13" t="s">
        <v>85</v>
      </c>
      <c r="D1084" s="13" t="s">
        <v>85</v>
      </c>
      <c r="E1084" s="13" t="s">
        <v>85</v>
      </c>
      <c r="F1084" s="14">
        <v>3.3601448113450174</v>
      </c>
      <c r="G1084" s="14">
        <v>3.4845871899668062</v>
      </c>
      <c r="H1084" s="14">
        <v>3.6142770941388118</v>
      </c>
      <c r="I1084" s="14">
        <v>3.7586782671878933</v>
      </c>
      <c r="J1084" s="14">
        <v>3.9163075293428609</v>
      </c>
      <c r="K1084" s="14">
        <v>4.0854489291077352</v>
      </c>
      <c r="L1084" s="14">
        <v>4.2627183806147233</v>
      </c>
      <c r="M1084" s="14">
        <v>4.4441271772117172</v>
      </c>
      <c r="N1084" s="14">
        <v>4.6289247985432933</v>
      </c>
      <c r="O1084" s="14">
        <v>4.8275032104733917</v>
      </c>
      <c r="P1084" s="14">
        <v>5.0414122583774734</v>
      </c>
      <c r="Q1084" s="14">
        <v>5.2653725727302065</v>
      </c>
      <c r="R1084" s="14">
        <v>5.4949633907989242</v>
      </c>
      <c r="S1084" s="14"/>
      <c r="T1084" s="14"/>
      <c r="U1084" s="12"/>
      <c r="V1084" s="12"/>
      <c r="W1084" s="12"/>
      <c r="X1084" s="12"/>
      <c r="Y1084" s="12"/>
      <c r="Z1084" s="12"/>
      <c r="AA1084" s="12"/>
      <c r="AB1084" s="12"/>
      <c r="AC1084" s="12"/>
      <c r="AD1084" s="12"/>
      <c r="AE1084" s="12"/>
      <c r="AF1084" s="12"/>
    </row>
    <row r="1085" spans="1:32" x14ac:dyDescent="0.35">
      <c r="A1085" t="s">
        <v>45</v>
      </c>
      <c r="B1085" s="17" t="s">
        <v>84</v>
      </c>
      <c r="C1085" s="13" t="s">
        <v>86</v>
      </c>
      <c r="D1085" s="13" t="s">
        <v>86</v>
      </c>
      <c r="E1085" s="13" t="s">
        <v>86</v>
      </c>
      <c r="F1085" s="14">
        <v>10.099086310629129</v>
      </c>
      <c r="G1085" s="14">
        <v>10.51371219819363</v>
      </c>
      <c r="H1085" s="14">
        <v>10.956375241035079</v>
      </c>
      <c r="I1085" s="14">
        <v>11.433197435159668</v>
      </c>
      <c r="J1085" s="14">
        <v>11.94805686918161</v>
      </c>
      <c r="K1085" s="14">
        <v>12.505161434628693</v>
      </c>
      <c r="L1085" s="14">
        <v>13.107297716138097</v>
      </c>
      <c r="M1085" s="14">
        <v>13.747571374483288</v>
      </c>
      <c r="N1085" s="14">
        <v>14.418892403629279</v>
      </c>
      <c r="O1085" s="14">
        <v>15.116369538532886</v>
      </c>
      <c r="P1085" s="14">
        <v>15.835060358547667</v>
      </c>
      <c r="Q1085" s="14">
        <v>16.579437458745744</v>
      </c>
      <c r="R1085" s="14">
        <v>17.342724507457504</v>
      </c>
      <c r="S1085" s="14"/>
      <c r="T1085" s="14"/>
      <c r="U1085" s="12"/>
      <c r="V1085" s="12"/>
      <c r="W1085" s="12"/>
      <c r="X1085" s="12"/>
      <c r="Y1085" s="12"/>
      <c r="Z1085" s="12"/>
      <c r="AA1085" s="12"/>
      <c r="AB1085" s="12"/>
      <c r="AC1085" s="12"/>
      <c r="AD1085" s="12"/>
      <c r="AE1085" s="12"/>
      <c r="AF1085" s="12"/>
    </row>
    <row r="1086" spans="1:32" x14ac:dyDescent="0.35">
      <c r="A1086" t="s">
        <v>45</v>
      </c>
      <c r="B1086" s="17" t="s">
        <v>84</v>
      </c>
      <c r="C1086" s="40" t="s">
        <v>87</v>
      </c>
      <c r="D1086" s="40" t="s">
        <v>87</v>
      </c>
      <c r="E1086" s="40" t="s">
        <v>87</v>
      </c>
      <c r="F1086" s="42">
        <v>17.825127116138596</v>
      </c>
      <c r="G1086" s="42">
        <v>19.113497246289732</v>
      </c>
      <c r="H1086" s="42">
        <v>20.416369284422252</v>
      </c>
      <c r="I1086" s="42">
        <v>21.747211241527417</v>
      </c>
      <c r="J1086" s="42">
        <v>23.165954707468785</v>
      </c>
      <c r="K1086" s="42">
        <v>24.717306372688213</v>
      </c>
      <c r="L1086" s="42">
        <v>26.47422678892022</v>
      </c>
      <c r="M1086" s="42">
        <v>28.43402364479946</v>
      </c>
      <c r="N1086" s="42">
        <v>30.564929033841047</v>
      </c>
      <c r="O1086" s="42">
        <v>32.871453738073427</v>
      </c>
      <c r="P1086" s="42">
        <v>35.368771416486155</v>
      </c>
      <c r="Q1086" s="42">
        <v>38.066644992355847</v>
      </c>
      <c r="R1086" s="42">
        <v>40.949193434403057</v>
      </c>
      <c r="S1086" s="14"/>
      <c r="T1086" s="14"/>
      <c r="U1086" s="12"/>
      <c r="V1086" s="12"/>
      <c r="W1086" s="12"/>
      <c r="X1086" s="12"/>
      <c r="Y1086" s="12"/>
      <c r="Z1086" s="12"/>
      <c r="AA1086" s="12"/>
      <c r="AB1086" s="12"/>
      <c r="AC1086" s="12"/>
      <c r="AD1086" s="12"/>
      <c r="AE1086" s="12"/>
      <c r="AF1086" s="12"/>
    </row>
    <row r="1087" spans="1:32" x14ac:dyDescent="0.35">
      <c r="A1087" t="s">
        <v>45</v>
      </c>
      <c r="B1087" s="17" t="s">
        <v>84</v>
      </c>
      <c r="C1087" s="13" t="s">
        <v>88</v>
      </c>
      <c r="D1087" s="13" t="s">
        <v>88</v>
      </c>
      <c r="E1087" s="13" t="s">
        <v>88</v>
      </c>
      <c r="F1087" s="14">
        <v>11.764431615768592</v>
      </c>
      <c r="G1087" s="14">
        <v>12.513796361363589</v>
      </c>
      <c r="H1087" s="14">
        <v>13.263626998187327</v>
      </c>
      <c r="I1087" s="14">
        <v>14.035155399946602</v>
      </c>
      <c r="J1087" s="14">
        <v>14.868692992759337</v>
      </c>
      <c r="K1087" s="14">
        <v>15.802480809072327</v>
      </c>
      <c r="L1087" s="14">
        <v>16.863558284919971</v>
      </c>
      <c r="M1087" s="14">
        <v>18.032731996270503</v>
      </c>
      <c r="N1087" s="14">
        <v>19.270164995619076</v>
      </c>
      <c r="O1087" s="14">
        <v>20.573157732657197</v>
      </c>
      <c r="P1087" s="14">
        <v>21.962329882664328</v>
      </c>
      <c r="Q1087" s="14">
        <v>23.461175799452448</v>
      </c>
      <c r="R1087" s="14">
        <v>25.054033085561386</v>
      </c>
      <c r="S1087" s="14"/>
      <c r="T1087" s="14"/>
      <c r="U1087" s="12"/>
      <c r="V1087" s="12"/>
      <c r="W1087" s="12"/>
      <c r="X1087" s="12"/>
      <c r="Y1087" s="12"/>
      <c r="Z1087" s="12"/>
      <c r="AA1087" s="12"/>
      <c r="AB1087" s="12"/>
      <c r="AC1087" s="12"/>
      <c r="AD1087" s="12"/>
      <c r="AE1087" s="12"/>
      <c r="AF1087" s="12"/>
    </row>
    <row r="1088" spans="1:32" x14ac:dyDescent="0.35">
      <c r="A1088" t="s">
        <v>45</v>
      </c>
      <c r="B1088" s="17" t="s">
        <v>84</v>
      </c>
      <c r="C1088" s="13" t="s">
        <v>89</v>
      </c>
      <c r="D1088" s="13" t="s">
        <v>89</v>
      </c>
      <c r="E1088" s="13" t="s">
        <v>89</v>
      </c>
      <c r="F1088" s="14">
        <v>3.248607854234673</v>
      </c>
      <c r="G1088" s="14">
        <v>3.4260143237587704</v>
      </c>
      <c r="H1088" s="14">
        <v>3.6137370459241689</v>
      </c>
      <c r="I1088" s="14">
        <v>3.8216286935892896</v>
      </c>
      <c r="J1088" s="14">
        <v>4.0490637167782122</v>
      </c>
      <c r="K1088" s="14">
        <v>4.2951017157095066</v>
      </c>
      <c r="L1088" s="14">
        <v>4.5569552477642583</v>
      </c>
      <c r="M1088" s="14">
        <v>4.8309751763179509</v>
      </c>
      <c r="N1088" s="14">
        <v>5.1167640997218884</v>
      </c>
      <c r="O1088" s="14">
        <v>5.426198568779955</v>
      </c>
      <c r="P1088" s="14">
        <v>5.7620024779241854</v>
      </c>
      <c r="Q1088" s="14">
        <v>6.1192425664910086</v>
      </c>
      <c r="R1088" s="14">
        <v>6.4936121950248795</v>
      </c>
      <c r="S1088" s="14"/>
      <c r="T1088" s="14"/>
      <c r="U1088" s="12"/>
      <c r="V1088" s="12"/>
      <c r="W1088" s="12"/>
      <c r="X1088" s="12"/>
      <c r="Y1088" s="12"/>
      <c r="Z1088" s="12"/>
      <c r="AA1088" s="12"/>
      <c r="AB1088" s="12"/>
      <c r="AC1088" s="12"/>
      <c r="AD1088" s="12"/>
      <c r="AE1088" s="12"/>
      <c r="AF1088" s="12"/>
    </row>
    <row r="1089" spans="1:32" x14ac:dyDescent="0.35">
      <c r="A1089" t="s">
        <v>45</v>
      </c>
      <c r="B1089" s="17" t="s">
        <v>84</v>
      </c>
      <c r="C1089" s="13" t="s">
        <v>90</v>
      </c>
      <c r="D1089" s="13" t="s">
        <v>90</v>
      </c>
      <c r="E1089" s="13" t="s">
        <v>90</v>
      </c>
      <c r="F1089" s="14">
        <v>6.8673103384508272</v>
      </c>
      <c r="G1089" s="14">
        <v>7.2216174742391201</v>
      </c>
      <c r="H1089" s="14">
        <v>7.6086477158836656</v>
      </c>
      <c r="I1089" s="14">
        <v>8.0138839657135392</v>
      </c>
      <c r="J1089" s="14">
        <v>8.4300179021448027</v>
      </c>
      <c r="K1089" s="14">
        <v>8.8452802211300696</v>
      </c>
      <c r="L1089" s="14">
        <v>9.2839467708137526</v>
      </c>
      <c r="M1089" s="14">
        <v>9.7629361315770851</v>
      </c>
      <c r="N1089" s="14">
        <v>10.299181249913651</v>
      </c>
      <c r="O1089" s="14">
        <v>10.892344985366879</v>
      </c>
      <c r="P1089" s="14">
        <v>11.523301753686065</v>
      </c>
      <c r="Q1089" s="14">
        <v>12.175443314906651</v>
      </c>
      <c r="R1089" s="14">
        <v>12.84859844215269</v>
      </c>
      <c r="S1089" s="14"/>
      <c r="T1089" s="14"/>
      <c r="U1089" s="12"/>
      <c r="V1089" s="12"/>
      <c r="W1089" s="12"/>
      <c r="X1089" s="12"/>
      <c r="Y1089" s="12"/>
      <c r="Z1089" s="12"/>
      <c r="AA1089" s="12"/>
      <c r="AB1089" s="12"/>
      <c r="AC1089" s="12"/>
      <c r="AD1089" s="12"/>
      <c r="AE1089" s="12"/>
      <c r="AF1089" s="12"/>
    </row>
    <row r="1090" spans="1:32" x14ac:dyDescent="0.35">
      <c r="A1090" t="s">
        <v>45</v>
      </c>
      <c r="B1090" s="17" t="s">
        <v>91</v>
      </c>
      <c r="C1090" s="13" t="s">
        <v>92</v>
      </c>
      <c r="D1090" s="13" t="s">
        <v>92</v>
      </c>
      <c r="E1090" s="13" t="s">
        <v>92</v>
      </c>
      <c r="F1090" s="14">
        <v>22.415012508811582</v>
      </c>
      <c r="G1090" s="14">
        <v>23.91958929521012</v>
      </c>
      <c r="H1090" s="14">
        <v>25.555058208998197</v>
      </c>
      <c r="I1090" s="14">
        <v>27.283183759488235</v>
      </c>
      <c r="J1090" s="14">
        <v>29.073605048341918</v>
      </c>
      <c r="K1090" s="14">
        <v>30.966983461327466</v>
      </c>
      <c r="L1090" s="14">
        <v>32.999149022704039</v>
      </c>
      <c r="M1090" s="14">
        <v>35.263670092130099</v>
      </c>
      <c r="N1090" s="14">
        <v>37.798197723156633</v>
      </c>
      <c r="O1090" s="14">
        <v>40.543239678811943</v>
      </c>
      <c r="P1090" s="14">
        <v>43.51804394864434</v>
      </c>
      <c r="Q1090" s="14">
        <v>46.667602333189308</v>
      </c>
      <c r="R1090" s="14">
        <v>49.975104256552299</v>
      </c>
      <c r="S1090" s="14"/>
      <c r="T1090" s="14"/>
      <c r="U1090" s="12"/>
      <c r="V1090" s="12"/>
      <c r="W1090" s="12"/>
      <c r="X1090" s="12"/>
      <c r="Y1090" s="12"/>
      <c r="Z1090" s="12"/>
      <c r="AA1090" s="12"/>
      <c r="AB1090" s="12"/>
      <c r="AC1090" s="12"/>
      <c r="AD1090" s="12"/>
      <c r="AE1090" s="12"/>
      <c r="AF1090" s="12"/>
    </row>
    <row r="1091" spans="1:32" x14ac:dyDescent="0.35">
      <c r="A1091" t="s">
        <v>45</v>
      </c>
      <c r="B1091" s="17" t="s">
        <v>91</v>
      </c>
      <c r="C1091" s="13" t="s">
        <v>93</v>
      </c>
      <c r="D1091" s="13" t="s">
        <v>93</v>
      </c>
      <c r="E1091" s="13" t="s">
        <v>93</v>
      </c>
      <c r="F1091" s="14">
        <v>30.749695537755255</v>
      </c>
      <c r="G1091" s="14">
        <v>32.353635498601534</v>
      </c>
      <c r="H1091" s="14">
        <v>33.917975170593103</v>
      </c>
      <c r="I1091" s="14">
        <v>35.52657124363617</v>
      </c>
      <c r="J1091" s="14">
        <v>37.304488669333693</v>
      </c>
      <c r="K1091" s="14">
        <v>39.283796021009074</v>
      </c>
      <c r="L1091" s="14">
        <v>41.549554166466983</v>
      </c>
      <c r="M1091" s="14">
        <v>43.988695408529907</v>
      </c>
      <c r="N1091" s="14">
        <v>46.500658858111606</v>
      </c>
      <c r="O1091" s="14">
        <v>49.163788095071794</v>
      </c>
      <c r="P1091" s="14">
        <v>51.974834199041531</v>
      </c>
      <c r="Q1091" s="14">
        <v>54.999714371492601</v>
      </c>
      <c r="R1091" s="14">
        <v>58.208020798846135</v>
      </c>
      <c r="S1091" s="14"/>
      <c r="T1091" s="14"/>
      <c r="U1091" s="12"/>
      <c r="V1091" s="12"/>
      <c r="W1091" s="12"/>
      <c r="X1091" s="12"/>
      <c r="Y1091" s="12"/>
      <c r="Z1091" s="12"/>
      <c r="AA1091" s="12"/>
      <c r="AB1091" s="12"/>
      <c r="AC1091" s="12"/>
      <c r="AD1091" s="12"/>
      <c r="AE1091" s="12"/>
      <c r="AF1091" s="12"/>
    </row>
    <row r="1092" spans="1:32" x14ac:dyDescent="0.35">
      <c r="A1092" t="s">
        <v>45</v>
      </c>
      <c r="B1092" s="17" t="s">
        <v>94</v>
      </c>
      <c r="C1092" s="13" t="s">
        <v>95</v>
      </c>
      <c r="D1092" s="13" t="s">
        <v>95</v>
      </c>
      <c r="E1092" s="13" t="s">
        <v>95</v>
      </c>
      <c r="F1092" s="14">
        <v>5.2744284205049272</v>
      </c>
      <c r="G1092" s="14">
        <v>5.6891085375740467</v>
      </c>
      <c r="H1092" s="14">
        <v>6.1464480868821312</v>
      </c>
      <c r="I1092" s="14">
        <v>6.6431164669505947</v>
      </c>
      <c r="J1092" s="14">
        <v>7.1688341215089659</v>
      </c>
      <c r="K1092" s="14">
        <v>7.7323379103948486</v>
      </c>
      <c r="L1092" s="14">
        <v>8.3408931101847958</v>
      </c>
      <c r="M1092" s="14">
        <v>9.0093585583668361</v>
      </c>
      <c r="N1092" s="14">
        <v>9.7451005742658428</v>
      </c>
      <c r="O1092" s="14">
        <v>10.552479615180893</v>
      </c>
      <c r="P1092" s="14">
        <v>11.422590626445468</v>
      </c>
      <c r="Q1092" s="14">
        <v>12.346381550606116</v>
      </c>
      <c r="R1092" s="14">
        <v>13.335012085246763</v>
      </c>
      <c r="S1092" s="14"/>
      <c r="T1092" s="14"/>
      <c r="U1092" s="12"/>
      <c r="V1092" s="12"/>
      <c r="W1092" s="12"/>
      <c r="X1092" s="12"/>
      <c r="Y1092" s="12"/>
      <c r="Z1092" s="12"/>
      <c r="AA1092" s="12"/>
      <c r="AB1092" s="12"/>
      <c r="AC1092" s="12"/>
      <c r="AD1092" s="12"/>
      <c r="AE1092" s="12"/>
      <c r="AF1092" s="12"/>
    </row>
    <row r="1093" spans="1:32" x14ac:dyDescent="0.35">
      <c r="A1093" t="s">
        <v>45</v>
      </c>
      <c r="B1093" s="17" t="s">
        <v>94</v>
      </c>
      <c r="C1093" s="40" t="s">
        <v>96</v>
      </c>
      <c r="D1093" s="40" t="s">
        <v>96</v>
      </c>
      <c r="E1093" s="40" t="s">
        <v>96</v>
      </c>
      <c r="F1093" s="42">
        <v>7.7460256950992914</v>
      </c>
      <c r="G1093" s="42">
        <v>8.3724052773442494</v>
      </c>
      <c r="H1093" s="42">
        <v>8.8967888187206796</v>
      </c>
      <c r="I1093" s="42">
        <v>9.3681507651491813</v>
      </c>
      <c r="J1093" s="42">
        <v>9.8903359639336657</v>
      </c>
      <c r="K1093" s="42">
        <v>10.494752425734127</v>
      </c>
      <c r="L1093" s="42">
        <v>11.254409943335617</v>
      </c>
      <c r="M1093" s="42">
        <v>12.090287324386182</v>
      </c>
      <c r="N1093" s="42">
        <v>12.939149492342338</v>
      </c>
      <c r="O1093" s="42">
        <v>13.839828444283597</v>
      </c>
      <c r="P1093" s="42">
        <v>14.852258479575269</v>
      </c>
      <c r="Q1093" s="42">
        <v>16.052497681276819</v>
      </c>
      <c r="R1093" s="42">
        <v>17.385448862211632</v>
      </c>
      <c r="S1093" s="22"/>
      <c r="T1093" s="22"/>
      <c r="U1093" s="12"/>
      <c r="V1093" s="12"/>
      <c r="W1093" s="12"/>
      <c r="X1093" s="12"/>
      <c r="Y1093" s="12"/>
      <c r="Z1093" s="12"/>
      <c r="AA1093" s="12"/>
      <c r="AB1093" s="12"/>
      <c r="AC1093" s="12"/>
      <c r="AD1093" s="12"/>
      <c r="AE1093" s="12"/>
      <c r="AF1093" s="12"/>
    </row>
    <row r="1094" spans="1:32" x14ac:dyDescent="0.35">
      <c r="A1094" t="s">
        <v>45</v>
      </c>
      <c r="B1094" s="17" t="s">
        <v>94</v>
      </c>
      <c r="C1094" s="13" t="s">
        <v>97</v>
      </c>
      <c r="D1094" s="13" t="s">
        <v>97</v>
      </c>
      <c r="E1094" s="13" t="s">
        <v>97</v>
      </c>
      <c r="F1094" s="14">
        <v>6.2745339179649058</v>
      </c>
      <c r="G1094" s="14">
        <v>6.5977235157257113</v>
      </c>
      <c r="H1094" s="14">
        <v>6.9507554569195849</v>
      </c>
      <c r="I1094" s="14">
        <v>7.32036056364029</v>
      </c>
      <c r="J1094" s="14">
        <v>7.6998588712503713</v>
      </c>
      <c r="K1094" s="14">
        <v>8.0784979748539119</v>
      </c>
      <c r="L1094" s="14">
        <v>8.4784494174177283</v>
      </c>
      <c r="M1094" s="14">
        <v>8.9151586125031415</v>
      </c>
      <c r="N1094" s="14">
        <v>9.4040790831523733</v>
      </c>
      <c r="O1094" s="14">
        <v>9.9448902190243125</v>
      </c>
      <c r="P1094" s="14">
        <v>10.520117363082944</v>
      </c>
      <c r="Q1094" s="14">
        <v>11.114589671913691</v>
      </c>
      <c r="R1094" s="14">
        <v>11.728146027188677</v>
      </c>
      <c r="S1094" s="22"/>
      <c r="T1094" s="22"/>
      <c r="U1094" s="12"/>
      <c r="V1094" s="12"/>
      <c r="W1094" s="12"/>
      <c r="X1094" s="12"/>
      <c r="Y1094" s="12"/>
      <c r="Z1094" s="12"/>
      <c r="AA1094" s="12"/>
      <c r="AB1094" s="12"/>
      <c r="AC1094" s="12"/>
      <c r="AD1094" s="12"/>
      <c r="AE1094" s="12"/>
      <c r="AF1094" s="12"/>
    </row>
    <row r="1095" spans="1:32" x14ac:dyDescent="0.35">
      <c r="A1095" t="s">
        <v>45</v>
      </c>
      <c r="B1095" s="17" t="s">
        <v>94</v>
      </c>
      <c r="C1095" s="13" t="s">
        <v>98</v>
      </c>
      <c r="D1095" s="13" t="s">
        <v>98</v>
      </c>
      <c r="E1095" s="13" t="s">
        <v>98</v>
      </c>
      <c r="F1095" s="14">
        <v>15.453644084612554</v>
      </c>
      <c r="G1095" s="14">
        <v>16.243685076429024</v>
      </c>
      <c r="H1095" s="14">
        <v>17.101188364475753</v>
      </c>
      <c r="I1095" s="14">
        <v>18.032461186985561</v>
      </c>
      <c r="J1095" s="14">
        <v>19.050512896972897</v>
      </c>
      <c r="K1095" s="14">
        <v>20.176841727632414</v>
      </c>
      <c r="L1095" s="14">
        <v>21.416842111814322</v>
      </c>
      <c r="M1095" s="14">
        <v>22.775882405828771</v>
      </c>
      <c r="N1095" s="14">
        <v>24.22875475669256</v>
      </c>
      <c r="O1095" s="14">
        <v>25.758153255876866</v>
      </c>
      <c r="P1095" s="14">
        <v>27.332576100051995</v>
      </c>
      <c r="Q1095" s="14">
        <v>28.939456823530097</v>
      </c>
      <c r="R1095" s="14">
        <v>30.59542696073834</v>
      </c>
      <c r="S1095" s="22"/>
      <c r="T1095" s="22"/>
      <c r="U1095" s="12"/>
      <c r="V1095" s="12"/>
      <c r="W1095" s="12"/>
      <c r="X1095" s="12"/>
      <c r="Y1095" s="12"/>
      <c r="Z1095" s="12"/>
      <c r="AA1095" s="12"/>
      <c r="AB1095" s="12"/>
      <c r="AC1095" s="12"/>
      <c r="AD1095" s="12"/>
      <c r="AE1095" s="12"/>
      <c r="AF1095" s="12"/>
    </row>
    <row r="1096" spans="1:32" x14ac:dyDescent="0.35">
      <c r="A1096" t="s">
        <v>45</v>
      </c>
      <c r="B1096" s="17" t="s">
        <v>94</v>
      </c>
      <c r="C1096" s="13" t="s">
        <v>48</v>
      </c>
      <c r="D1096" s="13" t="s">
        <v>48</v>
      </c>
      <c r="E1096" s="13" t="s">
        <v>48</v>
      </c>
      <c r="F1096" s="14">
        <v>9.2166729266699452</v>
      </c>
      <c r="G1096" s="14">
        <v>9.8065559537782381</v>
      </c>
      <c r="H1096" s="14">
        <v>10.446450711018612</v>
      </c>
      <c r="I1096" s="14">
        <v>11.120264871192036</v>
      </c>
      <c r="J1096" s="14">
        <v>11.815300681746258</v>
      </c>
      <c r="K1096" s="14">
        <v>12.547869783659136</v>
      </c>
      <c r="L1096" s="14">
        <v>13.332133373315836</v>
      </c>
      <c r="M1096" s="14">
        <v>14.205411195494777</v>
      </c>
      <c r="N1096" s="14">
        <v>15.182057813599627</v>
      </c>
      <c r="O1096" s="14">
        <v>16.237237121242984</v>
      </c>
      <c r="P1096" s="14">
        <v>17.377931145781083</v>
      </c>
      <c r="Q1096" s="14">
        <v>18.581382969649034</v>
      </c>
      <c r="R1096" s="14">
        <v>19.840303841790043</v>
      </c>
      <c r="S1096" s="22"/>
      <c r="T1096" s="22"/>
      <c r="U1096" s="12"/>
      <c r="V1096" s="12"/>
      <c r="W1096" s="12"/>
      <c r="X1096" s="12"/>
      <c r="Y1096" s="12"/>
      <c r="Z1096" s="12"/>
      <c r="AA1096" s="12"/>
      <c r="AB1096" s="12"/>
      <c r="AC1096" s="12"/>
      <c r="AD1096" s="12"/>
      <c r="AE1096" s="12"/>
      <c r="AF1096" s="12"/>
    </row>
    <row r="1097" spans="1:32" x14ac:dyDescent="0.35">
      <c r="A1097" t="s">
        <v>45</v>
      </c>
      <c r="B1097" s="17" t="s">
        <v>94</v>
      </c>
      <c r="C1097" s="13" t="s">
        <v>99</v>
      </c>
      <c r="D1097" s="13" t="s">
        <v>99</v>
      </c>
      <c r="E1097" s="13" t="s">
        <v>99</v>
      </c>
      <c r="F1097" s="14">
        <v>3.1462895354809186</v>
      </c>
      <c r="G1097" s="14">
        <v>3.2612410294070253</v>
      </c>
      <c r="H1097" s="14">
        <v>3.3680740739192294</v>
      </c>
      <c r="I1097" s="14">
        <v>3.4725073419142523</v>
      </c>
      <c r="J1097" s="14">
        <v>3.584417060754483</v>
      </c>
      <c r="K1097" s="14">
        <v>3.7121669942221898</v>
      </c>
      <c r="L1097" s="14">
        <v>3.8605955600662294</v>
      </c>
      <c r="M1097" s="14">
        <v>4.0233947988372636</v>
      </c>
      <c r="N1097" s="14">
        <v>4.1902030532597871</v>
      </c>
      <c r="O1097" s="14">
        <v>4.3597185092737156</v>
      </c>
      <c r="P1097" s="14">
        <v>4.5356837741878957</v>
      </c>
      <c r="Q1097" s="14">
        <v>4.722029175910504</v>
      </c>
      <c r="R1097" s="14">
        <v>4.914364095721286</v>
      </c>
      <c r="S1097" s="22"/>
      <c r="T1097" s="22"/>
      <c r="U1097" s="12"/>
      <c r="V1097" s="12"/>
      <c r="W1097" s="12"/>
      <c r="X1097" s="12"/>
      <c r="Y1097" s="12"/>
      <c r="Z1097" s="12"/>
      <c r="AA1097" s="12"/>
      <c r="AB1097" s="12"/>
      <c r="AC1097" s="12"/>
      <c r="AD1097" s="12"/>
      <c r="AE1097" s="12"/>
      <c r="AF1097" s="12"/>
    </row>
    <row r="1098" spans="1:32" x14ac:dyDescent="0.35">
      <c r="A1098" t="s">
        <v>45</v>
      </c>
      <c r="B1098" s="17" t="s">
        <v>94</v>
      </c>
      <c r="C1098" s="13" t="s">
        <v>100</v>
      </c>
      <c r="D1098" s="13" t="s">
        <v>100</v>
      </c>
      <c r="E1098" s="13" t="s">
        <v>100</v>
      </c>
      <c r="F1098" s="14">
        <v>6.0531134662342918</v>
      </c>
      <c r="G1098" s="14">
        <v>6.3025054035533561</v>
      </c>
      <c r="H1098" s="14">
        <v>6.5633278676553104</v>
      </c>
      <c r="I1098" s="14">
        <v>6.8528938072924985</v>
      </c>
      <c r="J1098" s="14">
        <v>7.1688341215089721</v>
      </c>
      <c r="K1098" s="14">
        <v>7.5083126658399184</v>
      </c>
      <c r="L1098" s="14">
        <v>7.8653796730364949</v>
      </c>
      <c r="M1098" s="14">
        <v>8.2328726052430437</v>
      </c>
      <c r="N1098" s="14">
        <v>8.6095118079557178</v>
      </c>
      <c r="O1098" s="14">
        <v>9.0147206090013796</v>
      </c>
      <c r="P1098" s="14">
        <v>9.4517206585612019</v>
      </c>
      <c r="Q1098" s="14">
        <v>9.910978831795628</v>
      </c>
      <c r="R1098" s="14">
        <v>10.38442318250169</v>
      </c>
      <c r="S1098" s="22"/>
      <c r="T1098" s="22"/>
      <c r="U1098" s="12"/>
      <c r="V1098" s="12"/>
      <c r="W1098" s="12"/>
      <c r="X1098" s="12"/>
      <c r="Y1098" s="12"/>
      <c r="Z1098" s="12"/>
      <c r="AA1098" s="12"/>
      <c r="AB1098" s="12"/>
      <c r="AC1098" s="12"/>
      <c r="AD1098" s="12"/>
      <c r="AE1098" s="12"/>
      <c r="AF1098" s="12"/>
    </row>
    <row r="1099" spans="1:32" x14ac:dyDescent="0.35">
      <c r="A1099" t="s">
        <v>51</v>
      </c>
      <c r="B1099" s="17" t="s">
        <v>54</v>
      </c>
      <c r="C1099" s="13" t="s">
        <v>55</v>
      </c>
      <c r="D1099" s="13" t="s">
        <v>55</v>
      </c>
      <c r="E1099" s="13" t="s">
        <v>55</v>
      </c>
      <c r="F1099" s="14">
        <v>7.1597377988502933</v>
      </c>
      <c r="G1099" s="14">
        <v>7.8104066872572755</v>
      </c>
      <c r="H1099" s="14">
        <v>8.5332249741700217</v>
      </c>
      <c r="I1099" s="14">
        <v>9.3371589097637315</v>
      </c>
      <c r="J1099" s="14">
        <v>10.235507551454036</v>
      </c>
      <c r="K1099" s="14">
        <v>11.247582983099308</v>
      </c>
      <c r="L1099" s="14">
        <v>12.385975651170003</v>
      </c>
      <c r="M1099" s="14">
        <v>13.664359501969418</v>
      </c>
      <c r="N1099" s="14">
        <v>15.079242954600234</v>
      </c>
      <c r="O1099" s="14">
        <v>16.630578446549858</v>
      </c>
      <c r="P1099" s="14">
        <v>18.30825242568854</v>
      </c>
      <c r="Q1099" s="14">
        <v>20.112449006227457</v>
      </c>
      <c r="R1099" s="14">
        <v>22.062903432419215</v>
      </c>
      <c r="S1099" s="22"/>
      <c r="T1099" s="22"/>
      <c r="U1099" s="12"/>
      <c r="V1099" s="12"/>
      <c r="W1099" s="12"/>
      <c r="X1099" s="12"/>
      <c r="Y1099" s="12"/>
      <c r="Z1099" s="12"/>
      <c r="AA1099" s="12"/>
      <c r="AB1099" s="12"/>
      <c r="AC1099" s="12"/>
      <c r="AD1099" s="12"/>
      <c r="AE1099" s="12"/>
      <c r="AF1099" s="12"/>
    </row>
    <row r="1100" spans="1:32" x14ac:dyDescent="0.35">
      <c r="A1100" t="s">
        <v>51</v>
      </c>
      <c r="B1100" s="17" t="s">
        <v>54</v>
      </c>
      <c r="C1100" s="13" t="s">
        <v>56</v>
      </c>
      <c r="D1100" s="13" t="s">
        <v>56</v>
      </c>
      <c r="E1100" s="13" t="s">
        <v>56</v>
      </c>
      <c r="F1100" s="14">
        <v>22.947476249363991</v>
      </c>
      <c r="G1100" s="14">
        <v>24.615501150647546</v>
      </c>
      <c r="H1100" s="14">
        <v>26.448286868334041</v>
      </c>
      <c r="I1100" s="14">
        <v>28.428568196168968</v>
      </c>
      <c r="J1100" s="14">
        <v>30.509685970680309</v>
      </c>
      <c r="K1100" s="14">
        <v>32.726904671469804</v>
      </c>
      <c r="L1100" s="14">
        <v>35.108460069443787</v>
      </c>
      <c r="M1100" s="14">
        <v>37.713897633726823</v>
      </c>
      <c r="N1100" s="14">
        <v>40.57005213524554</v>
      </c>
      <c r="O1100" s="14">
        <v>43.690606935497094</v>
      </c>
      <c r="P1100" s="14">
        <v>47.03396731913967</v>
      </c>
      <c r="Q1100" s="14">
        <v>50.558786066575692</v>
      </c>
      <c r="R1100" s="14">
        <v>54.307339349048647</v>
      </c>
      <c r="S1100" s="22"/>
      <c r="T1100" s="22"/>
      <c r="U1100" s="12"/>
      <c r="V1100" s="12"/>
      <c r="W1100" s="12"/>
      <c r="X1100" s="12"/>
      <c r="Y1100" s="12"/>
      <c r="Z1100" s="12"/>
      <c r="AA1100" s="12"/>
      <c r="AB1100" s="12"/>
      <c r="AC1100" s="12"/>
      <c r="AD1100" s="12"/>
      <c r="AE1100" s="12"/>
      <c r="AF1100" s="12"/>
    </row>
    <row r="1101" spans="1:32" x14ac:dyDescent="0.35">
      <c r="A1101" t="s">
        <v>51</v>
      </c>
      <c r="B1101" s="17" t="s">
        <v>54</v>
      </c>
      <c r="C1101" s="13" t="s">
        <v>57</v>
      </c>
      <c r="D1101" s="13" t="s">
        <v>57</v>
      </c>
      <c r="E1101" s="13" t="s">
        <v>57</v>
      </c>
      <c r="F1101" s="14">
        <v>45.659657964940465</v>
      </c>
      <c r="G1101" s="14">
        <v>48.319871079893929</v>
      </c>
      <c r="H1101" s="14">
        <v>51.18569377319767</v>
      </c>
      <c r="I1101" s="14">
        <v>54.293999764924216</v>
      </c>
      <c r="J1101" s="14">
        <v>57.673148318769861</v>
      </c>
      <c r="K1101" s="14">
        <v>61.35461063622769</v>
      </c>
      <c r="L1101" s="14">
        <v>65.364565259184147</v>
      </c>
      <c r="M1101" s="14">
        <v>69.682198139488449</v>
      </c>
      <c r="N1101" s="14">
        <v>74.283869338908602</v>
      </c>
      <c r="O1101" s="14">
        <v>79.155290375416044</v>
      </c>
      <c r="P1101" s="14">
        <v>84.280585842426163</v>
      </c>
      <c r="Q1101" s="14">
        <v>89.692593256466509</v>
      </c>
      <c r="R1101" s="14">
        <v>95.365127486706882</v>
      </c>
      <c r="S1101" s="22"/>
      <c r="T1101" s="22"/>
      <c r="U1101" s="12"/>
      <c r="V1101" s="12"/>
      <c r="W1101" s="12"/>
      <c r="X1101" s="12"/>
      <c r="Y1101" s="12"/>
      <c r="Z1101" s="12"/>
      <c r="AA1101" s="12"/>
      <c r="AB1101" s="12"/>
      <c r="AC1101" s="12"/>
      <c r="AD1101" s="12"/>
      <c r="AE1101" s="12"/>
      <c r="AF1101" s="12"/>
    </row>
    <row r="1102" spans="1:32" x14ac:dyDescent="0.35">
      <c r="A1102" t="s">
        <v>51</v>
      </c>
      <c r="B1102" s="17" t="s">
        <v>59</v>
      </c>
      <c r="C1102" s="18" t="s">
        <v>60</v>
      </c>
      <c r="D1102" s="38" t="s">
        <v>61</v>
      </c>
      <c r="E1102" s="39" t="s">
        <v>62</v>
      </c>
      <c r="F1102" s="22">
        <v>2.7465122179502419</v>
      </c>
      <c r="G1102" s="22">
        <v>3.0189239910252335</v>
      </c>
      <c r="H1102" s="22">
        <v>3.324392670517502</v>
      </c>
      <c r="I1102" s="22">
        <v>3.6596619516442157</v>
      </c>
      <c r="J1102" s="22">
        <v>4.023864022177972</v>
      </c>
      <c r="K1102" s="22">
        <v>4.4135804336317452</v>
      </c>
      <c r="L1102" s="22">
        <v>4.8425125747900939</v>
      </c>
      <c r="M1102" s="22">
        <v>5.3228153486190113</v>
      </c>
      <c r="N1102" s="22">
        <v>5.8684994888056714</v>
      </c>
      <c r="O1102" s="22">
        <v>6.4857753826601465</v>
      </c>
      <c r="P1102" s="22">
        <v>7.1701411325145665</v>
      </c>
      <c r="Q1102" s="22">
        <v>7.9171595680494438</v>
      </c>
      <c r="R1102" s="22">
        <v>8.7316711356010508</v>
      </c>
      <c r="S1102" s="22"/>
      <c r="T1102" s="22"/>
      <c r="U1102" s="12"/>
      <c r="V1102" s="12"/>
      <c r="W1102" s="12"/>
      <c r="X1102" s="12"/>
      <c r="Y1102" s="12"/>
      <c r="Z1102" s="12"/>
      <c r="AA1102" s="12"/>
      <c r="AB1102" s="12"/>
      <c r="AC1102" s="12"/>
      <c r="AD1102" s="12"/>
      <c r="AE1102" s="12"/>
      <c r="AF1102" s="12"/>
    </row>
    <row r="1103" spans="1:32" x14ac:dyDescent="0.35">
      <c r="A1103" t="s">
        <v>51</v>
      </c>
      <c r="B1103" s="17" t="s">
        <v>59</v>
      </c>
      <c r="C1103" s="18" t="s">
        <v>60</v>
      </c>
      <c r="D1103" s="38" t="s">
        <v>61</v>
      </c>
      <c r="E1103" s="39" t="s">
        <v>63</v>
      </c>
      <c r="F1103" s="22">
        <v>6.1087376502423059</v>
      </c>
      <c r="G1103" s="22">
        <v>6.5670799803476081</v>
      </c>
      <c r="H1103" s="22">
        <v>7.0714209740399774</v>
      </c>
      <c r="I1103" s="22">
        <v>7.6174443134381686</v>
      </c>
      <c r="J1103" s="22">
        <v>8.1929190142283463</v>
      </c>
      <c r="K1103" s="22">
        <v>8.8075060183300433</v>
      </c>
      <c r="L1103" s="22">
        <v>9.4690586040237044</v>
      </c>
      <c r="M1103" s="22">
        <v>10.193942495267214</v>
      </c>
      <c r="N1103" s="22">
        <v>10.989823796777829</v>
      </c>
      <c r="O1103" s="22">
        <v>11.860871610472733</v>
      </c>
      <c r="P1103" s="22">
        <v>12.79628336390404</v>
      </c>
      <c r="Q1103" s="22">
        <v>13.785228490058605</v>
      </c>
      <c r="R1103" s="22">
        <v>14.839581572900613</v>
      </c>
      <c r="S1103" s="22"/>
      <c r="T1103" s="22"/>
      <c r="U1103" s="12"/>
      <c r="V1103" s="12"/>
      <c r="W1103" s="12"/>
      <c r="X1103" s="12"/>
      <c r="Y1103" s="12"/>
      <c r="Z1103" s="12"/>
      <c r="AA1103" s="12"/>
      <c r="AB1103" s="12"/>
      <c r="AC1103" s="12"/>
      <c r="AD1103" s="12"/>
      <c r="AE1103" s="12"/>
      <c r="AF1103" s="12"/>
    </row>
    <row r="1104" spans="1:32" x14ac:dyDescent="0.35">
      <c r="A1104" t="s">
        <v>51</v>
      </c>
      <c r="B1104" s="17" t="s">
        <v>59</v>
      </c>
      <c r="C1104" s="18" t="s">
        <v>60</v>
      </c>
      <c r="D1104" s="38" t="s">
        <v>61</v>
      </c>
      <c r="E1104" s="39" t="s">
        <v>64</v>
      </c>
      <c r="F1104" s="22">
        <v>6.4756843500099244</v>
      </c>
      <c r="G1104" s="22">
        <v>6.858434733170105</v>
      </c>
      <c r="H1104" s="22">
        <v>7.3101871634456241</v>
      </c>
      <c r="I1104" s="22">
        <v>7.8719564593195521</v>
      </c>
      <c r="J1104" s="22">
        <v>8.524784088222404</v>
      </c>
      <c r="K1104" s="22">
        <v>9.2818951997010473</v>
      </c>
      <c r="L1104" s="22">
        <v>10.074209358430744</v>
      </c>
      <c r="M1104" s="22">
        <v>10.84005074008671</v>
      </c>
      <c r="N1104" s="22">
        <v>11.544302211085444</v>
      </c>
      <c r="O1104" s="22">
        <v>12.203645307551938</v>
      </c>
      <c r="P1104" s="22">
        <v>12.780992099645122</v>
      </c>
      <c r="Q1104" s="22">
        <v>13.325327607318194</v>
      </c>
      <c r="R1104" s="22">
        <v>13.861342987254783</v>
      </c>
      <c r="S1104" s="22"/>
      <c r="T1104" s="22"/>
      <c r="U1104" s="12"/>
      <c r="V1104" s="12"/>
      <c r="W1104" s="12"/>
      <c r="X1104" s="12"/>
      <c r="Y1104" s="12"/>
      <c r="Z1104" s="12"/>
      <c r="AA1104" s="12"/>
      <c r="AB1104" s="12"/>
      <c r="AC1104" s="12"/>
      <c r="AD1104" s="12"/>
      <c r="AE1104" s="12"/>
      <c r="AF1104" s="12"/>
    </row>
    <row r="1105" spans="1:32" x14ac:dyDescent="0.35">
      <c r="A1105" t="s">
        <v>51</v>
      </c>
      <c r="B1105" s="17" t="s">
        <v>59</v>
      </c>
      <c r="C1105" s="18" t="s">
        <v>60</v>
      </c>
      <c r="D1105" s="38" t="s">
        <v>65</v>
      </c>
      <c r="E1105" s="38" t="s">
        <v>65</v>
      </c>
      <c r="F1105" s="41">
        <v>13.652654973623507</v>
      </c>
      <c r="G1105" s="41">
        <v>14.556250767034905</v>
      </c>
      <c r="H1105" s="41">
        <v>15.548763206994526</v>
      </c>
      <c r="I1105" s="41">
        <v>16.603766810320785</v>
      </c>
      <c r="J1105" s="41">
        <v>17.70821541075021</v>
      </c>
      <c r="K1105" s="41">
        <v>18.838907764850088</v>
      </c>
      <c r="L1105" s="41">
        <v>20.0480759174981</v>
      </c>
      <c r="M1105" s="41">
        <v>21.374950221436926</v>
      </c>
      <c r="N1105" s="41">
        <v>22.860893032206548</v>
      </c>
      <c r="O1105" s="41">
        <v>24.511097928675561</v>
      </c>
      <c r="P1105" s="41">
        <v>26.288592605943922</v>
      </c>
      <c r="Q1105" s="41">
        <v>28.159936104021913</v>
      </c>
      <c r="R1105" s="41">
        <v>30.127731778063744</v>
      </c>
      <c r="S1105" s="22"/>
      <c r="T1105" s="22"/>
      <c r="U1105" s="12"/>
      <c r="V1105" s="12"/>
      <c r="W1105" s="12"/>
      <c r="X1105" s="12"/>
      <c r="Y1105" s="12"/>
      <c r="Z1105" s="12"/>
      <c r="AA1105" s="12"/>
      <c r="AB1105" s="12"/>
      <c r="AC1105" s="12"/>
      <c r="AD1105" s="12"/>
      <c r="AE1105" s="12"/>
      <c r="AF1105" s="12"/>
    </row>
    <row r="1106" spans="1:32" x14ac:dyDescent="0.35">
      <c r="A1106" t="s">
        <v>51</v>
      </c>
      <c r="B1106" s="17" t="s">
        <v>59</v>
      </c>
      <c r="C1106" s="18" t="s">
        <v>60</v>
      </c>
      <c r="D1106" s="38" t="s">
        <v>66</v>
      </c>
      <c r="E1106" s="38" t="s">
        <v>66</v>
      </c>
      <c r="F1106" s="41">
        <v>9.0689317629533779</v>
      </c>
      <c r="G1106" s="41">
        <v>9.5979228574484114</v>
      </c>
      <c r="H1106" s="41">
        <v>10.121517015031131</v>
      </c>
      <c r="I1106" s="41">
        <v>10.655946070008541</v>
      </c>
      <c r="J1106" s="41">
        <v>11.23159958922583</v>
      </c>
      <c r="K1106" s="41">
        <v>11.876684545941607</v>
      </c>
      <c r="L1106" s="41">
        <v>12.610411920860765</v>
      </c>
      <c r="M1106" s="41">
        <v>13.417023324545207</v>
      </c>
      <c r="N1106" s="41">
        <v>14.265704236537731</v>
      </c>
      <c r="O1106" s="41">
        <v>15.153739311830536</v>
      </c>
      <c r="P1106" s="41">
        <v>16.095636211750275</v>
      </c>
      <c r="Q1106" s="41">
        <v>17.107709884305322</v>
      </c>
      <c r="R1106" s="41">
        <v>18.177384371585713</v>
      </c>
      <c r="S1106" s="22"/>
      <c r="T1106" s="22"/>
      <c r="U1106" s="12"/>
      <c r="V1106" s="12"/>
      <c r="W1106" s="12"/>
      <c r="X1106" s="12"/>
      <c r="Y1106" s="12"/>
      <c r="Z1106" s="12"/>
      <c r="AA1106" s="12"/>
      <c r="AB1106" s="12"/>
      <c r="AC1106" s="12"/>
      <c r="AD1106" s="12"/>
      <c r="AE1106" s="12"/>
      <c r="AF1106" s="12"/>
    </row>
    <row r="1107" spans="1:32" x14ac:dyDescent="0.35">
      <c r="A1107" t="s">
        <v>51</v>
      </c>
      <c r="B1107" s="17" t="s">
        <v>59</v>
      </c>
      <c r="C1107" s="18" t="s">
        <v>60</v>
      </c>
      <c r="D1107" s="38" t="s">
        <v>67</v>
      </c>
      <c r="E1107" s="38" t="s">
        <v>67</v>
      </c>
      <c r="F1107" s="41">
        <v>5.5955931142470394</v>
      </c>
      <c r="G1107" s="41">
        <v>5.8655659625193053</v>
      </c>
      <c r="H1107" s="41">
        <v>6.1547091788203847</v>
      </c>
      <c r="I1107" s="41">
        <v>6.4668248883143891</v>
      </c>
      <c r="J1107" s="41">
        <v>6.8045457365382758</v>
      </c>
      <c r="K1107" s="41">
        <v>7.1707584523682186</v>
      </c>
      <c r="L1107" s="41">
        <v>7.5676071794960986</v>
      </c>
      <c r="M1107" s="41">
        <v>7.9916978710817004</v>
      </c>
      <c r="N1107" s="41">
        <v>8.4394215213129833</v>
      </c>
      <c r="O1107" s="41">
        <v>8.9083501451682281</v>
      </c>
      <c r="P1107" s="41">
        <v>9.3959531483699248</v>
      </c>
      <c r="Q1107" s="41">
        <v>9.905211799633566</v>
      </c>
      <c r="R1107" s="41">
        <v>10.432464226547308</v>
      </c>
      <c r="S1107" s="22"/>
      <c r="T1107" s="22"/>
      <c r="U1107" s="12"/>
      <c r="V1107" s="12"/>
      <c r="W1107" s="12"/>
      <c r="X1107" s="12"/>
      <c r="Y1107" s="12"/>
      <c r="Z1107" s="12"/>
      <c r="AA1107" s="12"/>
      <c r="AB1107" s="12"/>
      <c r="AC1107" s="12"/>
      <c r="AD1107" s="12"/>
      <c r="AE1107" s="12"/>
      <c r="AF1107" s="12"/>
    </row>
    <row r="1108" spans="1:32" x14ac:dyDescent="0.35">
      <c r="A1108" t="s">
        <v>51</v>
      </c>
      <c r="B1108" s="17" t="s">
        <v>59</v>
      </c>
      <c r="C1108" s="18" t="s">
        <v>60</v>
      </c>
      <c r="D1108" s="38" t="s">
        <v>68</v>
      </c>
      <c r="E1108" s="38" t="s">
        <v>68</v>
      </c>
      <c r="F1108" s="41">
        <v>9.4135088711768606</v>
      </c>
      <c r="G1108" s="41">
        <v>10.162489488234725</v>
      </c>
      <c r="H1108" s="41">
        <v>10.983765444918877</v>
      </c>
      <c r="I1108" s="41">
        <v>11.863174538867771</v>
      </c>
      <c r="J1108" s="41">
        <v>12.78926668554182</v>
      </c>
      <c r="K1108" s="41">
        <v>13.781259069130753</v>
      </c>
      <c r="L1108" s="41">
        <v>14.857085421797786</v>
      </c>
      <c r="M1108" s="41">
        <v>16.061466818806977</v>
      </c>
      <c r="N1108" s="41">
        <v>17.41568049354586</v>
      </c>
      <c r="O1108" s="41">
        <v>18.897135704234454</v>
      </c>
      <c r="P1108" s="41">
        <v>20.518782933284449</v>
      </c>
      <c r="Q1108" s="41">
        <v>22.259072137763933</v>
      </c>
      <c r="R1108" s="41">
        <v>24.113574398573849</v>
      </c>
      <c r="S1108" s="22"/>
      <c r="T1108" s="22"/>
      <c r="U1108" s="12"/>
      <c r="V1108" s="12"/>
      <c r="W1108" s="12"/>
      <c r="X1108" s="12"/>
      <c r="Y1108" s="12"/>
      <c r="Z1108" s="12"/>
      <c r="AA1108" s="12"/>
      <c r="AB1108" s="12"/>
      <c r="AC1108" s="12"/>
      <c r="AD1108" s="12"/>
      <c r="AE1108" s="12"/>
      <c r="AF1108" s="12"/>
    </row>
    <row r="1109" spans="1:32" x14ac:dyDescent="0.35">
      <c r="A1109" t="s">
        <v>51</v>
      </c>
      <c r="B1109" s="17" t="s">
        <v>59</v>
      </c>
      <c r="C1109" s="18" t="s">
        <v>60</v>
      </c>
      <c r="D1109" s="38" t="s">
        <v>69</v>
      </c>
      <c r="E1109" s="38" t="s">
        <v>69</v>
      </c>
      <c r="F1109" s="41">
        <v>10.817894586060989</v>
      </c>
      <c r="G1109" s="41">
        <v>11.234196525748859</v>
      </c>
      <c r="H1109" s="41">
        <v>11.68524255465133</v>
      </c>
      <c r="I1109" s="41">
        <v>12.173873206367807</v>
      </c>
      <c r="J1109" s="41">
        <v>12.707284206788346</v>
      </c>
      <c r="K1109" s="41">
        <v>13.297953259884647</v>
      </c>
      <c r="L1109" s="41">
        <v>13.947106771046336</v>
      </c>
      <c r="M1109" s="41">
        <v>14.655843604052578</v>
      </c>
      <c r="N1109" s="41">
        <v>15.405480922467433</v>
      </c>
      <c r="O1109" s="41">
        <v>16.183191404569016</v>
      </c>
      <c r="P1109" s="41">
        <v>16.967796439434625</v>
      </c>
      <c r="Q1109" s="41">
        <v>17.750849730511277</v>
      </c>
      <c r="R1109" s="41">
        <v>18.542205916095877</v>
      </c>
      <c r="S1109" s="14"/>
      <c r="T1109" s="14"/>
      <c r="U1109" s="12"/>
      <c r="V1109" s="12"/>
      <c r="W1109" s="12"/>
      <c r="X1109" s="12"/>
      <c r="Y1109" s="12"/>
      <c r="Z1109" s="12"/>
      <c r="AA1109" s="12"/>
      <c r="AB1109" s="12"/>
      <c r="AC1109" s="12"/>
      <c r="AD1109" s="12"/>
      <c r="AE1109" s="12"/>
      <c r="AF1109" s="12"/>
    </row>
    <row r="1110" spans="1:32" x14ac:dyDescent="0.35">
      <c r="A1110" t="s">
        <v>51</v>
      </c>
      <c r="B1110" s="17" t="s">
        <v>59</v>
      </c>
      <c r="C1110" s="18" t="s">
        <v>70</v>
      </c>
      <c r="D1110" s="19" t="s">
        <v>71</v>
      </c>
      <c r="E1110" s="19" t="s">
        <v>71</v>
      </c>
      <c r="F1110" s="22">
        <v>1.5228870172593836</v>
      </c>
      <c r="G1110" s="22">
        <v>1.680509725851324</v>
      </c>
      <c r="H1110" s="22">
        <v>1.8565474258384727</v>
      </c>
      <c r="I1110" s="22">
        <v>2.0496331154158232</v>
      </c>
      <c r="J1110" s="22">
        <v>2.2587009452487523</v>
      </c>
      <c r="K1110" s="22">
        <v>2.4879648789756463</v>
      </c>
      <c r="L1110" s="22">
        <v>2.7417436718902297</v>
      </c>
      <c r="M1110" s="22">
        <v>3.0296337829905324</v>
      </c>
      <c r="N1110" s="22">
        <v>3.3575994032520309</v>
      </c>
      <c r="O1110" s="22">
        <v>3.7235863418512811</v>
      </c>
      <c r="P1110" s="22">
        <v>4.1322594843335656</v>
      </c>
      <c r="Q1110" s="22">
        <v>4.581653291919082</v>
      </c>
      <c r="R1110" s="22">
        <v>5.0730473476860141</v>
      </c>
      <c r="S1110" s="14"/>
      <c r="T1110" s="14"/>
      <c r="U1110" s="12"/>
      <c r="V1110" s="12"/>
      <c r="W1110" s="12"/>
      <c r="X1110" s="12"/>
      <c r="Y1110" s="12"/>
      <c r="Z1110" s="12"/>
      <c r="AA1110" s="12"/>
      <c r="AB1110" s="12"/>
      <c r="AC1110" s="12"/>
      <c r="AD1110" s="12"/>
      <c r="AE1110" s="12"/>
      <c r="AF1110" s="12"/>
    </row>
    <row r="1111" spans="1:32" x14ac:dyDescent="0.35">
      <c r="A1111" t="s">
        <v>51</v>
      </c>
      <c r="B1111" s="17" t="s">
        <v>59</v>
      </c>
      <c r="C1111" s="18" t="s">
        <v>70</v>
      </c>
      <c r="D1111" s="19" t="s">
        <v>72</v>
      </c>
      <c r="E1111" s="19" t="s">
        <v>72</v>
      </c>
      <c r="F1111" s="22">
        <v>1.160602736768537</v>
      </c>
      <c r="G1111" s="22">
        <v>1.2870338763049503</v>
      </c>
      <c r="H1111" s="22">
        <v>1.4293829443950241</v>
      </c>
      <c r="I1111" s="22">
        <v>1.5898584695543598</v>
      </c>
      <c r="J1111" s="22">
        <v>1.7715301531362755</v>
      </c>
      <c r="K1111" s="22">
        <v>1.97868537543528</v>
      </c>
      <c r="L1111" s="22">
        <v>2.2146813833396863</v>
      </c>
      <c r="M1111" s="22">
        <v>2.4832537835679926</v>
      </c>
      <c r="N1111" s="22">
        <v>2.785223466145351</v>
      </c>
      <c r="O1111" s="22">
        <v>3.1220565788300769</v>
      </c>
      <c r="P1111" s="22">
        <v>3.4933807463535196</v>
      </c>
      <c r="Q1111" s="22">
        <v>3.9007174136778415</v>
      </c>
      <c r="R1111" s="22">
        <v>4.3494339363034786</v>
      </c>
      <c r="S1111" s="14"/>
      <c r="T1111" s="14"/>
      <c r="U1111" s="12"/>
      <c r="V1111" s="12"/>
      <c r="W1111" s="12"/>
      <c r="X1111" s="12"/>
      <c r="Y1111" s="12"/>
      <c r="Z1111" s="12"/>
      <c r="AA1111" s="12"/>
      <c r="AB1111" s="12"/>
      <c r="AC1111" s="12"/>
      <c r="AD1111" s="12"/>
      <c r="AE1111" s="12"/>
      <c r="AF1111" s="12"/>
    </row>
    <row r="1112" spans="1:32" x14ac:dyDescent="0.35">
      <c r="A1112" t="s">
        <v>51</v>
      </c>
      <c r="B1112" s="17" t="s">
        <v>59</v>
      </c>
      <c r="C1112" s="18" t="s">
        <v>70</v>
      </c>
      <c r="D1112" s="19" t="s">
        <v>73</v>
      </c>
      <c r="E1112" s="19" t="s">
        <v>73</v>
      </c>
      <c r="F1112" s="22">
        <v>1.1036296989297842</v>
      </c>
      <c r="G1112" s="22">
        <v>1.1854150908495371</v>
      </c>
      <c r="H1112" s="22">
        <v>1.2745031203306028</v>
      </c>
      <c r="I1112" s="22">
        <v>1.3720919683464752</v>
      </c>
      <c r="J1112" s="22">
        <v>1.4792276778687901</v>
      </c>
      <c r="K1112" s="22">
        <v>1.5970884801143896</v>
      </c>
      <c r="L1112" s="22">
        <v>1.7267737662991838</v>
      </c>
      <c r="M1112" s="22">
        <v>1.8681942661641753</v>
      </c>
      <c r="N1112" s="22">
        <v>2.0211657823563716</v>
      </c>
      <c r="O1112" s="22">
        <v>2.185734141163294</v>
      </c>
      <c r="P1112" s="22">
        <v>2.3618910293195707</v>
      </c>
      <c r="Q1112" s="22">
        <v>2.5509797933163751</v>
      </c>
      <c r="R1112" s="22">
        <v>2.7527322457573864</v>
      </c>
      <c r="S1112" s="14"/>
      <c r="T1112" s="14"/>
      <c r="U1112" s="12"/>
      <c r="V1112" s="12"/>
      <c r="W1112" s="12"/>
      <c r="X1112" s="12"/>
      <c r="Y1112" s="12"/>
      <c r="Z1112" s="12"/>
      <c r="AA1112" s="12"/>
      <c r="AB1112" s="12"/>
      <c r="AC1112" s="12"/>
      <c r="AD1112" s="12"/>
      <c r="AE1112" s="12"/>
      <c r="AF1112" s="12"/>
    </row>
    <row r="1113" spans="1:32" x14ac:dyDescent="0.35">
      <c r="A1113" t="s">
        <v>51</v>
      </c>
      <c r="B1113" s="17" t="s">
        <v>59</v>
      </c>
      <c r="C1113" s="18" t="s">
        <v>70</v>
      </c>
      <c r="D1113" s="19" t="s">
        <v>74</v>
      </c>
      <c r="E1113" s="19" t="s">
        <v>74</v>
      </c>
      <c r="F1113" s="22">
        <v>1.2944679237749999</v>
      </c>
      <c r="G1113" s="22">
        <v>1.4044972012928834</v>
      </c>
      <c r="H1113" s="22">
        <v>1.5185738977726746</v>
      </c>
      <c r="I1113" s="22">
        <v>1.6392562764538561</v>
      </c>
      <c r="J1113" s="22">
        <v>1.7715301531362755</v>
      </c>
      <c r="K1113" s="22">
        <v>1.9205236482906261</v>
      </c>
      <c r="L1113" s="22">
        <v>2.0903908689304052</v>
      </c>
      <c r="M1113" s="22">
        <v>2.2798503205348446</v>
      </c>
      <c r="N1113" s="22">
        <v>2.4848627186962049</v>
      </c>
      <c r="O1113" s="22">
        <v>2.705814802749134</v>
      </c>
      <c r="P1113" s="22">
        <v>2.9461605734073184</v>
      </c>
      <c r="Q1113" s="22">
        <v>3.2099843764130407</v>
      </c>
      <c r="R1113" s="22">
        <v>3.4963003957868053</v>
      </c>
      <c r="S1113" s="14"/>
      <c r="T1113" s="14"/>
      <c r="U1113" s="12"/>
      <c r="V1113" s="12"/>
      <c r="W1113" s="12"/>
      <c r="X1113" s="12"/>
      <c r="Y1113" s="12"/>
      <c r="Z1113" s="12"/>
      <c r="AA1113" s="12"/>
      <c r="AB1113" s="12"/>
      <c r="AC1113" s="12"/>
      <c r="AD1113" s="12"/>
      <c r="AE1113" s="12"/>
      <c r="AF1113" s="12"/>
    </row>
    <row r="1114" spans="1:32" x14ac:dyDescent="0.35">
      <c r="A1114" t="s">
        <v>51</v>
      </c>
      <c r="B1114" s="17" t="s">
        <v>59</v>
      </c>
      <c r="C1114" s="18" t="s">
        <v>70</v>
      </c>
      <c r="D1114" s="19" t="s">
        <v>75</v>
      </c>
      <c r="E1114" s="19" t="s">
        <v>75</v>
      </c>
      <c r="F1114" s="22">
        <v>1.0974975312653783</v>
      </c>
      <c r="G1114" s="22">
        <v>1.2014693394848133</v>
      </c>
      <c r="H1114" s="22">
        <v>1.3167927895913369</v>
      </c>
      <c r="I1114" s="22">
        <v>1.4421980063514352</v>
      </c>
      <c r="J1114" s="22">
        <v>1.5766618362912852</v>
      </c>
      <c r="K1114" s="22">
        <v>1.7228741170048698</v>
      </c>
      <c r="L1114" s="22">
        <v>1.8835068811998439</v>
      </c>
      <c r="M1114" s="22">
        <v>2.0647668173667082</v>
      </c>
      <c r="N1114" s="22">
        <v>2.2701808583399909</v>
      </c>
      <c r="O1114" s="22">
        <v>2.4977332218704724</v>
      </c>
      <c r="P1114" s="22">
        <v>2.7499676751801037</v>
      </c>
      <c r="Q1114" s="22">
        <v>3.0249241443231716</v>
      </c>
      <c r="R1114" s="22">
        <v>3.3228348449171046</v>
      </c>
      <c r="S1114" s="14"/>
      <c r="T1114" s="14"/>
      <c r="U1114" s="12"/>
      <c r="V1114" s="12"/>
      <c r="W1114" s="12"/>
      <c r="X1114" s="12"/>
      <c r="Y1114" s="12"/>
      <c r="Z1114" s="12"/>
      <c r="AA1114" s="12"/>
      <c r="AB1114" s="12"/>
      <c r="AC1114" s="12"/>
      <c r="AD1114" s="12"/>
      <c r="AE1114" s="12"/>
      <c r="AF1114" s="12"/>
    </row>
    <row r="1115" spans="1:32" x14ac:dyDescent="0.35">
      <c r="A1115" t="s">
        <v>51</v>
      </c>
      <c r="B1115" s="17" t="s">
        <v>59</v>
      </c>
      <c r="C1115" s="18" t="s">
        <v>76</v>
      </c>
      <c r="D1115" s="19" t="s">
        <v>77</v>
      </c>
      <c r="E1115" s="19" t="s">
        <v>77</v>
      </c>
      <c r="F1115" s="22">
        <v>1.6945500813305661</v>
      </c>
      <c r="G1115" s="22">
        <v>1.8279886667889642</v>
      </c>
      <c r="H1115" s="22">
        <v>1.9650303436872067</v>
      </c>
      <c r="I1115" s="22">
        <v>2.1089039268253811</v>
      </c>
      <c r="J1115" s="22">
        <v>2.2658854842031371</v>
      </c>
      <c r="K1115" s="22">
        <v>2.4422858535890284</v>
      </c>
      <c r="L1115" s="22">
        <v>2.6430283241193009</v>
      </c>
      <c r="M1115" s="22">
        <v>2.8660460489058885</v>
      </c>
      <c r="N1115" s="22">
        <v>3.1058473663163442</v>
      </c>
      <c r="O1115" s="22">
        <v>3.3625933144370772</v>
      </c>
      <c r="P1115" s="22">
        <v>3.6402485927105133</v>
      </c>
      <c r="Q1115" s="22">
        <v>3.943461131199979</v>
      </c>
      <c r="R1115" s="22">
        <v>4.270537989675784</v>
      </c>
      <c r="S1115" s="14"/>
      <c r="T1115" s="14"/>
      <c r="U1115" s="12"/>
      <c r="V1115" s="12"/>
      <c r="W1115" s="12"/>
      <c r="X1115" s="12"/>
      <c r="Y1115" s="12"/>
      <c r="Z1115" s="12"/>
      <c r="AA1115" s="12"/>
      <c r="AB1115" s="12"/>
      <c r="AC1115" s="12"/>
      <c r="AD1115" s="12"/>
      <c r="AE1115" s="12"/>
      <c r="AF1115" s="12"/>
    </row>
    <row r="1116" spans="1:32" x14ac:dyDescent="0.35">
      <c r="A1116" t="s">
        <v>51</v>
      </c>
      <c r="B1116" s="17" t="s">
        <v>59</v>
      </c>
      <c r="C1116" s="18" t="s">
        <v>76</v>
      </c>
      <c r="D1116" s="19" t="s">
        <v>78</v>
      </c>
      <c r="E1116" s="19" t="s">
        <v>78</v>
      </c>
      <c r="F1116" s="22">
        <v>1.5384858501681464</v>
      </c>
      <c r="G1116" s="22">
        <v>1.6335719798817001</v>
      </c>
      <c r="H1116" s="22">
        <v>1.7348343886629032</v>
      </c>
      <c r="I1116" s="22">
        <v>1.8471183707491285</v>
      </c>
      <c r="J1116" s="22">
        <v>1.9703352036549022</v>
      </c>
      <c r="K1116" s="22">
        <v>2.1042375684432311</v>
      </c>
      <c r="L1116" s="22">
        <v>2.2476637218604898</v>
      </c>
      <c r="M1116" s="22">
        <v>2.3989927385419398</v>
      </c>
      <c r="N1116" s="22">
        <v>2.5581721794892127</v>
      </c>
      <c r="O1116" s="22">
        <v>2.7312827947909164</v>
      </c>
      <c r="P1116" s="22">
        <v>2.9199616530978938</v>
      </c>
      <c r="Q1116" s="22">
        <v>3.122006366804488</v>
      </c>
      <c r="R1116" s="22">
        <v>3.3354707078952246</v>
      </c>
      <c r="S1116" s="22"/>
      <c r="T1116" s="22"/>
      <c r="U1116" s="12"/>
      <c r="V1116" s="12"/>
      <c r="W1116" s="12"/>
      <c r="X1116" s="12"/>
      <c r="Y1116" s="12"/>
      <c r="Z1116" s="12"/>
      <c r="AA1116" s="12"/>
      <c r="AB1116" s="12"/>
      <c r="AC1116" s="12"/>
      <c r="AD1116" s="12"/>
      <c r="AE1116" s="12"/>
      <c r="AF1116" s="12"/>
    </row>
    <row r="1117" spans="1:32" x14ac:dyDescent="0.35">
      <c r="A1117" t="s">
        <v>51</v>
      </c>
      <c r="B1117" s="17" t="s">
        <v>59</v>
      </c>
      <c r="C1117" s="18" t="s">
        <v>76</v>
      </c>
      <c r="D1117" s="19" t="s">
        <v>79</v>
      </c>
      <c r="E1117" s="19" t="s">
        <v>79</v>
      </c>
      <c r="F1117" s="22">
        <v>0.87424852985942658</v>
      </c>
      <c r="G1117" s="22">
        <v>0.96006283853112806</v>
      </c>
      <c r="H1117" s="22">
        <v>1.0544764973491947</v>
      </c>
      <c r="I1117" s="22">
        <v>1.1610587203062757</v>
      </c>
      <c r="J1117" s="22">
        <v>1.2807178823756866</v>
      </c>
      <c r="K1117" s="22">
        <v>1.414312085366241</v>
      </c>
      <c r="L1117" s="22">
        <v>1.5621266724558731</v>
      </c>
      <c r="M1117" s="22">
        <v>1.7240880250337478</v>
      </c>
      <c r="N1117" s="22">
        <v>1.9011611802918544</v>
      </c>
      <c r="O1117" s="22">
        <v>2.098924601073854</v>
      </c>
      <c r="P1117" s="22">
        <v>2.320221490094859</v>
      </c>
      <c r="Q1117" s="22">
        <v>2.5651141210891422</v>
      </c>
      <c r="R1117" s="22">
        <v>2.8337505124893148</v>
      </c>
      <c r="S1117" s="22"/>
      <c r="T1117" s="22"/>
      <c r="U1117" s="12"/>
      <c r="V1117" s="12"/>
      <c r="W1117" s="12"/>
      <c r="X1117" s="12"/>
      <c r="Y1117" s="12"/>
      <c r="Z1117" s="12"/>
      <c r="AA1117" s="12"/>
      <c r="AB1117" s="12"/>
      <c r="AC1117" s="12"/>
      <c r="AD1117" s="12"/>
      <c r="AE1117" s="12"/>
      <c r="AF1117" s="12"/>
    </row>
    <row r="1118" spans="1:32" x14ac:dyDescent="0.35">
      <c r="A1118" t="s">
        <v>51</v>
      </c>
      <c r="B1118" s="17" t="s">
        <v>59</v>
      </c>
      <c r="C1118" s="18" t="s">
        <v>76</v>
      </c>
      <c r="D1118" s="19" t="s">
        <v>80</v>
      </c>
      <c r="E1118" s="19" t="s">
        <v>80</v>
      </c>
      <c r="F1118" s="22">
        <v>0.7797792340591515</v>
      </c>
      <c r="G1118" s="22">
        <v>0.82425052172495716</v>
      </c>
      <c r="H1118" s="22">
        <v>0.87271510329400537</v>
      </c>
      <c r="I1118" s="22">
        <v>0.92439336858765631</v>
      </c>
      <c r="J1118" s="22">
        <v>0.97758938950570151</v>
      </c>
      <c r="K1118" s="22">
        <v>1.0333260739269523</v>
      </c>
      <c r="L1118" s="22">
        <v>1.0923417673501679</v>
      </c>
      <c r="M1118" s="22">
        <v>1.1563015450238785</v>
      </c>
      <c r="N1118" s="22">
        <v>1.2257651399668732</v>
      </c>
      <c r="O1118" s="22">
        <v>1.3008548855579798</v>
      </c>
      <c r="P1118" s="22">
        <v>1.3800318693610929</v>
      </c>
      <c r="Q1118" s="22">
        <v>1.4618453727075127</v>
      </c>
      <c r="R1118" s="22">
        <v>1.5473403263503982</v>
      </c>
      <c r="S1118" s="22"/>
      <c r="T1118" s="22"/>
      <c r="U1118" s="12"/>
      <c r="V1118" s="12"/>
      <c r="W1118" s="12"/>
      <c r="X1118" s="12"/>
      <c r="Y1118" s="12"/>
      <c r="Z1118" s="12"/>
      <c r="AA1118" s="12"/>
      <c r="AB1118" s="12"/>
      <c r="AC1118" s="12"/>
      <c r="AD1118" s="12"/>
      <c r="AE1118" s="12"/>
      <c r="AF1118" s="12"/>
    </row>
    <row r="1119" spans="1:32" x14ac:dyDescent="0.35">
      <c r="A1119" t="s">
        <v>51</v>
      </c>
      <c r="B1119" s="17" t="s">
        <v>59</v>
      </c>
      <c r="C1119" s="18" t="s">
        <v>76</v>
      </c>
      <c r="D1119" s="19" t="s">
        <v>81</v>
      </c>
      <c r="E1119" s="19" t="s">
        <v>81</v>
      </c>
      <c r="F1119" s="22">
        <v>0.82120588347513446</v>
      </c>
      <c r="G1119" s="22">
        <v>0.88011537155934971</v>
      </c>
      <c r="H1119" s="22">
        <v>0.94435089636094982</v>
      </c>
      <c r="I1119" s="22">
        <v>1.012566409985272</v>
      </c>
      <c r="J1119" s="22">
        <v>1.0836843620101961</v>
      </c>
      <c r="K1119" s="22">
        <v>1.1592554658123813</v>
      </c>
      <c r="L1119" s="22">
        <v>1.240676174409139</v>
      </c>
      <c r="M1119" s="22">
        <v>1.3315375231586608</v>
      </c>
      <c r="N1119" s="22">
        <v>1.433380631160627</v>
      </c>
      <c r="O1119" s="22">
        <v>1.5440882799762978</v>
      </c>
      <c r="P1119" s="22">
        <v>1.6645045385490407</v>
      </c>
      <c r="Q1119" s="22">
        <v>1.7926469961567895</v>
      </c>
      <c r="R1119" s="22">
        <v>1.9279655746902806</v>
      </c>
      <c r="S1119" s="22"/>
      <c r="T1119" s="22"/>
      <c r="U1119" s="12"/>
      <c r="V1119" s="12"/>
      <c r="W1119" s="12"/>
      <c r="X1119" s="12"/>
      <c r="Y1119" s="12"/>
      <c r="Z1119" s="12"/>
      <c r="AA1119" s="12"/>
      <c r="AB1119" s="12"/>
      <c r="AC1119" s="12"/>
      <c r="AD1119" s="12"/>
      <c r="AE1119" s="12"/>
      <c r="AF1119" s="12"/>
    </row>
    <row r="1120" spans="1:32" x14ac:dyDescent="0.35">
      <c r="A1120" t="s">
        <v>51</v>
      </c>
      <c r="B1120" s="17" t="s">
        <v>47</v>
      </c>
      <c r="C1120" s="13" t="s">
        <v>82</v>
      </c>
      <c r="D1120" s="13" t="s">
        <v>82</v>
      </c>
      <c r="E1120" s="13" t="s">
        <v>82</v>
      </c>
      <c r="F1120" s="14">
        <v>30.107214048214285</v>
      </c>
      <c r="G1120" s="14">
        <v>32.425907837904823</v>
      </c>
      <c r="H1120" s="14">
        <v>34.981511842504062</v>
      </c>
      <c r="I1120" s="14">
        <v>37.765727105932697</v>
      </c>
      <c r="J1120" s="14">
        <v>40.745193522134343</v>
      </c>
      <c r="K1120" s="14">
        <v>43.97448765456911</v>
      </c>
      <c r="L1120" s="14">
        <v>47.494435720613794</v>
      </c>
      <c r="M1120" s="14">
        <v>51.378257135696245</v>
      </c>
      <c r="N1120" s="14">
        <v>55.649295089845772</v>
      </c>
      <c r="O1120" s="14">
        <v>60.321185382046949</v>
      </c>
      <c r="P1120" s="14">
        <v>65.342219744828213</v>
      </c>
      <c r="Q1120" s="14">
        <v>70.671235072803142</v>
      </c>
      <c r="R1120" s="14">
        <v>76.370242781467866</v>
      </c>
      <c r="S1120" s="22"/>
      <c r="T1120" s="22"/>
      <c r="U1120" s="12"/>
      <c r="V1120" s="12"/>
      <c r="W1120" s="12"/>
      <c r="X1120" s="12"/>
      <c r="Y1120" s="12"/>
      <c r="Z1120" s="12"/>
      <c r="AA1120" s="12"/>
      <c r="AB1120" s="12"/>
      <c r="AC1120" s="12"/>
      <c r="AD1120" s="12"/>
      <c r="AE1120" s="12"/>
      <c r="AF1120" s="12"/>
    </row>
    <row r="1121" spans="1:32" x14ac:dyDescent="0.35">
      <c r="A1121" t="s">
        <v>51</v>
      </c>
      <c r="B1121" s="17" t="s">
        <v>47</v>
      </c>
      <c r="C1121" s="13" t="s">
        <v>83</v>
      </c>
      <c r="D1121" s="13" t="s">
        <v>83</v>
      </c>
      <c r="E1121" s="13" t="s">
        <v>83</v>
      </c>
      <c r="F1121" s="14">
        <v>45.659657964940465</v>
      </c>
      <c r="G1121" s="14">
        <v>48.319871079893929</v>
      </c>
      <c r="H1121" s="14">
        <v>51.18569377319767</v>
      </c>
      <c r="I1121" s="14">
        <v>54.293999764924216</v>
      </c>
      <c r="J1121" s="14">
        <v>57.673148318769861</v>
      </c>
      <c r="K1121" s="14">
        <v>61.35461063622769</v>
      </c>
      <c r="L1121" s="14">
        <v>65.364565259184147</v>
      </c>
      <c r="M1121" s="14">
        <v>69.682198139488449</v>
      </c>
      <c r="N1121" s="14">
        <v>74.283869338908602</v>
      </c>
      <c r="O1121" s="14">
        <v>79.155290375416044</v>
      </c>
      <c r="P1121" s="14">
        <v>84.280585842426163</v>
      </c>
      <c r="Q1121" s="14">
        <v>89.692593256466509</v>
      </c>
      <c r="R1121" s="14">
        <v>95.365127486706882</v>
      </c>
      <c r="S1121" s="22"/>
      <c r="T1121" s="22"/>
      <c r="U1121" s="12"/>
      <c r="V1121" s="12"/>
      <c r="W1121" s="12"/>
      <c r="X1121" s="12"/>
      <c r="Y1121" s="12"/>
      <c r="Z1121" s="12"/>
      <c r="AA1121" s="12"/>
      <c r="AB1121" s="12"/>
      <c r="AC1121" s="12"/>
      <c r="AD1121" s="12"/>
      <c r="AE1121" s="12"/>
      <c r="AF1121" s="12"/>
    </row>
    <row r="1122" spans="1:32" x14ac:dyDescent="0.35">
      <c r="A1122" t="s">
        <v>51</v>
      </c>
      <c r="B1122" s="17" t="s">
        <v>84</v>
      </c>
      <c r="C1122" s="13" t="s">
        <v>85</v>
      </c>
      <c r="D1122" s="13" t="s">
        <v>85</v>
      </c>
      <c r="E1122" s="13" t="s">
        <v>85</v>
      </c>
      <c r="F1122" s="14">
        <v>4.2820296509468703</v>
      </c>
      <c r="G1122" s="14">
        <v>4.4937952900079887</v>
      </c>
      <c r="H1122" s="14">
        <v>4.7239776010367223</v>
      </c>
      <c r="I1122" s="14">
        <v>4.9679209351355409</v>
      </c>
      <c r="J1122" s="14">
        <v>5.2161721175679228</v>
      </c>
      <c r="K1122" s="14">
        <v>5.4740508003009793</v>
      </c>
      <c r="L1122" s="14">
        <v>5.7452147522116785</v>
      </c>
      <c r="M1122" s="14">
        <v>6.0380873431415285</v>
      </c>
      <c r="N1122" s="14">
        <v>6.3550738412408432</v>
      </c>
      <c r="O1122" s="14">
        <v>6.696235663026723</v>
      </c>
      <c r="P1122" s="14">
        <v>7.0530729374074097</v>
      </c>
      <c r="Q1122" s="14">
        <v>7.4177708785610559</v>
      </c>
      <c r="R1122" s="14">
        <v>7.7953959003738653</v>
      </c>
      <c r="S1122" s="22"/>
      <c r="T1122" s="22"/>
      <c r="U1122" s="12"/>
      <c r="V1122" s="12"/>
      <c r="W1122" s="12"/>
      <c r="X1122" s="12"/>
      <c r="Y1122" s="12"/>
      <c r="Z1122" s="12"/>
      <c r="AA1122" s="12"/>
      <c r="AB1122" s="12"/>
      <c r="AC1122" s="12"/>
      <c r="AD1122" s="12"/>
      <c r="AE1122" s="12"/>
      <c r="AF1122" s="12"/>
    </row>
    <row r="1123" spans="1:32" x14ac:dyDescent="0.35">
      <c r="A1123" t="s">
        <v>51</v>
      </c>
      <c r="B1123" s="17" t="s">
        <v>84</v>
      </c>
      <c r="C1123" s="13" t="s">
        <v>86</v>
      </c>
      <c r="D1123" s="13" t="s">
        <v>86</v>
      </c>
      <c r="E1123" s="13" t="s">
        <v>86</v>
      </c>
      <c r="F1123" s="14">
        <v>13.895141427771913</v>
      </c>
      <c r="G1123" s="14">
        <v>14.645891377366203</v>
      </c>
      <c r="H1123" s="14">
        <v>15.463094380276841</v>
      </c>
      <c r="I1123" s="14">
        <v>16.332345502971229</v>
      </c>
      <c r="J1123" s="14">
        <v>17.223209822158235</v>
      </c>
      <c r="K1123" s="14">
        <v>18.153495190879141</v>
      </c>
      <c r="L1123" s="14">
        <v>19.135806644806458</v>
      </c>
      <c r="M1123" s="14">
        <v>20.198838203778255</v>
      </c>
      <c r="N1123" s="14">
        <v>21.351646593595198</v>
      </c>
      <c r="O1123" s="14">
        <v>22.595562538472631</v>
      </c>
      <c r="P1123" s="14">
        <v>23.903041366917705</v>
      </c>
      <c r="Q1123" s="14">
        <v>25.248372383424972</v>
      </c>
      <c r="R1123" s="14">
        <v>26.649236065016826</v>
      </c>
      <c r="S1123" s="22"/>
      <c r="T1123" s="22"/>
      <c r="U1123" s="12"/>
      <c r="V1123" s="12"/>
      <c r="W1123" s="12"/>
      <c r="X1123" s="12"/>
      <c r="Y1123" s="12"/>
      <c r="Z1123" s="12"/>
      <c r="AA1123" s="12"/>
      <c r="AB1123" s="12"/>
      <c r="AC1123" s="12"/>
      <c r="AD1123" s="12"/>
      <c r="AE1123" s="12"/>
      <c r="AF1123" s="12"/>
    </row>
    <row r="1124" spans="1:32" x14ac:dyDescent="0.35">
      <c r="A1124" t="s">
        <v>51</v>
      </c>
      <c r="B1124" s="17" t="s">
        <v>84</v>
      </c>
      <c r="C1124" s="40" t="s">
        <v>87</v>
      </c>
      <c r="D1124" s="40" t="s">
        <v>87</v>
      </c>
      <c r="E1124" s="40" t="s">
        <v>87</v>
      </c>
      <c r="F1124" s="42">
        <v>25.497464422110134</v>
      </c>
      <c r="G1124" s="42">
        <v>27.415724992726524</v>
      </c>
      <c r="H1124" s="42">
        <v>29.523171254825513</v>
      </c>
      <c r="I1124" s="42">
        <v>31.823243575349942</v>
      </c>
      <c r="J1124" s="42">
        <v>34.348001302475566</v>
      </c>
      <c r="K1124" s="42">
        <v>37.139656127157153</v>
      </c>
      <c r="L1124" s="42">
        <v>40.237181188509922</v>
      </c>
      <c r="M1124" s="42">
        <v>43.658853912189571</v>
      </c>
      <c r="N1124" s="42">
        <v>47.393957380455902</v>
      </c>
      <c r="O1124" s="42">
        <v>51.401607861685008</v>
      </c>
      <c r="P1124" s="42">
        <v>55.652304655370145</v>
      </c>
      <c r="Q1124" s="42">
        <v>60.177383955959755</v>
      </c>
      <c r="R1124" s="42">
        <v>65.001562441581569</v>
      </c>
      <c r="S1124" s="22"/>
      <c r="T1124" s="22"/>
      <c r="U1124" s="12"/>
      <c r="V1124" s="12"/>
      <c r="W1124" s="12"/>
      <c r="X1124" s="12"/>
      <c r="Y1124" s="12"/>
      <c r="Z1124" s="12"/>
      <c r="AA1124" s="12"/>
      <c r="AB1124" s="12"/>
      <c r="AC1124" s="12"/>
      <c r="AD1124" s="12"/>
      <c r="AE1124" s="12"/>
      <c r="AF1124" s="12"/>
    </row>
    <row r="1125" spans="1:32" x14ac:dyDescent="0.35">
      <c r="A1125" t="s">
        <v>51</v>
      </c>
      <c r="B1125" s="17" t="s">
        <v>84</v>
      </c>
      <c r="C1125" s="13" t="s">
        <v>88</v>
      </c>
      <c r="D1125" s="13" t="s">
        <v>88</v>
      </c>
      <c r="E1125" s="13" t="s">
        <v>88</v>
      </c>
      <c r="F1125" s="14">
        <v>17.08512564816979</v>
      </c>
      <c r="G1125" s="14">
        <v>18.278167744006758</v>
      </c>
      <c r="H1125" s="14">
        <v>19.57366767219553</v>
      </c>
      <c r="I1125" s="14">
        <v>20.988717986090432</v>
      </c>
      <c r="J1125" s="14">
        <v>22.537800281567065</v>
      </c>
      <c r="K1125" s="14">
        <v>24.237166488889006</v>
      </c>
      <c r="L1125" s="14">
        <v>26.101598944763719</v>
      </c>
      <c r="M1125" s="14">
        <v>28.127660949403733</v>
      </c>
      <c r="N1125" s="14">
        <v>30.310521431149212</v>
      </c>
      <c r="O1125" s="14">
        <v>32.648855430629283</v>
      </c>
      <c r="P1125" s="14">
        <v>35.140530521343614</v>
      </c>
      <c r="Q1125" s="14">
        <v>37.803538441382656</v>
      </c>
      <c r="R1125" s="14">
        <v>40.631684566041102</v>
      </c>
      <c r="S1125" s="14"/>
      <c r="T1125" s="14"/>
      <c r="U1125" s="12"/>
      <c r="V1125" s="12"/>
      <c r="W1125" s="12"/>
      <c r="X1125" s="12"/>
      <c r="Y1125" s="12"/>
      <c r="Z1125" s="12"/>
      <c r="AA1125" s="12"/>
      <c r="AB1125" s="12"/>
      <c r="AC1125" s="12"/>
      <c r="AD1125" s="12"/>
      <c r="AE1125" s="12"/>
      <c r="AF1125" s="12"/>
    </row>
    <row r="1126" spans="1:32" x14ac:dyDescent="0.35">
      <c r="A1126" t="s">
        <v>51</v>
      </c>
      <c r="B1126" s="17" t="s">
        <v>84</v>
      </c>
      <c r="C1126" s="13" t="s">
        <v>89</v>
      </c>
      <c r="D1126" s="13" t="s">
        <v>89</v>
      </c>
      <c r="E1126" s="13" t="s">
        <v>89</v>
      </c>
      <c r="F1126" s="14">
        <v>4.8387440897275846</v>
      </c>
      <c r="G1126" s="14">
        <v>5.1630835244762956</v>
      </c>
      <c r="H1126" s="14">
        <v>5.5182903679909803</v>
      </c>
      <c r="I1126" s="14">
        <v>5.900236434838841</v>
      </c>
      <c r="J1126" s="14">
        <v>6.2987738778178688</v>
      </c>
      <c r="K1126" s="14">
        <v>6.720876587361718</v>
      </c>
      <c r="L1126" s="14">
        <v>7.1719241777345317</v>
      </c>
      <c r="M1126" s="14">
        <v>7.6635736347178609</v>
      </c>
      <c r="N1126" s="14">
        <v>8.2005832668307121</v>
      </c>
      <c r="O1126" s="14">
        <v>8.7849449296787601</v>
      </c>
      <c r="P1126" s="14">
        <v>9.4074848431632248</v>
      </c>
      <c r="Q1126" s="14">
        <v>10.059262096083598</v>
      </c>
      <c r="R1126" s="14">
        <v>10.748153823789286</v>
      </c>
      <c r="S1126" s="14"/>
      <c r="T1126" s="14"/>
      <c r="U1126" s="12"/>
      <c r="V1126" s="12"/>
      <c r="W1126" s="12"/>
      <c r="X1126" s="12"/>
      <c r="Y1126" s="12"/>
      <c r="Z1126" s="12"/>
      <c r="AA1126" s="12"/>
      <c r="AB1126" s="12"/>
      <c r="AC1126" s="12"/>
      <c r="AD1126" s="12"/>
      <c r="AE1126" s="12"/>
      <c r="AF1126" s="12"/>
    </row>
    <row r="1127" spans="1:32" x14ac:dyDescent="0.35">
      <c r="A1127" t="s">
        <v>51</v>
      </c>
      <c r="B1127" s="17" t="s">
        <v>84</v>
      </c>
      <c r="C1127" s="13" t="s">
        <v>90</v>
      </c>
      <c r="D1127" s="13" t="s">
        <v>90</v>
      </c>
      <c r="E1127" s="13" t="s">
        <v>90</v>
      </c>
      <c r="F1127" s="14">
        <v>10.168366774428462</v>
      </c>
      <c r="G1127" s="14">
        <v>10.749115989214987</v>
      </c>
      <c r="H1127" s="14">
        <v>11.365004339376149</v>
      </c>
      <c r="I1127" s="14">
        <v>12.047262436470923</v>
      </c>
      <c r="J1127" s="14">
        <v>12.794384439317557</v>
      </c>
      <c r="K1127" s="14">
        <v>13.603853096208793</v>
      </c>
      <c r="L1127" s="14">
        <v>14.467275271771628</v>
      </c>
      <c r="M1127" s="14">
        <v>15.373441231953738</v>
      </c>
      <c r="N1127" s="14">
        <v>16.321381915482512</v>
      </c>
      <c r="O1127" s="14">
        <v>17.349269333970586</v>
      </c>
      <c r="P1127" s="14">
        <v>18.466371263052299</v>
      </c>
      <c r="Q1127" s="14">
        <v>19.657500573857629</v>
      </c>
      <c r="R1127" s="14">
        <v>20.909337471372091</v>
      </c>
      <c r="S1127" s="14"/>
      <c r="T1127" s="14"/>
      <c r="U1127" s="12"/>
      <c r="V1127" s="12"/>
      <c r="W1127" s="12"/>
      <c r="X1127" s="12"/>
      <c r="Y1127" s="12"/>
      <c r="Z1127" s="12"/>
      <c r="AA1127" s="12"/>
      <c r="AB1127" s="12"/>
      <c r="AC1127" s="12"/>
      <c r="AD1127" s="12"/>
      <c r="AE1127" s="12"/>
      <c r="AF1127" s="12"/>
    </row>
    <row r="1128" spans="1:32" x14ac:dyDescent="0.35">
      <c r="A1128" t="s">
        <v>51</v>
      </c>
      <c r="B1128" s="17" t="s">
        <v>91</v>
      </c>
      <c r="C1128" s="13" t="s">
        <v>92</v>
      </c>
      <c r="D1128" s="13" t="s">
        <v>92</v>
      </c>
      <c r="E1128" s="13" t="s">
        <v>92</v>
      </c>
      <c r="F1128" s="14">
        <v>33.71812024069046</v>
      </c>
      <c r="G1128" s="14">
        <v>36.049876487049012</v>
      </c>
      <c r="H1128" s="14">
        <v>38.602967056196412</v>
      </c>
      <c r="I1128" s="14">
        <v>41.40120849148137</v>
      </c>
      <c r="J1128" s="14">
        <v>44.485090512088703</v>
      </c>
      <c r="K1128" s="14">
        <v>47.917310810602459</v>
      </c>
      <c r="L1128" s="14">
        <v>51.726149052443162</v>
      </c>
      <c r="M1128" s="14">
        <v>55.941195496405349</v>
      </c>
      <c r="N1128" s="14">
        <v>60.518363570143357</v>
      </c>
      <c r="O1128" s="14">
        <v>65.429694824896117</v>
      </c>
      <c r="P1128" s="14">
        <v>70.608742812533421</v>
      </c>
      <c r="Q1128" s="14">
        <v>76.032981483311346</v>
      </c>
      <c r="R1128" s="14">
        <v>81.754691090817829</v>
      </c>
      <c r="S1128" s="14"/>
      <c r="T1128" s="14"/>
      <c r="U1128" s="12"/>
      <c r="V1128" s="12"/>
      <c r="W1128" s="12"/>
      <c r="X1128" s="12"/>
      <c r="Y1128" s="12"/>
      <c r="Z1128" s="12"/>
      <c r="AA1128" s="12"/>
      <c r="AB1128" s="12"/>
      <c r="AC1128" s="12"/>
      <c r="AD1128" s="12"/>
      <c r="AE1128" s="12"/>
      <c r="AF1128" s="12"/>
    </row>
    <row r="1129" spans="1:32" x14ac:dyDescent="0.35">
      <c r="A1129" t="s">
        <v>51</v>
      </c>
      <c r="B1129" s="17" t="s">
        <v>91</v>
      </c>
      <c r="C1129" s="13" t="s">
        <v>93</v>
      </c>
      <c r="D1129" s="13" t="s">
        <v>93</v>
      </c>
      <c r="E1129" s="13" t="s">
        <v>93</v>
      </c>
      <c r="F1129" s="14">
        <v>42.048751772464293</v>
      </c>
      <c r="G1129" s="14">
        <v>44.695902430749747</v>
      </c>
      <c r="H1129" s="14">
        <v>47.56423855950532</v>
      </c>
      <c r="I1129" s="14">
        <v>50.658518379375536</v>
      </c>
      <c r="J1129" s="14">
        <v>53.933251328815501</v>
      </c>
      <c r="K1129" s="14">
        <v>57.411787480194334</v>
      </c>
      <c r="L1129" s="14">
        <v>61.132851927354778</v>
      </c>
      <c r="M1129" s="14">
        <v>65.119259778779337</v>
      </c>
      <c r="N1129" s="14">
        <v>69.414800858611017</v>
      </c>
      <c r="O1129" s="14">
        <v>74.046780932566875</v>
      </c>
      <c r="P1129" s="14">
        <v>79.014062774720969</v>
      </c>
      <c r="Q1129" s="14">
        <v>84.33084684595832</v>
      </c>
      <c r="R1129" s="14">
        <v>89.980679177356905</v>
      </c>
      <c r="S1129" s="14"/>
      <c r="T1129" s="14"/>
      <c r="U1129" s="12"/>
      <c r="V1129" s="12"/>
      <c r="W1129" s="12"/>
      <c r="X1129" s="12"/>
      <c r="Y1129" s="12"/>
      <c r="Z1129" s="12"/>
      <c r="AA1129" s="12"/>
      <c r="AB1129" s="12"/>
      <c r="AC1129" s="12"/>
      <c r="AD1129" s="12"/>
      <c r="AE1129" s="12"/>
      <c r="AF1129" s="12"/>
    </row>
    <row r="1130" spans="1:32" x14ac:dyDescent="0.35">
      <c r="A1130" t="s">
        <v>51</v>
      </c>
      <c r="B1130" s="17" t="s">
        <v>94</v>
      </c>
      <c r="C1130" s="13" t="s">
        <v>95</v>
      </c>
      <c r="D1130" s="13" t="s">
        <v>95</v>
      </c>
      <c r="E1130" s="13" t="s">
        <v>95</v>
      </c>
      <c r="F1130" s="14">
        <v>9.5992215260589315</v>
      </c>
      <c r="G1130" s="14">
        <v>10.411925412233904</v>
      </c>
      <c r="H1130" s="14">
        <v>11.295344471699348</v>
      </c>
      <c r="I1130" s="14">
        <v>12.284609753091331</v>
      </c>
      <c r="J1130" s="14">
        <v>13.384894490362973</v>
      </c>
      <c r="K1130" s="14">
        <v>14.600479724215301</v>
      </c>
      <c r="L1130" s="14">
        <v>15.929402836564877</v>
      </c>
      <c r="M1130" s="14">
        <v>17.366008175096365</v>
      </c>
      <c r="N1130" s="14">
        <v>18.915249342315839</v>
      </c>
      <c r="O1130" s="14">
        <v>20.627612105591304</v>
      </c>
      <c r="P1130" s="14">
        <v>22.524097999467038</v>
      </c>
      <c r="Q1130" s="14">
        <v>24.597504657823734</v>
      </c>
      <c r="R1130" s="14">
        <v>26.841599000615812</v>
      </c>
      <c r="S1130" s="14"/>
      <c r="T1130" s="14"/>
      <c r="U1130" s="12"/>
      <c r="V1130" s="12"/>
      <c r="W1130" s="12"/>
      <c r="X1130" s="12"/>
      <c r="Y1130" s="12"/>
      <c r="Z1130" s="12"/>
      <c r="AA1130" s="12"/>
      <c r="AB1130" s="12"/>
      <c r="AC1130" s="12"/>
      <c r="AD1130" s="12"/>
      <c r="AE1130" s="12"/>
      <c r="AF1130" s="12"/>
    </row>
    <row r="1131" spans="1:32" x14ac:dyDescent="0.35">
      <c r="A1131" t="s">
        <v>51</v>
      </c>
      <c r="B1131" s="17" t="s">
        <v>94</v>
      </c>
      <c r="C1131" s="40" t="s">
        <v>96</v>
      </c>
      <c r="D1131" s="40" t="s">
        <v>96</v>
      </c>
      <c r="E1131" s="40" t="s">
        <v>96</v>
      </c>
      <c r="F1131" s="42">
        <v>7.6926410695964904</v>
      </c>
      <c r="G1131" s="42">
        <v>8.3453846260893982</v>
      </c>
      <c r="H1131" s="42">
        <v>9.0665003215722493</v>
      </c>
      <c r="I1131" s="42">
        <v>9.823840816687067</v>
      </c>
      <c r="J1131" s="42">
        <v>10.629180918817653</v>
      </c>
      <c r="K1131" s="42">
        <v>11.498593511288448</v>
      </c>
      <c r="L1131" s="42">
        <v>12.469398674347843</v>
      </c>
      <c r="M1131" s="42">
        <v>13.548976509401271</v>
      </c>
      <c r="N1131" s="42">
        <v>14.746840490749463</v>
      </c>
      <c r="O1131" s="42">
        <v>15.995571796023214</v>
      </c>
      <c r="P1131" s="42">
        <v>17.286159519470374</v>
      </c>
      <c r="Q1131" s="42">
        <v>18.681846558358785</v>
      </c>
      <c r="R1131" s="42">
        <v>20.177899001586809</v>
      </c>
      <c r="S1131" s="14"/>
      <c r="T1131" s="14"/>
      <c r="U1131" s="12"/>
      <c r="V1131" s="12"/>
      <c r="W1131" s="12"/>
      <c r="X1131" s="12"/>
      <c r="Y1131" s="12"/>
      <c r="Z1131" s="12"/>
      <c r="AA1131" s="12"/>
      <c r="AB1131" s="12"/>
      <c r="AC1131" s="12"/>
      <c r="AD1131" s="12"/>
      <c r="AE1131" s="12"/>
      <c r="AF1131" s="12"/>
    </row>
    <row r="1132" spans="1:32" x14ac:dyDescent="0.35">
      <c r="A1132" t="s">
        <v>51</v>
      </c>
      <c r="B1132" s="17" t="s">
        <v>94</v>
      </c>
      <c r="C1132" s="13" t="s">
        <v>97</v>
      </c>
      <c r="D1132" s="13" t="s">
        <v>97</v>
      </c>
      <c r="E1132" s="13" t="s">
        <v>97</v>
      </c>
      <c r="F1132" s="14">
        <v>10.159806426507956</v>
      </c>
      <c r="G1132" s="14">
        <v>10.79245361129886</v>
      </c>
      <c r="H1132" s="14">
        <v>11.483573852760667</v>
      </c>
      <c r="I1132" s="14">
        <v>12.223741884982593</v>
      </c>
      <c r="J1132" s="14">
        <v>12.991221122999356</v>
      </c>
      <c r="K1132" s="14">
        <v>13.799968929803644</v>
      </c>
      <c r="L1132" s="14">
        <v>14.660415757368014</v>
      </c>
      <c r="M1132" s="14">
        <v>15.595631483771596</v>
      </c>
      <c r="N1132" s="14">
        <v>16.614228054485125</v>
      </c>
      <c r="O1132" s="14">
        <v>17.719049061907683</v>
      </c>
      <c r="P1132" s="14">
        <v>18.890355176618403</v>
      </c>
      <c r="Q1132" s="14">
        <v>20.10921332154696</v>
      </c>
      <c r="R1132" s="14">
        <v>21.390638014290424</v>
      </c>
      <c r="S1132" s="14"/>
      <c r="T1132" s="14"/>
      <c r="U1132" s="12"/>
      <c r="V1132" s="12"/>
      <c r="W1132" s="12"/>
      <c r="X1132" s="12"/>
      <c r="Y1132" s="12"/>
      <c r="Z1132" s="12"/>
      <c r="AA1132" s="12"/>
      <c r="AB1132" s="12"/>
      <c r="AC1132" s="12"/>
      <c r="AD1132" s="12"/>
      <c r="AE1132" s="12"/>
      <c r="AF1132" s="12"/>
    </row>
    <row r="1133" spans="1:32" x14ac:dyDescent="0.35">
      <c r="A1133" t="s">
        <v>51</v>
      </c>
      <c r="B1133" s="17" t="s">
        <v>94</v>
      </c>
      <c r="C1133" s="13" t="s">
        <v>98</v>
      </c>
      <c r="D1133" s="13" t="s">
        <v>98</v>
      </c>
      <c r="E1133" s="13" t="s">
        <v>98</v>
      </c>
      <c r="F1133" s="14">
        <v>20.840059033820602</v>
      </c>
      <c r="G1133" s="14">
        <v>22.11211029214553</v>
      </c>
      <c r="H1133" s="14">
        <v>23.498659492775616</v>
      </c>
      <c r="I1133" s="14">
        <v>25.011317278232248</v>
      </c>
      <c r="J1133" s="14">
        <v>26.67137063888504</v>
      </c>
      <c r="K1133" s="14">
        <v>28.512728862927812</v>
      </c>
      <c r="L1133" s="14">
        <v>30.547741867016061</v>
      </c>
      <c r="M1133" s="14">
        <v>32.789093482801192</v>
      </c>
      <c r="N1133" s="14">
        <v>35.205827445236615</v>
      </c>
      <c r="O1133" s="14">
        <v>37.777217251889098</v>
      </c>
      <c r="P1133" s="14">
        <v>40.460863734230898</v>
      </c>
      <c r="Q1133" s="14">
        <v>43.240744439591523</v>
      </c>
      <c r="R1133" s="14">
        <v>46.143813617326806</v>
      </c>
      <c r="S1133" s="14"/>
      <c r="T1133" s="14"/>
      <c r="U1133" s="12"/>
      <c r="V1133" s="12"/>
      <c r="W1133" s="12"/>
      <c r="X1133" s="12"/>
      <c r="Y1133" s="12"/>
      <c r="Z1133" s="12"/>
      <c r="AA1133" s="12"/>
      <c r="AB1133" s="12"/>
      <c r="AC1133" s="12"/>
      <c r="AD1133" s="12"/>
      <c r="AE1133" s="12"/>
      <c r="AF1133" s="12"/>
    </row>
    <row r="1134" spans="1:32" x14ac:dyDescent="0.35">
      <c r="A1134" t="s">
        <v>51</v>
      </c>
      <c r="B1134" s="17" t="s">
        <v>94</v>
      </c>
      <c r="C1134" s="13" t="s">
        <v>48</v>
      </c>
      <c r="D1134" s="13" t="s">
        <v>48</v>
      </c>
      <c r="E1134" s="13" t="s">
        <v>48</v>
      </c>
      <c r="F1134" s="14">
        <v>11.073177454437346</v>
      </c>
      <c r="G1134" s="14">
        <v>11.906018509569352</v>
      </c>
      <c r="H1134" s="14">
        <v>12.822546467518906</v>
      </c>
      <c r="I1134" s="14">
        <v>13.814977767680622</v>
      </c>
      <c r="J1134" s="14">
        <v>14.861169617976534</v>
      </c>
      <c r="K1134" s="14">
        <v>15.978674167999563</v>
      </c>
      <c r="L1134" s="14">
        <v>17.181776011428759</v>
      </c>
      <c r="M1134" s="14">
        <v>18.500215453886238</v>
      </c>
      <c r="N1134" s="14">
        <v>19.947964691982143</v>
      </c>
      <c r="O1134" s="14">
        <v>21.532657900625285</v>
      </c>
      <c r="P1134" s="14">
        <v>23.23475435509598</v>
      </c>
      <c r="Q1134" s="14">
        <v>25.034649422049558</v>
      </c>
      <c r="R1134" s="14">
        <v>26.953958999374031</v>
      </c>
      <c r="S1134" s="14"/>
      <c r="T1134" s="14"/>
      <c r="U1134" s="12"/>
      <c r="V1134" s="12"/>
      <c r="W1134" s="12"/>
      <c r="X1134" s="12"/>
      <c r="Y1134" s="12"/>
      <c r="Z1134" s="12"/>
      <c r="AA1134" s="12"/>
      <c r="AB1134" s="12"/>
      <c r="AC1134" s="12"/>
      <c r="AD1134" s="12"/>
      <c r="AE1134" s="12"/>
      <c r="AF1134" s="12"/>
    </row>
    <row r="1135" spans="1:32" x14ac:dyDescent="0.35">
      <c r="A1135" t="s">
        <v>51</v>
      </c>
      <c r="B1135" s="17" t="s">
        <v>94</v>
      </c>
      <c r="C1135" s="13" t="s">
        <v>99</v>
      </c>
      <c r="D1135" s="13" t="s">
        <v>99</v>
      </c>
      <c r="E1135" s="13" t="s">
        <v>99</v>
      </c>
      <c r="F1135" s="14">
        <v>8.9412342176862527</v>
      </c>
      <c r="G1135" s="14">
        <v>9.3399256597018763</v>
      </c>
      <c r="H1135" s="14">
        <v>9.758107107131563</v>
      </c>
      <c r="I1135" s="14">
        <v>10.221698823194998</v>
      </c>
      <c r="J1135" s="14">
        <v>10.727599260658558</v>
      </c>
      <c r="K1135" s="14">
        <v>11.271964576263397</v>
      </c>
      <c r="L1135" s="14">
        <v>11.846224080162198</v>
      </c>
      <c r="M1135" s="14">
        <v>12.439867324788736</v>
      </c>
      <c r="N1135" s="14">
        <v>13.05113515366868</v>
      </c>
      <c r="O1135" s="14">
        <v>13.709628146054207</v>
      </c>
      <c r="P1135" s="14">
        <v>14.420689927911541</v>
      </c>
      <c r="Q1135" s="14">
        <v>15.170270156987975</v>
      </c>
      <c r="R1135" s="14">
        <v>15.946370309847572</v>
      </c>
      <c r="S1135" s="14"/>
      <c r="T1135" s="14"/>
      <c r="U1135" s="12"/>
      <c r="V1135" s="12"/>
      <c r="W1135" s="12"/>
      <c r="X1135" s="12"/>
      <c r="Y1135" s="12"/>
      <c r="Z1135" s="12"/>
      <c r="AA1135" s="12"/>
      <c r="AB1135" s="12"/>
      <c r="AC1135" s="12"/>
      <c r="AD1135" s="12"/>
      <c r="AE1135" s="12"/>
      <c r="AF1135" s="12"/>
    </row>
    <row r="1136" spans="1:32" x14ac:dyDescent="0.35">
      <c r="A1136" t="s">
        <v>51</v>
      </c>
      <c r="B1136" s="17" t="s">
        <v>94</v>
      </c>
      <c r="C1136" s="13" t="s">
        <v>100</v>
      </c>
      <c r="D1136" s="13" t="s">
        <v>100</v>
      </c>
      <c r="E1136" s="13" t="s">
        <v>100</v>
      </c>
      <c r="F1136" s="14">
        <v>7.4607322850471798</v>
      </c>
      <c r="G1136" s="14">
        <v>7.8379608067598356</v>
      </c>
      <c r="H1136" s="14">
        <v>8.2424739022433897</v>
      </c>
      <c r="I1136" s="14">
        <v>8.6795405469880436</v>
      </c>
      <c r="J1136" s="14">
        <v>9.1529057912040876</v>
      </c>
      <c r="K1136" s="14">
        <v>9.6666885182986277</v>
      </c>
      <c r="L1136" s="14">
        <v>10.224041752910191</v>
      </c>
      <c r="M1136" s="14">
        <v>10.820662845439305</v>
      </c>
      <c r="N1136" s="14">
        <v>11.451919250316498</v>
      </c>
      <c r="O1136" s="14">
        <v>12.114739495372204</v>
      </c>
      <c r="P1136" s="14">
        <v>12.805884874460135</v>
      </c>
      <c r="Q1136" s="14">
        <v>13.529599772911123</v>
      </c>
      <c r="R1136" s="14">
        <v>14.281091325133289</v>
      </c>
      <c r="S1136" s="14"/>
      <c r="T1136" s="14"/>
      <c r="U1136" s="12"/>
      <c r="V1136" s="12"/>
      <c r="W1136" s="12"/>
      <c r="X1136" s="12"/>
      <c r="Y1136" s="12"/>
      <c r="Z1136" s="12"/>
      <c r="AA1136" s="12"/>
      <c r="AB1136" s="12"/>
      <c r="AC1136" s="12"/>
      <c r="AD1136" s="12"/>
      <c r="AE1136" s="12"/>
      <c r="AF1136" s="12"/>
    </row>
    <row r="1137" spans="2:32" x14ac:dyDescent="0.35">
      <c r="B1137" s="21"/>
      <c r="F1137"/>
      <c r="G1137"/>
      <c r="H1137"/>
      <c r="I1137"/>
      <c r="J1137"/>
      <c r="K1137"/>
      <c r="L1137"/>
      <c r="M1137"/>
      <c r="S1137" s="14"/>
      <c r="T1137" s="14"/>
      <c r="U1137" s="12"/>
      <c r="V1137" s="12"/>
      <c r="W1137" s="12"/>
      <c r="X1137" s="12"/>
      <c r="Y1137" s="12"/>
      <c r="Z1137" s="12"/>
      <c r="AA1137" s="12"/>
      <c r="AB1137" s="12"/>
      <c r="AC1137" s="12"/>
      <c r="AD1137" s="12"/>
      <c r="AE1137" s="12"/>
      <c r="AF1137" s="12"/>
    </row>
    <row r="1138" spans="2:32" x14ac:dyDescent="0.35">
      <c r="B1138" s="21"/>
      <c r="F1138"/>
      <c r="G1138"/>
      <c r="H1138"/>
      <c r="I1138"/>
      <c r="J1138"/>
      <c r="K1138"/>
      <c r="L1138"/>
      <c r="M1138"/>
      <c r="S1138" s="14"/>
      <c r="T1138" s="14"/>
      <c r="U1138" s="12"/>
      <c r="V1138" s="12"/>
      <c r="W1138" s="12"/>
      <c r="X1138" s="12"/>
      <c r="Y1138" s="12"/>
      <c r="Z1138" s="12"/>
      <c r="AA1138" s="12"/>
      <c r="AB1138" s="12"/>
      <c r="AC1138" s="12"/>
      <c r="AD1138" s="12"/>
      <c r="AE1138" s="12"/>
      <c r="AF1138" s="12"/>
    </row>
    <row r="1139" spans="2:32" x14ac:dyDescent="0.35">
      <c r="B1139" s="21"/>
      <c r="F1139"/>
      <c r="G1139"/>
      <c r="H1139"/>
      <c r="I1139"/>
      <c r="J1139"/>
      <c r="K1139"/>
      <c r="L1139"/>
      <c r="M1139"/>
      <c r="S1139" s="14"/>
      <c r="T1139" s="14"/>
      <c r="U1139" s="12"/>
      <c r="V1139" s="12"/>
      <c r="W1139" s="12"/>
      <c r="X1139" s="12"/>
      <c r="Y1139" s="12"/>
      <c r="Z1139" s="12"/>
      <c r="AA1139" s="12"/>
      <c r="AB1139" s="12"/>
      <c r="AC1139" s="12"/>
      <c r="AD1139" s="12"/>
      <c r="AE1139" s="12"/>
      <c r="AF1139" s="12"/>
    </row>
    <row r="1140" spans="2:32" x14ac:dyDescent="0.35">
      <c r="B1140" s="21"/>
      <c r="F1140"/>
      <c r="G1140"/>
      <c r="H1140"/>
      <c r="I1140"/>
      <c r="J1140"/>
      <c r="K1140"/>
      <c r="L1140"/>
      <c r="M1140"/>
      <c r="S1140" s="22"/>
      <c r="T1140" s="22"/>
      <c r="U1140" s="12"/>
      <c r="V1140" s="12"/>
      <c r="W1140" s="12"/>
      <c r="X1140" s="12"/>
      <c r="Y1140" s="12"/>
      <c r="Z1140" s="12"/>
      <c r="AA1140" s="12"/>
      <c r="AB1140" s="12"/>
      <c r="AC1140" s="12"/>
      <c r="AD1140" s="12"/>
      <c r="AE1140" s="12"/>
      <c r="AF1140" s="12"/>
    </row>
    <row r="1141" spans="2:32" x14ac:dyDescent="0.35">
      <c r="B1141" s="21"/>
      <c r="F1141"/>
      <c r="G1141"/>
      <c r="H1141"/>
      <c r="I1141"/>
      <c r="J1141"/>
      <c r="K1141"/>
      <c r="L1141"/>
      <c r="M1141"/>
      <c r="S1141" s="22"/>
      <c r="T1141" s="22"/>
      <c r="U1141" s="12"/>
      <c r="V1141" s="12"/>
      <c r="W1141" s="12"/>
      <c r="X1141" s="12"/>
      <c r="Y1141" s="12"/>
      <c r="Z1141" s="12"/>
      <c r="AA1141" s="12"/>
      <c r="AB1141" s="12"/>
      <c r="AC1141" s="12"/>
      <c r="AD1141" s="12"/>
      <c r="AE1141" s="12"/>
      <c r="AF1141" s="12"/>
    </row>
    <row r="1142" spans="2:32" x14ac:dyDescent="0.35">
      <c r="B1142" s="21"/>
      <c r="F1142"/>
      <c r="G1142"/>
      <c r="H1142"/>
      <c r="I1142"/>
      <c r="J1142"/>
      <c r="K1142"/>
      <c r="L1142"/>
      <c r="M1142"/>
      <c r="S1142" s="22"/>
      <c r="T1142" s="22"/>
      <c r="U1142" s="12"/>
      <c r="V1142" s="12"/>
      <c r="W1142" s="12"/>
      <c r="X1142" s="12"/>
      <c r="Y1142" s="12"/>
      <c r="Z1142" s="12"/>
      <c r="AA1142" s="12"/>
      <c r="AB1142" s="12"/>
      <c r="AC1142" s="12"/>
      <c r="AD1142" s="12"/>
      <c r="AE1142" s="12"/>
      <c r="AF1142" s="12"/>
    </row>
    <row r="1143" spans="2:32" x14ac:dyDescent="0.35">
      <c r="B1143" s="21"/>
      <c r="F1143"/>
      <c r="G1143"/>
      <c r="H1143"/>
      <c r="I1143"/>
      <c r="J1143"/>
      <c r="K1143"/>
      <c r="L1143"/>
      <c r="M1143"/>
      <c r="S1143" s="22"/>
      <c r="T1143" s="22"/>
      <c r="U1143" s="12"/>
      <c r="V1143" s="12"/>
      <c r="W1143" s="12"/>
      <c r="X1143" s="12"/>
      <c r="Y1143" s="12"/>
      <c r="Z1143" s="12"/>
      <c r="AA1143" s="12"/>
      <c r="AB1143" s="12"/>
      <c r="AC1143" s="12"/>
      <c r="AD1143" s="12"/>
      <c r="AE1143" s="12"/>
      <c r="AF1143" s="12"/>
    </row>
    <row r="1144" spans="2:32" x14ac:dyDescent="0.35">
      <c r="B1144" s="21"/>
      <c r="F1144"/>
      <c r="G1144"/>
      <c r="H1144"/>
      <c r="I1144"/>
      <c r="J1144"/>
      <c r="K1144"/>
      <c r="L1144"/>
      <c r="M1144"/>
      <c r="S1144" s="22"/>
      <c r="T1144" s="22"/>
      <c r="U1144" s="12"/>
      <c r="V1144" s="12"/>
      <c r="W1144" s="12"/>
      <c r="X1144" s="12"/>
      <c r="Y1144" s="12"/>
      <c r="Z1144" s="12"/>
      <c r="AA1144" s="12"/>
      <c r="AB1144" s="12"/>
      <c r="AC1144" s="12"/>
      <c r="AD1144" s="12"/>
      <c r="AE1144" s="12"/>
      <c r="AF1144" s="12"/>
    </row>
    <row r="1145" spans="2:32" x14ac:dyDescent="0.35">
      <c r="B1145" s="21"/>
      <c r="F1145"/>
      <c r="G1145"/>
      <c r="H1145"/>
      <c r="I1145"/>
      <c r="J1145"/>
      <c r="K1145"/>
      <c r="L1145"/>
      <c r="M1145"/>
      <c r="S1145" s="22"/>
      <c r="T1145" s="22"/>
      <c r="U1145" s="12"/>
      <c r="V1145" s="12"/>
      <c r="W1145" s="12"/>
      <c r="X1145" s="12"/>
      <c r="Y1145" s="12"/>
      <c r="Z1145" s="12"/>
      <c r="AA1145" s="12"/>
      <c r="AB1145" s="12"/>
      <c r="AC1145" s="12"/>
      <c r="AD1145" s="12"/>
      <c r="AE1145" s="12"/>
      <c r="AF1145" s="12"/>
    </row>
    <row r="1146" spans="2:32" x14ac:dyDescent="0.35">
      <c r="B1146" s="21"/>
      <c r="F1146" s="25"/>
      <c r="G1146" s="25"/>
      <c r="H1146" s="25"/>
      <c r="I1146" s="25"/>
      <c r="J1146" s="25"/>
      <c r="K1146" s="25"/>
      <c r="L1146" s="25"/>
      <c r="M1146" s="25"/>
      <c r="N1146" s="25"/>
      <c r="O1146" s="25"/>
      <c r="P1146" s="25"/>
      <c r="Q1146" s="25"/>
      <c r="R1146" s="25"/>
      <c r="S1146" s="22"/>
      <c r="T1146" s="22"/>
      <c r="U1146" s="12"/>
      <c r="V1146" s="12"/>
      <c r="W1146" s="12"/>
      <c r="X1146" s="12"/>
      <c r="Y1146" s="12"/>
      <c r="Z1146" s="12"/>
      <c r="AA1146" s="12"/>
      <c r="AB1146" s="12"/>
      <c r="AC1146" s="12"/>
      <c r="AD1146" s="12"/>
      <c r="AE1146" s="12"/>
      <c r="AF1146" s="12"/>
    </row>
    <row r="1147" spans="2:32" x14ac:dyDescent="0.35">
      <c r="B1147" s="21"/>
      <c r="F1147" s="25"/>
      <c r="G1147" s="25"/>
      <c r="H1147" s="25"/>
      <c r="I1147" s="25"/>
      <c r="J1147" s="25"/>
      <c r="K1147" s="25"/>
      <c r="L1147" s="25"/>
      <c r="M1147" s="25"/>
      <c r="N1147" s="25"/>
      <c r="O1147" s="25"/>
      <c r="P1147" s="25"/>
      <c r="Q1147" s="25"/>
      <c r="R1147" s="25"/>
      <c r="S1147" s="22"/>
      <c r="T1147" s="22"/>
      <c r="U1147" s="12"/>
      <c r="V1147" s="12"/>
      <c r="W1147" s="12"/>
      <c r="X1147" s="12"/>
      <c r="Y1147" s="12"/>
      <c r="Z1147" s="12"/>
      <c r="AA1147" s="12"/>
      <c r="AB1147" s="12"/>
      <c r="AC1147" s="12"/>
      <c r="AD1147" s="12"/>
      <c r="AE1147" s="12"/>
      <c r="AF1147" s="12"/>
    </row>
    <row r="1148" spans="2:32" x14ac:dyDescent="0.35">
      <c r="B1148" s="21"/>
      <c r="F1148" s="25"/>
      <c r="G1148" s="25"/>
      <c r="H1148" s="25"/>
      <c r="I1148" s="25"/>
      <c r="J1148" s="25"/>
      <c r="K1148" s="25"/>
      <c r="L1148" s="25"/>
      <c r="M1148" s="25"/>
      <c r="N1148" s="25"/>
      <c r="O1148" s="25"/>
      <c r="P1148" s="25"/>
      <c r="Q1148" s="25"/>
      <c r="R1148" s="25"/>
      <c r="S1148" s="22"/>
      <c r="T1148" s="22"/>
      <c r="U1148" s="12"/>
      <c r="V1148" s="12"/>
      <c r="W1148" s="12"/>
      <c r="X1148" s="12"/>
      <c r="Y1148" s="12"/>
      <c r="Z1148" s="12"/>
      <c r="AA1148" s="12"/>
      <c r="AB1148" s="12"/>
      <c r="AC1148" s="12"/>
      <c r="AD1148" s="12"/>
      <c r="AE1148" s="12"/>
      <c r="AF1148" s="12"/>
    </row>
    <row r="1149" spans="2:32" x14ac:dyDescent="0.35">
      <c r="B1149" s="21"/>
      <c r="F1149" s="25"/>
      <c r="G1149" s="25"/>
      <c r="H1149" s="25"/>
      <c r="I1149" s="25"/>
      <c r="J1149" s="25"/>
      <c r="K1149" s="25"/>
      <c r="L1149" s="25"/>
      <c r="M1149" s="25"/>
      <c r="N1149" s="25"/>
      <c r="O1149" s="25"/>
      <c r="P1149" s="25"/>
      <c r="Q1149" s="25"/>
      <c r="R1149" s="25"/>
      <c r="S1149" s="22"/>
      <c r="T1149" s="22"/>
      <c r="U1149" s="12"/>
      <c r="V1149" s="12"/>
      <c r="W1149" s="12"/>
      <c r="X1149" s="12"/>
      <c r="Y1149" s="12"/>
      <c r="Z1149" s="12"/>
      <c r="AA1149" s="12"/>
      <c r="AB1149" s="12"/>
      <c r="AC1149" s="12"/>
      <c r="AD1149" s="12"/>
      <c r="AE1149" s="12"/>
      <c r="AF1149" s="12"/>
    </row>
    <row r="1150" spans="2:32" x14ac:dyDescent="0.35">
      <c r="B1150" s="21"/>
      <c r="F1150" s="25"/>
      <c r="G1150" s="25"/>
      <c r="H1150" s="25"/>
      <c r="I1150" s="25"/>
      <c r="J1150" s="25"/>
      <c r="K1150" s="25"/>
      <c r="L1150" s="25"/>
      <c r="M1150" s="25"/>
      <c r="N1150" s="25"/>
      <c r="O1150" s="25"/>
      <c r="P1150" s="25"/>
      <c r="Q1150" s="25"/>
      <c r="R1150" s="25"/>
      <c r="S1150" s="22"/>
      <c r="T1150" s="22"/>
      <c r="U1150" s="12"/>
      <c r="V1150" s="12"/>
      <c r="W1150" s="12"/>
      <c r="X1150" s="12"/>
      <c r="Y1150" s="12"/>
      <c r="Z1150" s="12"/>
      <c r="AA1150" s="12"/>
      <c r="AB1150" s="12"/>
      <c r="AC1150" s="12"/>
      <c r="AD1150" s="12"/>
      <c r="AE1150" s="12"/>
      <c r="AF1150" s="12"/>
    </row>
    <row r="1151" spans="2:32" x14ac:dyDescent="0.35">
      <c r="B1151" s="21"/>
      <c r="F1151" s="25"/>
      <c r="G1151" s="25"/>
      <c r="H1151" s="25"/>
      <c r="I1151" s="25"/>
      <c r="J1151" s="25"/>
      <c r="K1151" s="25"/>
      <c r="L1151" s="25"/>
      <c r="M1151" s="25"/>
      <c r="N1151" s="25"/>
      <c r="O1151" s="25"/>
      <c r="P1151" s="25"/>
      <c r="Q1151" s="25"/>
      <c r="R1151" s="25"/>
      <c r="S1151" s="22"/>
      <c r="T1151" s="22"/>
      <c r="U1151" s="12"/>
      <c r="V1151" s="12"/>
      <c r="W1151" s="12"/>
      <c r="X1151" s="12"/>
      <c r="Y1151" s="12"/>
      <c r="Z1151" s="12"/>
      <c r="AA1151" s="12"/>
      <c r="AB1151" s="12"/>
      <c r="AC1151" s="12"/>
      <c r="AD1151" s="12"/>
      <c r="AE1151" s="12"/>
      <c r="AF1151" s="12"/>
    </row>
    <row r="1152" spans="2:32" x14ac:dyDescent="0.35">
      <c r="B1152" s="21"/>
      <c r="D1152" s="3"/>
      <c r="E1152" s="3"/>
      <c r="F1152" s="31"/>
      <c r="G1152" s="31"/>
      <c r="H1152" s="31"/>
      <c r="I1152" s="31"/>
      <c r="J1152" s="31"/>
      <c r="K1152" s="31"/>
      <c r="L1152" s="31"/>
      <c r="M1152" s="31"/>
      <c r="N1152" s="31"/>
      <c r="O1152" s="31"/>
      <c r="P1152" s="31"/>
      <c r="Q1152" s="31"/>
      <c r="R1152" s="31"/>
      <c r="S1152" s="22"/>
      <c r="T1152" s="22"/>
      <c r="U1152" s="12"/>
      <c r="V1152" s="12"/>
      <c r="W1152" s="12"/>
      <c r="X1152" s="12"/>
      <c r="Y1152" s="12"/>
      <c r="Z1152" s="12"/>
      <c r="AA1152" s="12"/>
      <c r="AB1152" s="12"/>
      <c r="AC1152" s="12"/>
      <c r="AD1152" s="12"/>
      <c r="AE1152" s="12"/>
      <c r="AF1152" s="12"/>
    </row>
    <row r="1153" spans="2:32" x14ac:dyDescent="0.35">
      <c r="B1153" s="21"/>
      <c r="D1153" s="3"/>
      <c r="E1153" s="3"/>
      <c r="F1153" s="31"/>
      <c r="G1153" s="31"/>
      <c r="H1153" s="31"/>
      <c r="I1153" s="31"/>
      <c r="J1153" s="31"/>
      <c r="K1153" s="31"/>
      <c r="L1153" s="31"/>
      <c r="M1153" s="31"/>
      <c r="N1153" s="31"/>
      <c r="O1153" s="31"/>
      <c r="P1153" s="31"/>
      <c r="Q1153" s="31"/>
      <c r="R1153" s="31"/>
      <c r="S1153" s="22"/>
      <c r="T1153" s="22"/>
      <c r="U1153" s="12"/>
      <c r="V1153" s="12"/>
      <c r="W1153" s="12"/>
      <c r="X1153" s="12"/>
      <c r="Y1153" s="12"/>
      <c r="Z1153" s="12"/>
      <c r="AA1153" s="12"/>
      <c r="AB1153" s="12"/>
      <c r="AC1153" s="12"/>
      <c r="AD1153" s="12"/>
      <c r="AE1153" s="12"/>
      <c r="AF1153" s="12"/>
    </row>
    <row r="1154" spans="2:32" x14ac:dyDescent="0.35">
      <c r="B1154" s="21"/>
      <c r="D1154" s="3"/>
      <c r="E1154" s="3"/>
      <c r="F1154" s="31"/>
      <c r="G1154" s="31"/>
      <c r="H1154" s="31"/>
      <c r="I1154" s="31"/>
      <c r="J1154" s="31"/>
      <c r="K1154" s="31"/>
      <c r="L1154" s="31"/>
      <c r="M1154" s="31"/>
      <c r="N1154" s="31"/>
      <c r="O1154" s="31"/>
      <c r="P1154" s="31"/>
      <c r="Q1154" s="31"/>
      <c r="R1154" s="31"/>
      <c r="S1154" s="22"/>
      <c r="T1154" s="22"/>
      <c r="U1154" s="12"/>
      <c r="V1154" s="12"/>
      <c r="W1154" s="12"/>
      <c r="X1154" s="12"/>
      <c r="Y1154" s="12"/>
      <c r="Z1154" s="12"/>
      <c r="AA1154" s="12"/>
      <c r="AB1154" s="12"/>
      <c r="AC1154" s="12"/>
      <c r="AD1154" s="12"/>
      <c r="AE1154" s="12"/>
      <c r="AF1154" s="12"/>
    </row>
    <row r="1155" spans="2:32" x14ac:dyDescent="0.35">
      <c r="B1155" s="21"/>
      <c r="F1155" s="25"/>
      <c r="G1155" s="25"/>
      <c r="H1155" s="25"/>
      <c r="I1155" s="25"/>
      <c r="J1155" s="25"/>
      <c r="K1155" s="25"/>
      <c r="L1155" s="25"/>
      <c r="M1155" s="25"/>
      <c r="N1155" s="25"/>
      <c r="O1155" s="25"/>
      <c r="P1155" s="25"/>
      <c r="Q1155" s="25"/>
      <c r="R1155" s="25"/>
      <c r="S1155" s="22"/>
      <c r="T1155" s="22"/>
      <c r="U1155" s="12"/>
      <c r="V1155" s="12"/>
      <c r="W1155" s="12"/>
      <c r="X1155" s="12"/>
      <c r="Y1155" s="12"/>
      <c r="Z1155" s="12"/>
      <c r="AA1155" s="12"/>
      <c r="AB1155" s="12"/>
      <c r="AC1155" s="12"/>
      <c r="AD1155" s="12"/>
      <c r="AE1155" s="12"/>
      <c r="AF1155" s="12"/>
    </row>
    <row r="1156" spans="2:32" x14ac:dyDescent="0.35">
      <c r="B1156" s="21"/>
      <c r="F1156" s="25"/>
      <c r="G1156" s="25"/>
      <c r="H1156" s="25"/>
      <c r="I1156" s="25"/>
      <c r="J1156" s="25"/>
      <c r="K1156" s="25"/>
      <c r="L1156" s="25"/>
      <c r="M1156" s="25"/>
      <c r="N1156" s="25"/>
      <c r="O1156" s="25"/>
      <c r="P1156" s="25"/>
      <c r="Q1156" s="25"/>
      <c r="R1156" s="25"/>
      <c r="S1156" s="14"/>
      <c r="T1156" s="14"/>
      <c r="U1156" s="12"/>
      <c r="V1156" s="12"/>
      <c r="W1156" s="12"/>
      <c r="X1156" s="12"/>
      <c r="Y1156" s="12"/>
      <c r="Z1156" s="12"/>
      <c r="AA1156" s="12"/>
      <c r="AB1156" s="12"/>
      <c r="AC1156" s="12"/>
      <c r="AD1156" s="12"/>
      <c r="AE1156" s="12"/>
      <c r="AF1156" s="12"/>
    </row>
    <row r="1157" spans="2:32" x14ac:dyDescent="0.35">
      <c r="B1157" s="21"/>
      <c r="F1157" s="25"/>
      <c r="G1157" s="25"/>
      <c r="H1157" s="25"/>
      <c r="I1157" s="25"/>
      <c r="J1157" s="25"/>
      <c r="K1157" s="25"/>
      <c r="L1157" s="25"/>
      <c r="M1157" s="25"/>
      <c r="N1157" s="25"/>
      <c r="O1157" s="25"/>
      <c r="P1157" s="25"/>
      <c r="Q1157" s="25"/>
      <c r="R1157" s="25"/>
      <c r="S1157" s="14"/>
      <c r="T1157" s="14"/>
      <c r="U1157" s="12"/>
      <c r="V1157" s="12"/>
      <c r="W1157" s="12"/>
      <c r="X1157" s="12"/>
      <c r="Y1157" s="12"/>
      <c r="Z1157" s="12"/>
      <c r="AA1157" s="12"/>
      <c r="AB1157" s="12"/>
      <c r="AC1157" s="12"/>
      <c r="AD1157" s="12"/>
      <c r="AE1157" s="12"/>
      <c r="AF1157" s="12"/>
    </row>
    <row r="1158" spans="2:32" x14ac:dyDescent="0.35">
      <c r="B1158" s="21"/>
      <c r="F1158" s="25"/>
      <c r="G1158" s="25"/>
      <c r="H1158" s="25"/>
      <c r="I1158" s="25"/>
      <c r="J1158" s="25"/>
      <c r="K1158" s="25"/>
      <c r="L1158" s="25"/>
      <c r="M1158" s="25"/>
      <c r="N1158" s="25"/>
      <c r="O1158" s="25"/>
      <c r="P1158" s="25"/>
      <c r="Q1158" s="25"/>
      <c r="R1158" s="25"/>
      <c r="S1158" s="14"/>
      <c r="T1158" s="14"/>
      <c r="U1158" s="12"/>
      <c r="V1158" s="12"/>
      <c r="W1158" s="12"/>
      <c r="X1158" s="12"/>
      <c r="Y1158" s="12"/>
      <c r="Z1158" s="12"/>
      <c r="AA1158" s="12"/>
      <c r="AB1158" s="12"/>
      <c r="AC1158" s="12"/>
      <c r="AD1158" s="12"/>
      <c r="AE1158" s="12"/>
      <c r="AF1158" s="12"/>
    </row>
    <row r="1159" spans="2:32" x14ac:dyDescent="0.35">
      <c r="B1159" s="21"/>
      <c r="F1159" s="25"/>
      <c r="G1159" s="25"/>
      <c r="H1159" s="25"/>
      <c r="I1159" s="25"/>
      <c r="J1159" s="25"/>
      <c r="K1159" s="25"/>
      <c r="L1159" s="25"/>
      <c r="M1159" s="25"/>
      <c r="N1159" s="25"/>
      <c r="O1159" s="25"/>
      <c r="P1159" s="25"/>
      <c r="Q1159" s="25"/>
      <c r="R1159" s="25"/>
      <c r="S1159" s="14"/>
      <c r="T1159" s="14"/>
      <c r="U1159" s="12"/>
      <c r="V1159" s="12"/>
      <c r="W1159" s="12"/>
      <c r="X1159" s="12"/>
      <c r="Y1159" s="12"/>
      <c r="Z1159" s="12"/>
      <c r="AA1159" s="12"/>
      <c r="AB1159" s="12"/>
      <c r="AC1159" s="12"/>
      <c r="AD1159" s="12"/>
      <c r="AE1159" s="12"/>
      <c r="AF1159" s="12"/>
    </row>
    <row r="1160" spans="2:32" x14ac:dyDescent="0.35">
      <c r="B1160" s="21"/>
      <c r="F1160" s="25"/>
      <c r="G1160" s="25"/>
      <c r="H1160" s="25"/>
      <c r="I1160" s="25"/>
      <c r="J1160" s="25"/>
      <c r="K1160" s="25"/>
      <c r="L1160" s="25"/>
      <c r="M1160" s="25"/>
      <c r="N1160" s="25"/>
      <c r="O1160" s="25"/>
      <c r="P1160" s="25"/>
      <c r="Q1160" s="25"/>
      <c r="R1160" s="25"/>
      <c r="S1160" s="14"/>
      <c r="T1160" s="14"/>
      <c r="U1160" s="12"/>
      <c r="V1160" s="12"/>
      <c r="W1160" s="12"/>
      <c r="X1160" s="12"/>
      <c r="Y1160" s="12"/>
      <c r="Z1160" s="12"/>
      <c r="AA1160" s="12"/>
      <c r="AB1160" s="12"/>
      <c r="AC1160" s="12"/>
      <c r="AD1160" s="12"/>
      <c r="AE1160" s="12"/>
      <c r="AF1160" s="12"/>
    </row>
    <row r="1161" spans="2:32" x14ac:dyDescent="0.35">
      <c r="B1161" s="21"/>
      <c r="F1161" s="25"/>
      <c r="G1161" s="25"/>
      <c r="H1161" s="25"/>
      <c r="I1161" s="25"/>
      <c r="J1161" s="25"/>
      <c r="K1161" s="25"/>
      <c r="L1161" s="25"/>
      <c r="M1161" s="25"/>
      <c r="N1161" s="25"/>
      <c r="O1161" s="25"/>
      <c r="P1161" s="25"/>
      <c r="Q1161" s="25"/>
      <c r="R1161" s="25"/>
      <c r="S1161" s="14"/>
      <c r="T1161" s="14"/>
      <c r="U1161" s="12"/>
      <c r="V1161" s="12"/>
      <c r="W1161" s="12"/>
      <c r="X1161" s="12"/>
      <c r="Y1161" s="12"/>
      <c r="Z1161" s="12"/>
      <c r="AA1161" s="12"/>
      <c r="AB1161" s="12"/>
      <c r="AC1161" s="12"/>
      <c r="AD1161" s="12"/>
      <c r="AE1161" s="12"/>
      <c r="AF1161" s="12"/>
    </row>
    <row r="1162" spans="2:32" x14ac:dyDescent="0.35">
      <c r="B1162" s="21"/>
      <c r="D1162" s="2"/>
      <c r="E1162" s="2"/>
      <c r="F1162" s="31"/>
      <c r="G1162" s="31"/>
      <c r="H1162" s="31"/>
      <c r="I1162" s="31"/>
      <c r="J1162" s="31"/>
      <c r="K1162" s="31"/>
      <c r="L1162" s="31"/>
      <c r="M1162" s="31"/>
      <c r="N1162" s="31"/>
      <c r="O1162" s="31"/>
      <c r="P1162" s="31"/>
      <c r="Q1162" s="31"/>
      <c r="R1162" s="31"/>
      <c r="S1162" s="14"/>
      <c r="T1162" s="14"/>
      <c r="U1162" s="12"/>
      <c r="V1162" s="12"/>
      <c r="W1162" s="12"/>
      <c r="X1162" s="12"/>
      <c r="Y1162" s="12"/>
      <c r="Z1162" s="12"/>
      <c r="AA1162" s="12"/>
      <c r="AB1162" s="12"/>
      <c r="AC1162" s="12"/>
      <c r="AD1162" s="12"/>
      <c r="AE1162" s="12"/>
      <c r="AF1162" s="12"/>
    </row>
    <row r="1163" spans="2:32" x14ac:dyDescent="0.35">
      <c r="B1163" s="21"/>
      <c r="D1163" s="2"/>
      <c r="E1163" s="2"/>
      <c r="F1163" s="31"/>
      <c r="G1163" s="31"/>
      <c r="H1163" s="31"/>
      <c r="I1163" s="31"/>
      <c r="J1163" s="31"/>
      <c r="K1163" s="31"/>
      <c r="L1163" s="31"/>
      <c r="M1163" s="31"/>
      <c r="N1163" s="31"/>
      <c r="O1163" s="31"/>
      <c r="P1163" s="31"/>
      <c r="Q1163" s="31"/>
      <c r="R1163" s="31"/>
      <c r="S1163" s="22"/>
      <c r="T1163" s="22"/>
      <c r="U1163" s="12"/>
      <c r="V1163" s="12"/>
      <c r="W1163" s="12"/>
      <c r="X1163" s="12"/>
      <c r="Y1163" s="12"/>
      <c r="Z1163" s="12"/>
      <c r="AA1163" s="12"/>
      <c r="AB1163" s="12"/>
      <c r="AC1163" s="12"/>
      <c r="AD1163" s="12"/>
      <c r="AE1163" s="12"/>
      <c r="AF1163" s="12"/>
    </row>
    <row r="1164" spans="2:32" x14ac:dyDescent="0.35">
      <c r="B1164" s="21"/>
      <c r="D1164" s="2"/>
      <c r="E1164" s="2"/>
      <c r="F1164" s="31"/>
      <c r="G1164" s="31"/>
      <c r="H1164" s="31"/>
      <c r="I1164" s="31"/>
      <c r="J1164" s="31"/>
      <c r="K1164" s="31"/>
      <c r="L1164" s="31"/>
      <c r="M1164" s="31"/>
      <c r="N1164" s="31"/>
      <c r="O1164" s="31"/>
      <c r="P1164" s="31"/>
      <c r="Q1164" s="31"/>
      <c r="R1164" s="31"/>
      <c r="S1164" s="22"/>
      <c r="T1164" s="22"/>
      <c r="U1164" s="12"/>
      <c r="V1164" s="12"/>
      <c r="W1164" s="12"/>
      <c r="X1164" s="12"/>
      <c r="Y1164" s="12"/>
      <c r="Z1164" s="12"/>
      <c r="AA1164" s="12"/>
      <c r="AB1164" s="12"/>
      <c r="AC1164" s="12"/>
      <c r="AD1164" s="12"/>
      <c r="AE1164" s="12"/>
      <c r="AF1164" s="12"/>
    </row>
    <row r="1165" spans="2:32" x14ac:dyDescent="0.35">
      <c r="B1165" s="21"/>
      <c r="D1165" s="2"/>
      <c r="E1165" s="2"/>
      <c r="F1165" s="31"/>
      <c r="G1165" s="31"/>
      <c r="H1165" s="31"/>
      <c r="I1165" s="31"/>
      <c r="J1165" s="31"/>
      <c r="K1165" s="31"/>
      <c r="L1165" s="31"/>
      <c r="M1165" s="31"/>
      <c r="N1165" s="31"/>
      <c r="O1165" s="31"/>
      <c r="P1165" s="31"/>
      <c r="Q1165" s="31"/>
      <c r="R1165" s="31"/>
      <c r="S1165" s="22"/>
      <c r="T1165" s="22"/>
      <c r="U1165" s="12"/>
      <c r="V1165" s="12"/>
      <c r="W1165" s="12"/>
      <c r="X1165" s="12"/>
      <c r="Y1165" s="12"/>
      <c r="Z1165" s="12"/>
      <c r="AA1165" s="12"/>
      <c r="AB1165" s="12"/>
      <c r="AC1165" s="12"/>
      <c r="AD1165" s="12"/>
      <c r="AE1165" s="12"/>
      <c r="AF1165" s="12"/>
    </row>
    <row r="1166" spans="2:32" x14ac:dyDescent="0.35">
      <c r="B1166" s="21"/>
      <c r="D1166" s="2"/>
      <c r="E1166" s="2"/>
      <c r="F1166" s="31"/>
      <c r="G1166" s="31"/>
      <c r="H1166" s="31"/>
      <c r="I1166" s="31"/>
      <c r="J1166" s="31"/>
      <c r="K1166" s="31"/>
      <c r="L1166" s="31"/>
      <c r="M1166" s="31"/>
      <c r="N1166" s="31"/>
      <c r="O1166" s="31"/>
      <c r="P1166" s="31"/>
      <c r="Q1166" s="31"/>
      <c r="R1166" s="31"/>
      <c r="S1166" s="22"/>
      <c r="T1166" s="22"/>
      <c r="U1166" s="12"/>
      <c r="V1166" s="12"/>
      <c r="W1166" s="12"/>
      <c r="X1166" s="12"/>
      <c r="Y1166" s="12"/>
      <c r="Z1166" s="12"/>
      <c r="AA1166" s="12"/>
      <c r="AB1166" s="12"/>
      <c r="AC1166" s="12"/>
      <c r="AD1166" s="12"/>
      <c r="AE1166" s="12"/>
      <c r="AF1166" s="12"/>
    </row>
    <row r="1167" spans="2:32" x14ac:dyDescent="0.35">
      <c r="B1167" s="21"/>
      <c r="D1167" s="2"/>
      <c r="E1167" s="2"/>
      <c r="F1167" s="31"/>
      <c r="G1167" s="31"/>
      <c r="H1167" s="31"/>
      <c r="I1167" s="31"/>
      <c r="J1167" s="31"/>
      <c r="K1167" s="31"/>
      <c r="L1167" s="31"/>
      <c r="M1167" s="31"/>
      <c r="N1167" s="31"/>
      <c r="O1167" s="31"/>
      <c r="P1167" s="31"/>
      <c r="Q1167" s="31"/>
      <c r="R1167" s="31"/>
      <c r="S1167" s="22"/>
      <c r="T1167" s="22"/>
      <c r="U1167" s="12"/>
      <c r="V1167" s="12"/>
      <c r="W1167" s="12"/>
      <c r="X1167" s="12"/>
      <c r="Y1167" s="12"/>
      <c r="Z1167" s="12"/>
      <c r="AA1167" s="12"/>
      <c r="AB1167" s="12"/>
      <c r="AC1167" s="12"/>
      <c r="AD1167" s="12"/>
      <c r="AE1167" s="12"/>
      <c r="AF1167" s="12"/>
    </row>
    <row r="1168" spans="2:32" x14ac:dyDescent="0.35">
      <c r="B1168" s="21"/>
      <c r="D1168" s="2"/>
      <c r="E1168" s="2"/>
      <c r="F1168" s="31"/>
      <c r="G1168" s="31"/>
      <c r="H1168" s="31"/>
      <c r="I1168" s="31"/>
      <c r="J1168" s="31"/>
      <c r="K1168" s="31"/>
      <c r="L1168" s="31"/>
      <c r="M1168" s="31"/>
      <c r="N1168" s="31"/>
      <c r="O1168" s="31"/>
      <c r="P1168" s="31"/>
      <c r="Q1168" s="31"/>
      <c r="R1168" s="31"/>
      <c r="S1168" s="22"/>
      <c r="T1168" s="22"/>
      <c r="U1168" s="12"/>
      <c r="V1168" s="12"/>
      <c r="W1168" s="12"/>
      <c r="X1168" s="12"/>
      <c r="Y1168" s="12"/>
      <c r="Z1168" s="12"/>
      <c r="AA1168" s="12"/>
      <c r="AB1168" s="12"/>
      <c r="AC1168" s="12"/>
      <c r="AD1168" s="12"/>
      <c r="AE1168" s="12"/>
      <c r="AF1168" s="12"/>
    </row>
    <row r="1169" spans="2:32" x14ac:dyDescent="0.35">
      <c r="B1169" s="21"/>
      <c r="F1169" s="25"/>
      <c r="G1169" s="25"/>
      <c r="H1169" s="25"/>
      <c r="I1169" s="25"/>
      <c r="J1169" s="25"/>
      <c r="K1169" s="25"/>
      <c r="L1169" s="25"/>
      <c r="M1169" s="25"/>
      <c r="N1169" s="25"/>
      <c r="O1169" s="25"/>
      <c r="P1169" s="25"/>
      <c r="Q1169" s="25"/>
      <c r="R1169" s="25"/>
      <c r="S1169" s="22"/>
      <c r="T1169" s="22"/>
      <c r="U1169" s="12"/>
      <c r="V1169" s="12"/>
      <c r="W1169" s="12"/>
      <c r="X1169" s="12"/>
      <c r="Y1169" s="12"/>
      <c r="Z1169" s="12"/>
      <c r="AA1169" s="12"/>
      <c r="AB1169" s="12"/>
      <c r="AC1169" s="12"/>
      <c r="AD1169" s="12"/>
      <c r="AE1169" s="12"/>
      <c r="AF1169" s="12"/>
    </row>
    <row r="1170" spans="2:32" x14ac:dyDescent="0.35">
      <c r="B1170" s="21"/>
      <c r="F1170" s="25"/>
      <c r="G1170" s="25"/>
      <c r="H1170" s="25"/>
      <c r="I1170" s="25"/>
      <c r="J1170" s="25"/>
      <c r="K1170" s="25"/>
      <c r="L1170" s="25"/>
      <c r="M1170" s="25"/>
      <c r="N1170" s="25"/>
      <c r="O1170" s="25"/>
      <c r="P1170" s="25"/>
      <c r="Q1170" s="25"/>
      <c r="R1170" s="25"/>
      <c r="S1170" s="22"/>
      <c r="T1170" s="22"/>
      <c r="U1170" s="12"/>
      <c r="V1170" s="12"/>
      <c r="W1170" s="12"/>
      <c r="X1170" s="12"/>
      <c r="Y1170" s="12"/>
      <c r="Z1170" s="12"/>
      <c r="AA1170" s="12"/>
      <c r="AB1170" s="12"/>
      <c r="AC1170" s="12"/>
      <c r="AD1170" s="12"/>
      <c r="AE1170" s="12"/>
      <c r="AF1170" s="12"/>
    </row>
    <row r="1171" spans="2:32" x14ac:dyDescent="0.35">
      <c r="B1171" s="21"/>
      <c r="F1171" s="25"/>
      <c r="G1171" s="25"/>
      <c r="H1171" s="25"/>
      <c r="I1171" s="25"/>
      <c r="J1171" s="25"/>
      <c r="K1171" s="25"/>
      <c r="L1171" s="25"/>
      <c r="M1171" s="25"/>
      <c r="N1171" s="25"/>
      <c r="O1171" s="25"/>
      <c r="P1171" s="25"/>
      <c r="Q1171" s="25"/>
      <c r="R1171" s="25"/>
      <c r="S1171" s="22"/>
      <c r="T1171" s="22"/>
      <c r="U1171" s="12"/>
      <c r="V1171" s="12"/>
      <c r="W1171" s="12"/>
      <c r="X1171" s="12"/>
      <c r="Y1171" s="12"/>
      <c r="Z1171" s="12"/>
      <c r="AA1171" s="12"/>
      <c r="AB1171" s="12"/>
      <c r="AC1171" s="12"/>
      <c r="AD1171" s="12"/>
      <c r="AE1171" s="12"/>
      <c r="AF1171" s="12"/>
    </row>
    <row r="1172" spans="2:32" x14ac:dyDescent="0.35">
      <c r="B1172" s="21"/>
      <c r="F1172" s="25"/>
      <c r="G1172" s="25"/>
      <c r="H1172" s="25"/>
      <c r="I1172" s="25"/>
      <c r="J1172" s="25"/>
      <c r="K1172" s="25"/>
      <c r="L1172" s="25"/>
      <c r="M1172" s="25"/>
      <c r="N1172" s="25"/>
      <c r="O1172" s="25"/>
      <c r="P1172" s="25"/>
      <c r="Q1172" s="25"/>
      <c r="R1172" s="25"/>
      <c r="S1172" s="14"/>
      <c r="T1172" s="14"/>
      <c r="U1172" s="12"/>
      <c r="V1172" s="12"/>
      <c r="W1172" s="12"/>
      <c r="X1172" s="12"/>
      <c r="Y1172" s="12"/>
      <c r="Z1172" s="12"/>
      <c r="AA1172" s="12"/>
      <c r="AB1172" s="12"/>
      <c r="AC1172" s="12"/>
      <c r="AD1172" s="12"/>
      <c r="AE1172" s="12"/>
      <c r="AF1172" s="12"/>
    </row>
    <row r="1173" spans="2:32" x14ac:dyDescent="0.35">
      <c r="B1173" s="21"/>
      <c r="F1173" s="25"/>
      <c r="G1173" s="25"/>
      <c r="H1173" s="25"/>
      <c r="I1173" s="25"/>
      <c r="J1173" s="25"/>
      <c r="K1173" s="25"/>
      <c r="L1173" s="25"/>
      <c r="M1173" s="25"/>
      <c r="N1173" s="25"/>
      <c r="O1173" s="25"/>
      <c r="P1173" s="25"/>
      <c r="Q1173" s="25"/>
      <c r="R1173" s="25"/>
      <c r="S1173" s="14"/>
      <c r="T1173" s="14"/>
      <c r="U1173" s="12"/>
      <c r="V1173" s="12"/>
      <c r="W1173" s="12"/>
      <c r="X1173" s="12"/>
      <c r="Y1173" s="12"/>
      <c r="Z1173" s="12"/>
      <c r="AA1173" s="12"/>
      <c r="AB1173" s="12"/>
      <c r="AC1173" s="12"/>
      <c r="AD1173" s="12"/>
      <c r="AE1173" s="12"/>
      <c r="AF1173" s="12"/>
    </row>
    <row r="1174" spans="2:32" x14ac:dyDescent="0.35">
      <c r="B1174" s="21"/>
      <c r="F1174" s="25"/>
      <c r="G1174" s="25"/>
      <c r="H1174" s="25"/>
      <c r="I1174" s="25"/>
      <c r="J1174" s="25"/>
      <c r="K1174" s="25"/>
      <c r="L1174" s="25"/>
      <c r="M1174" s="25"/>
      <c r="N1174" s="25"/>
      <c r="O1174" s="25"/>
      <c r="P1174" s="25"/>
      <c r="Q1174" s="25"/>
      <c r="R1174" s="25"/>
      <c r="S1174" s="14"/>
      <c r="T1174" s="14"/>
      <c r="U1174" s="12"/>
      <c r="V1174" s="12"/>
      <c r="W1174" s="12"/>
      <c r="X1174" s="12"/>
      <c r="Y1174" s="12"/>
      <c r="Z1174" s="12"/>
      <c r="AA1174" s="12"/>
      <c r="AB1174" s="12"/>
      <c r="AC1174" s="12"/>
      <c r="AD1174" s="12"/>
      <c r="AE1174" s="12"/>
      <c r="AF1174" s="12"/>
    </row>
    <row r="1175" spans="2:32" x14ac:dyDescent="0.35">
      <c r="B1175" s="21"/>
      <c r="F1175" s="25"/>
      <c r="G1175" s="25"/>
      <c r="H1175" s="25"/>
      <c r="I1175" s="25"/>
      <c r="J1175" s="25"/>
      <c r="K1175" s="25"/>
      <c r="L1175" s="25"/>
      <c r="M1175" s="25"/>
      <c r="N1175" s="25"/>
      <c r="O1175" s="25"/>
      <c r="P1175" s="25"/>
      <c r="Q1175" s="25"/>
      <c r="R1175" s="25"/>
      <c r="S1175" s="14"/>
      <c r="T1175" s="14"/>
      <c r="U1175" s="12"/>
      <c r="V1175" s="12"/>
      <c r="W1175" s="12"/>
      <c r="X1175" s="12"/>
      <c r="Y1175" s="12"/>
      <c r="Z1175" s="12"/>
      <c r="AA1175" s="12"/>
      <c r="AB1175" s="12"/>
      <c r="AC1175" s="12"/>
      <c r="AD1175" s="12"/>
      <c r="AE1175" s="12"/>
      <c r="AF1175" s="12"/>
    </row>
    <row r="1176" spans="2:32" x14ac:dyDescent="0.35">
      <c r="B1176" s="21"/>
      <c r="F1176" s="25"/>
      <c r="G1176" s="25"/>
      <c r="H1176" s="25"/>
      <c r="I1176" s="25"/>
      <c r="J1176" s="25"/>
      <c r="K1176" s="25"/>
      <c r="L1176" s="25"/>
      <c r="M1176" s="25"/>
      <c r="N1176" s="25"/>
      <c r="O1176" s="25"/>
      <c r="P1176" s="25"/>
      <c r="Q1176" s="25"/>
      <c r="R1176" s="25"/>
      <c r="S1176" s="14"/>
      <c r="T1176" s="14"/>
      <c r="U1176" s="12"/>
      <c r="V1176" s="12"/>
      <c r="W1176" s="12"/>
      <c r="X1176" s="12"/>
      <c r="Y1176" s="12"/>
      <c r="Z1176" s="12"/>
      <c r="AA1176" s="12"/>
      <c r="AB1176" s="12"/>
      <c r="AC1176" s="12"/>
      <c r="AD1176" s="12"/>
      <c r="AE1176" s="12"/>
      <c r="AF1176" s="12"/>
    </row>
    <row r="1177" spans="2:32" x14ac:dyDescent="0.35">
      <c r="B1177" s="21"/>
      <c r="F1177" s="25"/>
      <c r="G1177" s="25"/>
      <c r="H1177" s="25"/>
      <c r="I1177" s="25"/>
      <c r="J1177" s="25"/>
      <c r="K1177" s="25"/>
      <c r="L1177" s="25"/>
      <c r="M1177" s="25"/>
      <c r="N1177" s="25"/>
      <c r="O1177" s="25"/>
      <c r="P1177" s="25"/>
      <c r="Q1177" s="25"/>
      <c r="R1177" s="25"/>
      <c r="S1177" s="14"/>
      <c r="T1177" s="14"/>
      <c r="U1177" s="12"/>
      <c r="V1177" s="12"/>
      <c r="W1177" s="12"/>
      <c r="X1177" s="12"/>
      <c r="Y1177" s="12"/>
      <c r="Z1177" s="12"/>
      <c r="AA1177" s="12"/>
      <c r="AB1177" s="12"/>
      <c r="AC1177" s="12"/>
      <c r="AD1177" s="12"/>
      <c r="AE1177" s="12"/>
      <c r="AF1177" s="12"/>
    </row>
    <row r="1178" spans="2:32" x14ac:dyDescent="0.35">
      <c r="B1178" s="21"/>
      <c r="F1178" s="25"/>
      <c r="G1178" s="25"/>
      <c r="H1178" s="25"/>
      <c r="I1178" s="25"/>
      <c r="J1178" s="25"/>
      <c r="K1178" s="25"/>
      <c r="L1178" s="25"/>
      <c r="M1178" s="25"/>
      <c r="N1178" s="25"/>
      <c r="O1178" s="25"/>
      <c r="P1178" s="25"/>
      <c r="Q1178" s="25"/>
      <c r="R1178" s="25"/>
      <c r="S1178" s="14"/>
      <c r="T1178" s="14"/>
      <c r="U1178" s="12"/>
      <c r="V1178" s="12"/>
      <c r="W1178" s="12"/>
      <c r="X1178" s="12"/>
      <c r="Y1178" s="12"/>
      <c r="Z1178" s="12"/>
      <c r="AA1178" s="12"/>
      <c r="AB1178" s="12"/>
      <c r="AC1178" s="12"/>
      <c r="AD1178" s="12"/>
      <c r="AE1178" s="12"/>
      <c r="AF1178" s="12"/>
    </row>
    <row r="1179" spans="2:32" x14ac:dyDescent="0.35">
      <c r="B1179" s="21"/>
      <c r="F1179" s="25"/>
      <c r="G1179" s="25"/>
      <c r="H1179" s="25"/>
      <c r="I1179" s="25"/>
      <c r="J1179" s="25"/>
      <c r="K1179" s="25"/>
      <c r="L1179" s="25"/>
      <c r="M1179" s="25"/>
      <c r="N1179" s="25"/>
      <c r="O1179" s="25"/>
      <c r="P1179" s="25"/>
      <c r="Q1179" s="25"/>
      <c r="R1179" s="25"/>
      <c r="S1179" s="14"/>
      <c r="T1179" s="14"/>
      <c r="U1179" s="12"/>
      <c r="V1179" s="12"/>
      <c r="W1179" s="12"/>
      <c r="X1179" s="12"/>
      <c r="Y1179" s="12"/>
      <c r="Z1179" s="12"/>
      <c r="AA1179" s="12"/>
      <c r="AB1179" s="12"/>
      <c r="AC1179" s="12"/>
      <c r="AD1179" s="12"/>
      <c r="AE1179" s="12"/>
      <c r="AF1179" s="12"/>
    </row>
    <row r="1180" spans="2:32" x14ac:dyDescent="0.35">
      <c r="B1180" s="21"/>
      <c r="F1180" s="25"/>
      <c r="G1180" s="25"/>
      <c r="H1180" s="25"/>
      <c r="I1180" s="25"/>
      <c r="J1180" s="25"/>
      <c r="K1180" s="25"/>
      <c r="L1180" s="25"/>
      <c r="M1180" s="25"/>
      <c r="N1180" s="25"/>
      <c r="O1180" s="25"/>
      <c r="P1180" s="25"/>
      <c r="Q1180" s="25"/>
      <c r="R1180" s="25"/>
      <c r="S1180" s="14"/>
      <c r="T1180" s="14"/>
      <c r="U1180" s="12"/>
      <c r="V1180" s="12"/>
      <c r="W1180" s="12"/>
      <c r="X1180" s="12"/>
      <c r="Y1180" s="12"/>
      <c r="Z1180" s="12"/>
      <c r="AA1180" s="12"/>
      <c r="AB1180" s="12"/>
      <c r="AC1180" s="12"/>
      <c r="AD1180" s="12"/>
      <c r="AE1180" s="12"/>
      <c r="AF1180" s="12"/>
    </row>
    <row r="1181" spans="2:32" x14ac:dyDescent="0.35">
      <c r="B1181" s="21"/>
      <c r="F1181" s="25"/>
      <c r="G1181" s="25"/>
      <c r="H1181" s="25"/>
      <c r="I1181" s="25"/>
      <c r="J1181" s="25"/>
      <c r="K1181" s="25"/>
      <c r="L1181" s="25"/>
      <c r="M1181" s="25"/>
      <c r="N1181" s="25"/>
      <c r="O1181" s="25"/>
      <c r="P1181" s="25"/>
      <c r="Q1181" s="25"/>
      <c r="R1181" s="25"/>
      <c r="S1181" s="14"/>
      <c r="T1181" s="14"/>
      <c r="U1181" s="12"/>
      <c r="V1181" s="12"/>
      <c r="W1181" s="12"/>
      <c r="X1181" s="12"/>
      <c r="Y1181" s="12"/>
      <c r="Z1181" s="12"/>
      <c r="AA1181" s="12"/>
      <c r="AB1181" s="12"/>
      <c r="AC1181" s="12"/>
      <c r="AD1181" s="12"/>
      <c r="AE1181" s="12"/>
      <c r="AF1181" s="12"/>
    </row>
    <row r="1182" spans="2:32" x14ac:dyDescent="0.35">
      <c r="B1182" s="21"/>
      <c r="F1182" s="25"/>
      <c r="G1182" s="25"/>
      <c r="H1182" s="25"/>
      <c r="I1182" s="25"/>
      <c r="J1182" s="25"/>
      <c r="K1182" s="25"/>
      <c r="L1182" s="25"/>
      <c r="M1182" s="25"/>
      <c r="N1182" s="25"/>
      <c r="O1182" s="25"/>
      <c r="P1182" s="25"/>
      <c r="Q1182" s="25"/>
      <c r="R1182" s="25"/>
      <c r="S1182" s="14"/>
      <c r="T1182" s="14"/>
      <c r="U1182" s="12"/>
      <c r="V1182" s="12"/>
      <c r="W1182" s="12"/>
      <c r="X1182" s="12"/>
      <c r="Y1182" s="12"/>
      <c r="Z1182" s="12"/>
      <c r="AA1182" s="12"/>
      <c r="AB1182" s="12"/>
      <c r="AC1182" s="12"/>
      <c r="AD1182" s="12"/>
      <c r="AE1182" s="12"/>
      <c r="AF1182" s="12"/>
    </row>
    <row r="1183" spans="2:32" x14ac:dyDescent="0.35">
      <c r="B1183" s="21"/>
      <c r="F1183" s="25"/>
      <c r="G1183" s="25"/>
      <c r="H1183" s="25"/>
      <c r="I1183" s="25"/>
      <c r="J1183" s="25"/>
      <c r="K1183" s="25"/>
      <c r="L1183" s="25"/>
      <c r="M1183" s="25"/>
      <c r="N1183" s="25"/>
      <c r="O1183" s="25"/>
      <c r="P1183" s="25"/>
      <c r="Q1183" s="25"/>
      <c r="R1183" s="25"/>
      <c r="S1183" s="14"/>
      <c r="T1183" s="14"/>
      <c r="U1183" s="12"/>
      <c r="V1183" s="12"/>
      <c r="W1183" s="12"/>
      <c r="X1183" s="12"/>
      <c r="Y1183" s="12"/>
      <c r="Z1183" s="12"/>
      <c r="AA1183" s="12"/>
      <c r="AB1183" s="12"/>
      <c r="AC1183" s="12"/>
      <c r="AD1183" s="12"/>
      <c r="AE1183" s="12"/>
      <c r="AF1183" s="12"/>
    </row>
    <row r="1184" spans="2:32" x14ac:dyDescent="0.35">
      <c r="B1184" s="21"/>
      <c r="D1184" s="3"/>
      <c r="E1184" s="3"/>
      <c r="F1184" s="31"/>
      <c r="G1184" s="31"/>
      <c r="H1184" s="31"/>
      <c r="I1184" s="31"/>
      <c r="J1184" s="31"/>
      <c r="K1184" s="31"/>
      <c r="L1184" s="31"/>
      <c r="M1184" s="31"/>
      <c r="N1184" s="31"/>
      <c r="O1184" s="31"/>
      <c r="P1184" s="31"/>
      <c r="Q1184" s="31"/>
      <c r="R1184" s="31"/>
      <c r="S1184" s="14"/>
      <c r="T1184" s="14"/>
      <c r="U1184" s="12"/>
      <c r="V1184" s="12"/>
      <c r="W1184" s="12"/>
      <c r="X1184" s="12"/>
      <c r="Y1184" s="12"/>
      <c r="Z1184" s="12"/>
      <c r="AA1184" s="12"/>
      <c r="AB1184" s="12"/>
      <c r="AC1184" s="12"/>
      <c r="AD1184" s="12"/>
      <c r="AE1184" s="12"/>
      <c r="AF1184" s="12"/>
    </row>
    <row r="1185" spans="1:32" x14ac:dyDescent="0.35">
      <c r="B1185" s="21"/>
      <c r="D1185" s="3"/>
      <c r="E1185" s="3"/>
      <c r="F1185" s="31"/>
      <c r="G1185" s="31"/>
      <c r="H1185" s="31"/>
      <c r="I1185" s="31"/>
      <c r="J1185" s="31"/>
      <c r="K1185" s="31"/>
      <c r="L1185" s="31"/>
      <c r="M1185" s="31"/>
      <c r="N1185" s="31"/>
      <c r="O1185" s="31"/>
      <c r="P1185" s="31"/>
      <c r="Q1185" s="31"/>
      <c r="R1185" s="31"/>
      <c r="S1185" s="14"/>
      <c r="T1185" s="14"/>
      <c r="U1185" s="12"/>
      <c r="V1185" s="12"/>
      <c r="W1185" s="12"/>
      <c r="X1185" s="12"/>
      <c r="Y1185" s="12"/>
      <c r="Z1185" s="12"/>
      <c r="AA1185" s="12"/>
      <c r="AB1185" s="12"/>
      <c r="AC1185" s="12"/>
      <c r="AD1185" s="12"/>
      <c r="AE1185" s="12"/>
      <c r="AF1185" s="12"/>
    </row>
    <row r="1186" spans="1:32" x14ac:dyDescent="0.35">
      <c r="B1186" s="21"/>
      <c r="D1186" s="3"/>
      <c r="E1186" s="3"/>
      <c r="F1186" s="31"/>
      <c r="G1186" s="31"/>
      <c r="H1186" s="31"/>
      <c r="I1186" s="31"/>
      <c r="J1186" s="31"/>
      <c r="K1186" s="31"/>
      <c r="L1186" s="31"/>
      <c r="M1186" s="31"/>
      <c r="N1186" s="31"/>
      <c r="O1186" s="31"/>
      <c r="P1186" s="31"/>
      <c r="Q1186" s="31"/>
      <c r="R1186" s="31"/>
      <c r="S1186" s="14"/>
      <c r="T1186" s="14"/>
      <c r="U1186" s="12"/>
      <c r="V1186" s="12"/>
      <c r="W1186" s="12"/>
      <c r="X1186" s="12"/>
      <c r="Y1186" s="12"/>
      <c r="Z1186" s="12"/>
      <c r="AA1186" s="12"/>
      <c r="AB1186" s="12"/>
      <c r="AC1186" s="12"/>
      <c r="AD1186" s="12"/>
      <c r="AE1186" s="12"/>
      <c r="AF1186" s="12"/>
    </row>
    <row r="1187" spans="1:32" x14ac:dyDescent="0.35">
      <c r="B1187" s="21"/>
      <c r="F1187" s="25"/>
      <c r="G1187" s="25"/>
      <c r="H1187" s="25"/>
      <c r="I1187" s="25"/>
      <c r="J1187" s="25"/>
      <c r="K1187" s="25"/>
      <c r="L1187" s="25"/>
      <c r="M1187" s="25"/>
      <c r="N1187" s="25"/>
      <c r="O1187" s="25"/>
      <c r="P1187" s="25"/>
      <c r="Q1187" s="25"/>
      <c r="R1187" s="25"/>
      <c r="S1187" s="22"/>
      <c r="T1187" s="22"/>
      <c r="U1187" s="12"/>
      <c r="V1187" s="12"/>
      <c r="W1187" s="12"/>
      <c r="X1187" s="12"/>
      <c r="Y1187" s="12"/>
      <c r="Z1187" s="12"/>
      <c r="AA1187" s="12"/>
      <c r="AB1187" s="12"/>
      <c r="AC1187" s="12"/>
      <c r="AD1187" s="12"/>
      <c r="AE1187" s="12"/>
      <c r="AF1187" s="12"/>
    </row>
    <row r="1188" spans="1:32" x14ac:dyDescent="0.35">
      <c r="B1188" s="21"/>
      <c r="F1188" s="25"/>
      <c r="G1188" s="25"/>
      <c r="H1188" s="25"/>
      <c r="I1188" s="25"/>
      <c r="J1188" s="25"/>
      <c r="K1188" s="25"/>
      <c r="L1188" s="25"/>
      <c r="M1188" s="25"/>
      <c r="N1188" s="25"/>
      <c r="O1188" s="25"/>
      <c r="P1188" s="25"/>
      <c r="Q1188" s="25"/>
      <c r="R1188" s="25"/>
      <c r="S1188" s="22"/>
      <c r="T1188" s="22"/>
      <c r="U1188" s="12"/>
      <c r="V1188" s="12"/>
      <c r="W1188" s="12"/>
      <c r="X1188" s="12"/>
      <c r="Y1188" s="12"/>
      <c r="Z1188" s="12"/>
      <c r="AA1188" s="12"/>
      <c r="AB1188" s="12"/>
      <c r="AC1188" s="12"/>
      <c r="AD1188" s="12"/>
      <c r="AE1188" s="12"/>
      <c r="AF1188" s="12"/>
    </row>
    <row r="1189" spans="1:32" x14ac:dyDescent="0.35">
      <c r="B1189" s="21"/>
      <c r="F1189" s="25"/>
      <c r="G1189" s="25"/>
      <c r="H1189" s="25"/>
      <c r="I1189" s="25"/>
      <c r="J1189" s="25"/>
      <c r="K1189" s="25"/>
      <c r="L1189" s="25"/>
      <c r="M1189" s="25"/>
      <c r="N1189" s="25"/>
      <c r="O1189" s="25"/>
      <c r="P1189" s="25"/>
      <c r="Q1189" s="25"/>
      <c r="R1189" s="25"/>
      <c r="S1189" s="22"/>
      <c r="T1189" s="22"/>
      <c r="U1189" s="12"/>
      <c r="V1189" s="12"/>
      <c r="W1189" s="12"/>
      <c r="X1189" s="12"/>
      <c r="Y1189" s="12"/>
      <c r="Z1189" s="12"/>
      <c r="AA1189" s="12"/>
      <c r="AB1189" s="12"/>
      <c r="AC1189" s="12"/>
      <c r="AD1189" s="12"/>
      <c r="AE1189" s="12"/>
      <c r="AF1189" s="12"/>
    </row>
    <row r="1190" spans="1:32" x14ac:dyDescent="0.35">
      <c r="B1190" s="21"/>
      <c r="F1190" s="25"/>
      <c r="G1190" s="25"/>
      <c r="H1190" s="25"/>
      <c r="I1190" s="25"/>
      <c r="J1190" s="25"/>
      <c r="K1190" s="25"/>
      <c r="L1190" s="25"/>
      <c r="M1190" s="25"/>
      <c r="N1190" s="25"/>
      <c r="O1190" s="25"/>
      <c r="P1190" s="25"/>
      <c r="Q1190" s="25"/>
      <c r="R1190" s="25"/>
      <c r="S1190" s="22"/>
      <c r="T1190" s="22"/>
      <c r="U1190" s="12"/>
      <c r="V1190" s="12"/>
      <c r="W1190" s="12"/>
      <c r="X1190" s="12"/>
      <c r="Y1190" s="12"/>
      <c r="Z1190" s="12"/>
      <c r="AA1190" s="12"/>
      <c r="AB1190" s="12"/>
      <c r="AC1190" s="12"/>
      <c r="AD1190" s="12"/>
      <c r="AE1190" s="12"/>
      <c r="AF1190" s="12"/>
    </row>
    <row r="1191" spans="1:32" x14ac:dyDescent="0.35">
      <c r="B1191" s="21"/>
      <c r="F1191" s="25"/>
      <c r="G1191" s="25"/>
      <c r="H1191" s="25"/>
      <c r="I1191" s="25"/>
      <c r="J1191" s="25"/>
      <c r="K1191" s="25"/>
      <c r="L1191" s="25"/>
      <c r="M1191" s="25"/>
      <c r="N1191" s="25"/>
      <c r="O1191" s="25"/>
      <c r="P1191" s="25"/>
      <c r="Q1191" s="25"/>
      <c r="R1191" s="25"/>
      <c r="S1191" s="22"/>
      <c r="T1191" s="22"/>
      <c r="U1191" s="12"/>
      <c r="V1191" s="12"/>
      <c r="W1191" s="12"/>
      <c r="X1191" s="12"/>
      <c r="Y1191" s="12"/>
      <c r="Z1191" s="12"/>
      <c r="AA1191" s="12"/>
      <c r="AB1191" s="12"/>
      <c r="AC1191" s="12"/>
      <c r="AD1191" s="12"/>
      <c r="AE1191" s="12"/>
      <c r="AF1191" s="12"/>
    </row>
    <row r="1192" spans="1:32" x14ac:dyDescent="0.35">
      <c r="B1192" s="21"/>
      <c r="F1192" s="25"/>
      <c r="G1192" s="25"/>
      <c r="H1192" s="25"/>
      <c r="I1192" s="25"/>
      <c r="J1192" s="25"/>
      <c r="K1192" s="25"/>
      <c r="L1192" s="25"/>
      <c r="M1192" s="25"/>
      <c r="N1192" s="25"/>
      <c r="O1192" s="25"/>
      <c r="P1192" s="25"/>
      <c r="Q1192" s="25"/>
      <c r="R1192" s="25"/>
      <c r="S1192" s="22"/>
      <c r="T1192" s="22"/>
      <c r="U1192" s="12"/>
      <c r="V1192" s="12"/>
      <c r="W1192" s="12"/>
      <c r="X1192" s="12"/>
      <c r="Y1192" s="12"/>
      <c r="Z1192" s="12"/>
      <c r="AA1192" s="12"/>
      <c r="AB1192" s="12"/>
      <c r="AC1192" s="12"/>
      <c r="AD1192" s="12"/>
      <c r="AE1192" s="12"/>
      <c r="AF1192" s="12"/>
    </row>
    <row r="1193" spans="1:32" x14ac:dyDescent="0.35">
      <c r="B1193" s="21"/>
      <c r="F1193" s="25"/>
      <c r="G1193" s="25"/>
      <c r="H1193" s="25"/>
      <c r="I1193" s="25"/>
      <c r="J1193" s="25"/>
      <c r="K1193" s="25"/>
      <c r="L1193" s="25"/>
      <c r="M1193" s="25"/>
      <c r="N1193" s="25"/>
      <c r="O1193" s="25"/>
      <c r="P1193" s="25"/>
      <c r="Q1193" s="25"/>
      <c r="R1193" s="25"/>
      <c r="S1193" s="22"/>
      <c r="T1193" s="22"/>
      <c r="U1193" s="12"/>
      <c r="V1193" s="12"/>
      <c r="W1193" s="12"/>
      <c r="X1193" s="12"/>
      <c r="Y1193" s="12"/>
      <c r="Z1193" s="12"/>
      <c r="AA1193" s="12"/>
      <c r="AB1193" s="12"/>
      <c r="AC1193" s="12"/>
      <c r="AD1193" s="12"/>
      <c r="AE1193" s="12"/>
      <c r="AF1193" s="12"/>
    </row>
    <row r="1194" spans="1:32" x14ac:dyDescent="0.35">
      <c r="A1194" s="24"/>
      <c r="B1194" s="23"/>
      <c r="C1194" s="24"/>
      <c r="D1194" s="25"/>
      <c r="E1194" s="37"/>
      <c r="F1194"/>
      <c r="G1194"/>
      <c r="H1194"/>
      <c r="I1194"/>
      <c r="J1194"/>
      <c r="K1194"/>
      <c r="L1194"/>
      <c r="M1194"/>
      <c r="S1194" s="22"/>
      <c r="T1194" s="22"/>
      <c r="U1194" s="12"/>
      <c r="V1194" s="12"/>
      <c r="W1194" s="12"/>
      <c r="X1194" s="12"/>
      <c r="Y1194" s="12"/>
      <c r="Z1194" s="12"/>
      <c r="AA1194" s="12"/>
      <c r="AB1194" s="12"/>
      <c r="AC1194" s="12"/>
      <c r="AD1194" s="12"/>
      <c r="AE1194" s="12"/>
      <c r="AF1194" s="12"/>
    </row>
    <row r="1195" spans="1:32" x14ac:dyDescent="0.35">
      <c r="A1195" s="24"/>
      <c r="B1195" s="23"/>
      <c r="C1195" s="24"/>
      <c r="D1195" s="25"/>
      <c r="E1195" s="37"/>
      <c r="F1195"/>
      <c r="G1195"/>
      <c r="H1195"/>
      <c r="I1195"/>
      <c r="J1195"/>
      <c r="K1195"/>
      <c r="L1195"/>
      <c r="M1195"/>
      <c r="S1195" s="22"/>
      <c r="T1195" s="22"/>
      <c r="U1195" s="12"/>
      <c r="V1195" s="12"/>
      <c r="W1195" s="12"/>
      <c r="X1195" s="12"/>
      <c r="Y1195" s="12"/>
      <c r="Z1195" s="12"/>
      <c r="AA1195" s="12"/>
      <c r="AB1195" s="12"/>
      <c r="AC1195" s="12"/>
      <c r="AD1195" s="12"/>
      <c r="AE1195" s="12"/>
      <c r="AF1195" s="12"/>
    </row>
    <row r="1196" spans="1:32" x14ac:dyDescent="0.35">
      <c r="A1196" s="24"/>
      <c r="B1196" s="23"/>
      <c r="C1196" s="24"/>
      <c r="D1196" s="25"/>
      <c r="E1196" s="37"/>
      <c r="F1196"/>
      <c r="G1196"/>
      <c r="H1196"/>
      <c r="I1196"/>
      <c r="J1196"/>
      <c r="K1196"/>
      <c r="L1196"/>
      <c r="M1196"/>
      <c r="S1196" s="22"/>
      <c r="T1196" s="22"/>
      <c r="U1196" s="12"/>
      <c r="V1196" s="12"/>
      <c r="W1196" s="12"/>
      <c r="X1196" s="12"/>
      <c r="Y1196" s="12"/>
      <c r="Z1196" s="12"/>
      <c r="AA1196" s="12"/>
      <c r="AB1196" s="12"/>
      <c r="AC1196" s="12"/>
      <c r="AD1196" s="12"/>
      <c r="AE1196" s="12"/>
      <c r="AF1196" s="12"/>
    </row>
    <row r="1197" spans="1:32" x14ac:dyDescent="0.35">
      <c r="A1197" s="24"/>
      <c r="B1197" s="23"/>
      <c r="C1197" s="24"/>
      <c r="D1197" s="25"/>
      <c r="E1197" s="37"/>
      <c r="F1197"/>
      <c r="G1197"/>
      <c r="H1197"/>
      <c r="I1197"/>
      <c r="J1197"/>
      <c r="K1197"/>
      <c r="L1197"/>
      <c r="M1197"/>
      <c r="S1197" s="22"/>
      <c r="T1197" s="22"/>
      <c r="U1197" s="12"/>
      <c r="V1197" s="12"/>
      <c r="W1197" s="12"/>
      <c r="X1197" s="12"/>
      <c r="Y1197" s="12"/>
      <c r="Z1197" s="12"/>
      <c r="AA1197" s="12"/>
      <c r="AB1197" s="12"/>
      <c r="AC1197" s="12"/>
      <c r="AD1197" s="12"/>
      <c r="AE1197" s="12"/>
      <c r="AF1197" s="12"/>
    </row>
    <row r="1198" spans="1:32" x14ac:dyDescent="0.35">
      <c r="A1198" s="24"/>
      <c r="B1198" s="23"/>
      <c r="C1198" s="24"/>
      <c r="D1198" s="25"/>
      <c r="E1198" s="37"/>
      <c r="F1198"/>
      <c r="G1198"/>
      <c r="H1198"/>
      <c r="I1198"/>
      <c r="J1198"/>
      <c r="K1198"/>
      <c r="L1198"/>
      <c r="M1198"/>
      <c r="S1198" s="22"/>
      <c r="T1198" s="22"/>
      <c r="U1198" s="12"/>
      <c r="V1198" s="12"/>
      <c r="W1198" s="12"/>
      <c r="X1198" s="12"/>
      <c r="Y1198" s="12"/>
      <c r="Z1198" s="12"/>
      <c r="AA1198" s="12"/>
      <c r="AB1198" s="12"/>
      <c r="AC1198" s="12"/>
      <c r="AD1198" s="12"/>
      <c r="AE1198" s="12"/>
      <c r="AF1198" s="12"/>
    </row>
    <row r="1199" spans="1:32" x14ac:dyDescent="0.35">
      <c r="A1199" s="24"/>
      <c r="B1199" s="23"/>
      <c r="C1199" s="24"/>
      <c r="D1199" s="25"/>
      <c r="E1199" s="37"/>
      <c r="F1199"/>
      <c r="G1199"/>
      <c r="H1199"/>
      <c r="I1199"/>
      <c r="J1199"/>
      <c r="K1199"/>
      <c r="L1199"/>
      <c r="M1199"/>
      <c r="S1199" s="22"/>
      <c r="T1199" s="22"/>
      <c r="U1199" s="12"/>
      <c r="V1199" s="12"/>
      <c r="W1199" s="12"/>
      <c r="X1199" s="12"/>
      <c r="Y1199" s="12"/>
      <c r="Z1199" s="12"/>
      <c r="AA1199" s="12"/>
      <c r="AB1199" s="12"/>
      <c r="AC1199" s="12"/>
      <c r="AD1199" s="12"/>
      <c r="AE1199" s="12"/>
      <c r="AF1199" s="12"/>
    </row>
    <row r="1200" spans="1:32" x14ac:dyDescent="0.35">
      <c r="A1200" s="16"/>
      <c r="B1200" s="5"/>
      <c r="C1200" s="5"/>
      <c r="D1200" s="5"/>
      <c r="E1200" s="5"/>
      <c r="F1200" s="5"/>
      <c r="G1200" s="5"/>
      <c r="H1200" s="5"/>
      <c r="I1200" s="5"/>
      <c r="J1200" s="5"/>
      <c r="K1200" s="5"/>
      <c r="L1200" s="5"/>
      <c r="M1200" s="5"/>
      <c r="N1200" s="5"/>
      <c r="O1200" s="5"/>
      <c r="P1200" s="5"/>
      <c r="Q1200" s="5"/>
      <c r="R1200" s="5"/>
      <c r="S1200" s="22"/>
      <c r="T1200" s="22"/>
      <c r="U1200" s="12"/>
      <c r="V1200" s="12"/>
      <c r="W1200" s="12"/>
      <c r="X1200" s="12"/>
      <c r="Y1200" s="12"/>
      <c r="Z1200" s="12"/>
      <c r="AA1200" s="12"/>
      <c r="AB1200" s="12"/>
      <c r="AC1200" s="12"/>
      <c r="AD1200" s="12"/>
      <c r="AE1200" s="12"/>
      <c r="AF1200" s="12"/>
    </row>
    <row r="1201" spans="1:32" x14ac:dyDescent="0.35">
      <c r="A1201" s="15"/>
      <c r="B1201" s="21"/>
      <c r="D1201" s="2"/>
      <c r="E1201" s="2"/>
      <c r="F1201" s="32"/>
      <c r="G1201" s="32"/>
      <c r="H1201" s="32"/>
      <c r="I1201" s="32"/>
      <c r="J1201" s="32"/>
      <c r="K1201" s="32"/>
      <c r="L1201" s="32"/>
      <c r="M1201" s="32"/>
      <c r="N1201" s="32"/>
      <c r="O1201" s="32"/>
      <c r="P1201" s="32"/>
      <c r="Q1201" s="32"/>
      <c r="R1201" s="32"/>
      <c r="S1201" s="22"/>
      <c r="T1201" s="22"/>
      <c r="U1201" s="12"/>
      <c r="V1201" s="12"/>
      <c r="W1201" s="12"/>
      <c r="X1201" s="12"/>
      <c r="Y1201" s="12"/>
      <c r="Z1201" s="12"/>
      <c r="AA1201" s="12"/>
      <c r="AB1201" s="12"/>
      <c r="AC1201" s="12"/>
      <c r="AD1201" s="12"/>
      <c r="AE1201" s="12"/>
      <c r="AF1201" s="12"/>
    </row>
    <row r="1202" spans="1:32" x14ac:dyDescent="0.35">
      <c r="A1202" s="15"/>
      <c r="B1202" s="21"/>
      <c r="D1202" s="2"/>
      <c r="E1202" s="2"/>
      <c r="F1202" s="32"/>
      <c r="G1202" s="32"/>
      <c r="H1202" s="32"/>
      <c r="I1202" s="32"/>
      <c r="J1202" s="32"/>
      <c r="K1202" s="32"/>
      <c r="L1202" s="32"/>
      <c r="M1202" s="32"/>
      <c r="N1202" s="32"/>
      <c r="O1202" s="32"/>
      <c r="P1202" s="32"/>
      <c r="Q1202" s="32"/>
      <c r="R1202" s="32"/>
      <c r="S1202" s="22"/>
      <c r="T1202" s="22"/>
      <c r="U1202" s="12"/>
      <c r="V1202" s="12"/>
      <c r="W1202" s="12"/>
      <c r="X1202" s="12"/>
      <c r="Y1202" s="12"/>
      <c r="Z1202" s="12"/>
      <c r="AA1202" s="12"/>
      <c r="AB1202" s="12"/>
      <c r="AC1202" s="12"/>
      <c r="AD1202" s="12"/>
      <c r="AE1202" s="12"/>
      <c r="AF1202" s="12"/>
    </row>
    <row r="1203" spans="1:32" x14ac:dyDescent="0.35">
      <c r="A1203" s="15"/>
      <c r="B1203" s="21"/>
      <c r="D1203" s="2"/>
      <c r="E1203" s="2"/>
      <c r="F1203" s="32"/>
      <c r="G1203" s="32"/>
      <c r="H1203" s="32"/>
      <c r="I1203" s="32"/>
      <c r="J1203" s="32"/>
      <c r="K1203" s="32"/>
      <c r="L1203" s="32"/>
      <c r="M1203" s="32"/>
      <c r="N1203" s="32"/>
      <c r="O1203" s="32"/>
      <c r="P1203" s="32"/>
      <c r="Q1203" s="32"/>
      <c r="R1203" s="32"/>
      <c r="S1203" s="14"/>
      <c r="T1203" s="14"/>
      <c r="U1203" s="12"/>
      <c r="V1203" s="12"/>
      <c r="W1203" s="12"/>
      <c r="X1203" s="12"/>
      <c r="Y1203" s="12"/>
      <c r="Z1203" s="12"/>
      <c r="AA1203" s="12"/>
      <c r="AB1203" s="12"/>
      <c r="AC1203" s="12"/>
      <c r="AD1203" s="12"/>
      <c r="AE1203" s="12"/>
      <c r="AF1203" s="12"/>
    </row>
    <row r="1204" spans="1:32" x14ac:dyDescent="0.35">
      <c r="A1204" s="15"/>
      <c r="B1204" s="21"/>
      <c r="D1204" s="2"/>
      <c r="E1204" s="2"/>
      <c r="F1204" s="32"/>
      <c r="G1204" s="32"/>
      <c r="H1204" s="32"/>
      <c r="I1204" s="32"/>
      <c r="J1204" s="32"/>
      <c r="K1204" s="32"/>
      <c r="L1204" s="32"/>
      <c r="M1204" s="32"/>
      <c r="N1204" s="32"/>
      <c r="O1204" s="32"/>
      <c r="P1204" s="32"/>
      <c r="Q1204" s="32"/>
      <c r="R1204" s="32"/>
      <c r="S1204" s="14"/>
      <c r="T1204" s="14"/>
      <c r="U1204" s="12"/>
      <c r="V1204" s="12"/>
      <c r="W1204" s="12"/>
      <c r="X1204" s="12"/>
      <c r="Y1204" s="12"/>
      <c r="Z1204" s="12"/>
      <c r="AA1204" s="12"/>
      <c r="AB1204" s="12"/>
      <c r="AC1204" s="12"/>
      <c r="AD1204" s="12"/>
      <c r="AE1204" s="12"/>
      <c r="AF1204" s="12"/>
    </row>
    <row r="1205" spans="1:32" x14ac:dyDescent="0.35">
      <c r="A1205" s="15"/>
      <c r="B1205" s="21"/>
      <c r="D1205" s="2"/>
      <c r="E1205" s="2"/>
      <c r="F1205" s="32"/>
      <c r="G1205" s="32"/>
      <c r="H1205" s="32"/>
      <c r="I1205" s="32"/>
      <c r="J1205" s="32"/>
      <c r="K1205" s="32"/>
      <c r="L1205" s="32"/>
      <c r="M1205" s="32"/>
      <c r="N1205" s="32"/>
      <c r="O1205" s="32"/>
      <c r="P1205" s="32"/>
      <c r="Q1205" s="32"/>
      <c r="R1205" s="32"/>
      <c r="S1205" s="14"/>
      <c r="T1205" s="14"/>
      <c r="U1205" s="12"/>
      <c r="V1205" s="12"/>
      <c r="W1205" s="12"/>
      <c r="X1205" s="12"/>
      <c r="Y1205" s="12"/>
      <c r="Z1205" s="12"/>
      <c r="AA1205" s="12"/>
      <c r="AB1205" s="12"/>
      <c r="AC1205" s="12"/>
      <c r="AD1205" s="12"/>
      <c r="AE1205" s="12"/>
      <c r="AF1205" s="12"/>
    </row>
    <row r="1206" spans="1:32" x14ac:dyDescent="0.35">
      <c r="A1206" s="15"/>
      <c r="B1206" s="21"/>
      <c r="D1206" s="2"/>
      <c r="E1206" s="2"/>
      <c r="F1206" s="32"/>
      <c r="G1206" s="32"/>
      <c r="H1206" s="32"/>
      <c r="I1206" s="32"/>
      <c r="J1206" s="32"/>
      <c r="K1206" s="32"/>
      <c r="L1206" s="32"/>
      <c r="M1206" s="32"/>
      <c r="N1206" s="32"/>
      <c r="O1206" s="32"/>
      <c r="P1206" s="32"/>
      <c r="Q1206" s="32"/>
      <c r="R1206" s="32"/>
      <c r="S1206" s="14"/>
      <c r="T1206" s="14"/>
      <c r="U1206" s="12"/>
      <c r="V1206" s="12"/>
      <c r="W1206" s="12"/>
      <c r="X1206" s="12"/>
      <c r="Y1206" s="12"/>
      <c r="Z1206" s="12"/>
      <c r="AA1206" s="12"/>
      <c r="AB1206" s="12"/>
      <c r="AC1206" s="12"/>
      <c r="AD1206" s="12"/>
      <c r="AE1206" s="12"/>
      <c r="AF1206" s="12"/>
    </row>
    <row r="1207" spans="1:32" x14ac:dyDescent="0.35">
      <c r="A1207" s="15"/>
      <c r="B1207" s="21"/>
      <c r="D1207" s="2"/>
      <c r="E1207" s="2"/>
      <c r="F1207" s="32"/>
      <c r="G1207" s="32"/>
      <c r="H1207" s="32"/>
      <c r="I1207" s="32"/>
      <c r="J1207" s="32"/>
      <c r="K1207" s="32"/>
      <c r="L1207" s="32"/>
      <c r="M1207" s="32"/>
      <c r="N1207" s="32"/>
      <c r="O1207" s="32"/>
      <c r="P1207" s="32"/>
      <c r="Q1207" s="32"/>
      <c r="R1207" s="32"/>
      <c r="S1207" s="14"/>
      <c r="T1207" s="14"/>
      <c r="U1207" s="12"/>
      <c r="V1207" s="12"/>
      <c r="W1207" s="12"/>
      <c r="X1207" s="12"/>
      <c r="Y1207" s="12"/>
      <c r="Z1207" s="12"/>
      <c r="AA1207" s="12"/>
      <c r="AB1207" s="12"/>
      <c r="AC1207" s="12"/>
      <c r="AD1207" s="12"/>
      <c r="AE1207" s="12"/>
      <c r="AF1207" s="12"/>
    </row>
    <row r="1208" spans="1:32" x14ac:dyDescent="0.35">
      <c r="A1208" s="15"/>
      <c r="B1208" s="21"/>
      <c r="F1208" s="33"/>
      <c r="G1208" s="33"/>
      <c r="H1208" s="33"/>
      <c r="I1208" s="33"/>
      <c r="J1208" s="33"/>
      <c r="K1208" s="33"/>
      <c r="L1208" s="33"/>
      <c r="M1208" s="33"/>
      <c r="N1208" s="33"/>
      <c r="O1208" s="33"/>
      <c r="P1208" s="33"/>
      <c r="Q1208" s="33"/>
      <c r="R1208" s="33"/>
      <c r="S1208" s="14"/>
      <c r="T1208" s="14"/>
      <c r="U1208" s="12"/>
      <c r="V1208" s="12"/>
      <c r="W1208" s="12"/>
      <c r="X1208" s="12"/>
      <c r="Y1208" s="12"/>
      <c r="Z1208" s="12"/>
      <c r="AA1208" s="12"/>
      <c r="AB1208" s="12"/>
      <c r="AC1208" s="12"/>
      <c r="AD1208" s="12"/>
      <c r="AE1208" s="12"/>
      <c r="AF1208" s="12"/>
    </row>
    <row r="1209" spans="1:32" x14ac:dyDescent="0.35">
      <c r="A1209" s="29"/>
      <c r="B1209" s="21"/>
      <c r="D1209" s="2"/>
      <c r="E1209" s="2"/>
      <c r="F1209" s="32"/>
      <c r="G1209" s="32"/>
      <c r="H1209" s="32"/>
      <c r="I1209" s="32"/>
      <c r="J1209" s="32"/>
      <c r="K1209" s="32"/>
      <c r="L1209" s="32"/>
      <c r="M1209" s="32"/>
      <c r="N1209" s="32"/>
      <c r="O1209" s="32"/>
      <c r="P1209" s="32"/>
      <c r="Q1209" s="32"/>
      <c r="R1209" s="32"/>
      <c r="S1209" s="14"/>
      <c r="T1209" s="14"/>
      <c r="U1209" s="12"/>
      <c r="V1209" s="12"/>
      <c r="W1209" s="12"/>
      <c r="X1209" s="12"/>
      <c r="Y1209" s="12"/>
      <c r="Z1209" s="12"/>
      <c r="AA1209" s="12"/>
      <c r="AB1209" s="12"/>
      <c r="AC1209" s="12"/>
      <c r="AD1209" s="12"/>
      <c r="AE1209" s="12"/>
      <c r="AF1209" s="12"/>
    </row>
    <row r="1210" spans="1:32" x14ac:dyDescent="0.35">
      <c r="A1210" s="29"/>
      <c r="B1210" s="21"/>
      <c r="D1210" s="2"/>
      <c r="E1210" s="2"/>
      <c r="F1210" s="32"/>
      <c r="G1210" s="32"/>
      <c r="H1210" s="32"/>
      <c r="I1210" s="32"/>
      <c r="J1210" s="32"/>
      <c r="K1210" s="32"/>
      <c r="L1210" s="32"/>
      <c r="M1210" s="32"/>
      <c r="N1210" s="32"/>
      <c r="O1210" s="32"/>
      <c r="P1210" s="32"/>
      <c r="Q1210" s="32"/>
      <c r="R1210" s="32"/>
      <c r="S1210" s="22"/>
      <c r="T1210" s="22"/>
      <c r="U1210" s="12"/>
      <c r="V1210" s="12"/>
      <c r="W1210" s="12"/>
      <c r="X1210" s="12"/>
      <c r="Y1210" s="12"/>
      <c r="Z1210" s="12"/>
      <c r="AA1210" s="12"/>
      <c r="AB1210" s="12"/>
      <c r="AC1210" s="12"/>
      <c r="AD1210" s="12"/>
      <c r="AE1210" s="12"/>
      <c r="AF1210" s="12"/>
    </row>
    <row r="1211" spans="1:32" x14ac:dyDescent="0.35">
      <c r="A1211" s="29"/>
      <c r="B1211" s="21"/>
      <c r="D1211" s="2"/>
      <c r="E1211" s="2"/>
      <c r="F1211" s="32"/>
      <c r="G1211" s="32"/>
      <c r="H1211" s="32"/>
      <c r="I1211" s="32"/>
      <c r="J1211" s="32"/>
      <c r="K1211" s="32"/>
      <c r="L1211" s="32"/>
      <c r="M1211" s="32"/>
      <c r="N1211" s="32"/>
      <c r="O1211" s="32"/>
      <c r="P1211" s="32"/>
      <c r="Q1211" s="32"/>
      <c r="R1211" s="32"/>
      <c r="S1211" s="22"/>
      <c r="T1211" s="22"/>
      <c r="U1211" s="12"/>
      <c r="V1211" s="12"/>
      <c r="W1211" s="12"/>
      <c r="X1211" s="12"/>
      <c r="Y1211" s="12"/>
      <c r="Z1211" s="12"/>
      <c r="AA1211" s="12"/>
      <c r="AB1211" s="12"/>
      <c r="AC1211" s="12"/>
      <c r="AD1211" s="12"/>
      <c r="AE1211" s="12"/>
      <c r="AF1211" s="12"/>
    </row>
    <row r="1212" spans="1:32" x14ac:dyDescent="0.35">
      <c r="A1212" s="29"/>
      <c r="B1212" s="21"/>
      <c r="D1212" s="2"/>
      <c r="E1212" s="2"/>
      <c r="F1212" s="32"/>
      <c r="G1212" s="32"/>
      <c r="H1212" s="32"/>
      <c r="I1212" s="32"/>
      <c r="J1212" s="32"/>
      <c r="K1212" s="32"/>
      <c r="L1212" s="32"/>
      <c r="M1212" s="32"/>
      <c r="N1212" s="32"/>
      <c r="O1212" s="32"/>
      <c r="P1212" s="32"/>
      <c r="Q1212" s="32"/>
      <c r="R1212" s="32"/>
      <c r="S1212" s="22"/>
      <c r="T1212" s="22"/>
      <c r="U1212" s="12"/>
      <c r="V1212" s="12"/>
      <c r="W1212" s="12"/>
      <c r="X1212" s="12"/>
      <c r="Y1212" s="12"/>
      <c r="Z1212" s="12"/>
      <c r="AA1212" s="12"/>
      <c r="AB1212" s="12"/>
      <c r="AC1212" s="12"/>
      <c r="AD1212" s="12"/>
      <c r="AE1212" s="12"/>
      <c r="AF1212" s="12"/>
    </row>
    <row r="1213" spans="1:32" x14ac:dyDescent="0.35">
      <c r="A1213" s="29"/>
      <c r="B1213" s="21"/>
      <c r="D1213" s="2"/>
      <c r="E1213" s="2"/>
      <c r="F1213" s="32"/>
      <c r="G1213" s="32"/>
      <c r="H1213" s="32"/>
      <c r="I1213" s="32"/>
      <c r="J1213" s="32"/>
      <c r="K1213" s="32"/>
      <c r="L1213" s="32"/>
      <c r="M1213" s="32"/>
      <c r="N1213" s="32"/>
      <c r="O1213" s="32"/>
      <c r="P1213" s="32"/>
      <c r="Q1213" s="32"/>
      <c r="R1213" s="32"/>
      <c r="S1213" s="22"/>
      <c r="T1213" s="22"/>
      <c r="U1213" s="12"/>
      <c r="V1213" s="12"/>
      <c r="W1213" s="12"/>
      <c r="X1213" s="12"/>
      <c r="Y1213" s="12"/>
      <c r="Z1213" s="12"/>
      <c r="AA1213" s="12"/>
      <c r="AB1213" s="12"/>
      <c r="AC1213" s="12"/>
      <c r="AD1213" s="12"/>
      <c r="AE1213" s="12"/>
      <c r="AF1213" s="12"/>
    </row>
    <row r="1214" spans="1:32" x14ac:dyDescent="0.35">
      <c r="A1214" s="29"/>
      <c r="B1214" s="21"/>
      <c r="D1214" s="2"/>
      <c r="E1214" s="2"/>
      <c r="F1214" s="32"/>
      <c r="G1214" s="32"/>
      <c r="H1214" s="32"/>
      <c r="I1214" s="32"/>
      <c r="J1214" s="32"/>
      <c r="K1214" s="32"/>
      <c r="L1214" s="32"/>
      <c r="M1214" s="32"/>
      <c r="N1214" s="32"/>
      <c r="O1214" s="32"/>
      <c r="P1214" s="32"/>
      <c r="Q1214" s="32"/>
      <c r="R1214" s="32"/>
      <c r="S1214" s="22"/>
      <c r="T1214" s="22"/>
      <c r="U1214" s="12"/>
      <c r="V1214" s="12"/>
      <c r="W1214" s="12"/>
      <c r="X1214" s="12"/>
      <c r="Y1214" s="12"/>
      <c r="Z1214" s="12"/>
      <c r="AA1214" s="12"/>
      <c r="AB1214" s="12"/>
      <c r="AC1214" s="12"/>
      <c r="AD1214" s="12"/>
      <c r="AE1214" s="12"/>
      <c r="AF1214" s="12"/>
    </row>
    <row r="1215" spans="1:32" x14ac:dyDescent="0.35">
      <c r="A1215" s="29"/>
      <c r="B1215" s="21"/>
      <c r="D1215" s="2"/>
      <c r="E1215" s="2"/>
      <c r="F1215" s="32"/>
      <c r="G1215" s="32"/>
      <c r="H1215" s="32"/>
      <c r="I1215" s="32"/>
      <c r="J1215" s="32"/>
      <c r="K1215" s="32"/>
      <c r="L1215" s="32"/>
      <c r="M1215" s="32"/>
      <c r="N1215" s="32"/>
      <c r="O1215" s="32"/>
      <c r="P1215" s="32"/>
      <c r="Q1215" s="32"/>
      <c r="R1215" s="32"/>
      <c r="S1215" s="22"/>
      <c r="T1215" s="22"/>
      <c r="U1215" s="12"/>
      <c r="V1215" s="12"/>
      <c r="W1215" s="12"/>
      <c r="X1215" s="12"/>
      <c r="Y1215" s="12"/>
      <c r="Z1215" s="12"/>
      <c r="AA1215" s="12"/>
      <c r="AB1215" s="12"/>
      <c r="AC1215" s="12"/>
      <c r="AD1215" s="12"/>
      <c r="AE1215" s="12"/>
      <c r="AF1215" s="12"/>
    </row>
    <row r="1216" spans="1:32" x14ac:dyDescent="0.35">
      <c r="A1216" s="29"/>
      <c r="B1216" s="21"/>
      <c r="F1216" s="33"/>
      <c r="G1216" s="33"/>
      <c r="H1216" s="33"/>
      <c r="I1216" s="33"/>
      <c r="J1216" s="33"/>
      <c r="K1216" s="33"/>
      <c r="L1216" s="33"/>
      <c r="M1216" s="33"/>
      <c r="N1216" s="33"/>
      <c r="O1216" s="33"/>
      <c r="P1216" s="33"/>
      <c r="Q1216" s="33"/>
      <c r="R1216" s="33"/>
      <c r="S1216" s="22"/>
      <c r="T1216" s="22"/>
      <c r="U1216" s="12"/>
      <c r="V1216" s="12"/>
      <c r="W1216" s="12"/>
      <c r="X1216" s="12"/>
      <c r="Y1216" s="12"/>
      <c r="Z1216" s="12"/>
      <c r="AA1216" s="12"/>
      <c r="AB1216" s="12"/>
      <c r="AC1216" s="12"/>
      <c r="AD1216" s="12"/>
      <c r="AE1216" s="12"/>
      <c r="AF1216" s="12"/>
    </row>
    <row r="1217" spans="2:32" x14ac:dyDescent="0.35">
      <c r="B1217" s="21"/>
      <c r="D1217" s="2"/>
      <c r="E1217" s="2"/>
      <c r="F1217" s="32"/>
      <c r="G1217" s="32"/>
      <c r="H1217" s="32"/>
      <c r="I1217" s="32"/>
      <c r="J1217" s="32"/>
      <c r="K1217" s="32"/>
      <c r="L1217" s="32"/>
      <c r="M1217" s="32"/>
      <c r="N1217" s="32"/>
      <c r="O1217" s="32"/>
      <c r="P1217" s="32"/>
      <c r="Q1217" s="32"/>
      <c r="R1217" s="32"/>
      <c r="S1217" s="22"/>
      <c r="T1217" s="22"/>
      <c r="U1217" s="12"/>
      <c r="V1217" s="12"/>
      <c r="W1217" s="12"/>
      <c r="X1217" s="12"/>
      <c r="Y1217" s="12"/>
      <c r="Z1217" s="12"/>
      <c r="AA1217" s="12"/>
      <c r="AB1217" s="12"/>
      <c r="AC1217" s="12"/>
      <c r="AD1217" s="12"/>
      <c r="AE1217" s="12"/>
      <c r="AF1217" s="12"/>
    </row>
    <row r="1218" spans="2:32" x14ac:dyDescent="0.35">
      <c r="B1218" s="21"/>
      <c r="D1218" s="2"/>
      <c r="E1218" s="2"/>
      <c r="F1218" s="32"/>
      <c r="G1218" s="32"/>
      <c r="H1218" s="32"/>
      <c r="I1218" s="32"/>
      <c r="J1218" s="32"/>
      <c r="K1218" s="32"/>
      <c r="L1218" s="32"/>
      <c r="M1218" s="32"/>
      <c r="N1218" s="32"/>
      <c r="O1218" s="32"/>
      <c r="P1218" s="32"/>
      <c r="Q1218" s="32"/>
      <c r="R1218" s="32"/>
      <c r="S1218" s="22"/>
      <c r="T1218" s="22"/>
      <c r="U1218" s="12"/>
      <c r="V1218" s="12"/>
      <c r="W1218" s="12"/>
      <c r="X1218" s="12"/>
      <c r="Y1218" s="12"/>
      <c r="Z1218" s="12"/>
      <c r="AA1218" s="12"/>
      <c r="AB1218" s="12"/>
      <c r="AC1218" s="12"/>
      <c r="AD1218" s="12"/>
      <c r="AE1218" s="12"/>
      <c r="AF1218" s="12"/>
    </row>
    <row r="1219" spans="2:32" x14ac:dyDescent="0.35">
      <c r="B1219" s="21"/>
      <c r="D1219" s="2"/>
      <c r="E1219" s="2"/>
      <c r="F1219" s="32"/>
      <c r="G1219" s="32"/>
      <c r="H1219" s="32"/>
      <c r="I1219" s="32"/>
      <c r="J1219" s="32"/>
      <c r="K1219" s="32"/>
      <c r="L1219" s="32"/>
      <c r="M1219" s="32"/>
      <c r="N1219" s="32"/>
      <c r="O1219" s="32"/>
      <c r="P1219" s="32"/>
      <c r="Q1219" s="32"/>
      <c r="R1219" s="32"/>
      <c r="S1219" s="14"/>
      <c r="T1219" s="14"/>
      <c r="U1219" s="12"/>
      <c r="V1219" s="12"/>
      <c r="W1219" s="12"/>
      <c r="X1219" s="12"/>
      <c r="Y1219" s="12"/>
      <c r="Z1219" s="12"/>
      <c r="AA1219" s="12"/>
      <c r="AB1219" s="12"/>
      <c r="AC1219" s="12"/>
      <c r="AD1219" s="12"/>
      <c r="AE1219" s="12"/>
      <c r="AF1219" s="12"/>
    </row>
    <row r="1220" spans="2:32" x14ac:dyDescent="0.35">
      <c r="B1220" s="21"/>
      <c r="D1220" s="2"/>
      <c r="E1220" s="2"/>
      <c r="F1220" s="32"/>
      <c r="G1220" s="32"/>
      <c r="H1220" s="32"/>
      <c r="I1220" s="32"/>
      <c r="J1220" s="32"/>
      <c r="K1220" s="32"/>
      <c r="L1220" s="32"/>
      <c r="M1220" s="32"/>
      <c r="N1220" s="32"/>
      <c r="O1220" s="32"/>
      <c r="P1220" s="32"/>
      <c r="Q1220" s="32"/>
      <c r="R1220" s="32"/>
      <c r="S1220" s="14"/>
      <c r="T1220" s="14"/>
      <c r="U1220" s="12"/>
      <c r="V1220" s="12"/>
      <c r="W1220" s="12"/>
      <c r="X1220" s="12"/>
      <c r="Y1220" s="12"/>
      <c r="Z1220" s="12"/>
      <c r="AA1220" s="12"/>
      <c r="AB1220" s="12"/>
      <c r="AC1220" s="12"/>
      <c r="AD1220" s="12"/>
      <c r="AE1220" s="12"/>
      <c r="AF1220" s="12"/>
    </row>
    <row r="1221" spans="2:32" x14ac:dyDescent="0.35">
      <c r="B1221" s="21"/>
      <c r="D1221" s="2"/>
      <c r="E1221" s="2"/>
      <c r="F1221" s="32"/>
      <c r="G1221" s="32"/>
      <c r="H1221" s="32"/>
      <c r="I1221" s="32"/>
      <c r="J1221" s="32"/>
      <c r="K1221" s="32"/>
      <c r="L1221" s="32"/>
      <c r="M1221" s="32"/>
      <c r="N1221" s="32"/>
      <c r="O1221" s="32"/>
      <c r="P1221" s="32"/>
      <c r="Q1221" s="32"/>
      <c r="R1221" s="32"/>
      <c r="S1221" s="14"/>
      <c r="T1221" s="14"/>
      <c r="U1221" s="12"/>
      <c r="V1221" s="12"/>
      <c r="W1221" s="12"/>
      <c r="X1221" s="12"/>
      <c r="Y1221" s="12"/>
      <c r="Z1221" s="12"/>
      <c r="AA1221" s="12"/>
      <c r="AB1221" s="12"/>
      <c r="AC1221" s="12"/>
      <c r="AD1221" s="12"/>
      <c r="AE1221" s="12"/>
      <c r="AF1221" s="12"/>
    </row>
    <row r="1222" spans="2:32" x14ac:dyDescent="0.35">
      <c r="B1222" s="21"/>
      <c r="D1222" s="2"/>
      <c r="E1222" s="2"/>
      <c r="F1222" s="32"/>
      <c r="G1222" s="32"/>
      <c r="H1222" s="32"/>
      <c r="I1222" s="32"/>
      <c r="J1222" s="32"/>
      <c r="K1222" s="32"/>
      <c r="L1222" s="32"/>
      <c r="M1222" s="32"/>
      <c r="N1222" s="32"/>
      <c r="O1222" s="32"/>
      <c r="P1222" s="32"/>
      <c r="Q1222" s="32"/>
      <c r="R1222" s="32"/>
      <c r="S1222" s="14"/>
      <c r="T1222" s="14"/>
      <c r="U1222" s="12"/>
      <c r="V1222" s="12"/>
      <c r="W1222" s="12"/>
      <c r="X1222" s="12"/>
      <c r="Y1222" s="12"/>
      <c r="Z1222" s="12"/>
      <c r="AA1222" s="12"/>
      <c r="AB1222" s="12"/>
      <c r="AC1222" s="12"/>
      <c r="AD1222" s="12"/>
      <c r="AE1222" s="12"/>
      <c r="AF1222" s="12"/>
    </row>
    <row r="1223" spans="2:32" x14ac:dyDescent="0.35">
      <c r="B1223" s="21"/>
      <c r="D1223" s="2"/>
      <c r="E1223" s="2"/>
      <c r="F1223" s="32"/>
      <c r="G1223" s="32"/>
      <c r="H1223" s="32"/>
      <c r="I1223" s="32"/>
      <c r="J1223" s="32"/>
      <c r="K1223" s="32"/>
      <c r="L1223" s="32"/>
      <c r="M1223" s="32"/>
      <c r="N1223" s="32"/>
      <c r="O1223" s="32"/>
      <c r="P1223" s="32"/>
      <c r="Q1223" s="32"/>
      <c r="R1223" s="32"/>
      <c r="S1223" s="14"/>
      <c r="T1223" s="14"/>
      <c r="U1223" s="12"/>
      <c r="V1223" s="12"/>
      <c r="W1223" s="12"/>
      <c r="X1223" s="12"/>
      <c r="Y1223" s="12"/>
      <c r="Z1223" s="12"/>
      <c r="AA1223" s="12"/>
      <c r="AB1223" s="12"/>
      <c r="AC1223" s="12"/>
      <c r="AD1223" s="12"/>
      <c r="AE1223" s="12"/>
      <c r="AF1223" s="12"/>
    </row>
    <row r="1224" spans="2:32" x14ac:dyDescent="0.35">
      <c r="B1224" s="21"/>
      <c r="F1224" s="33"/>
      <c r="G1224" s="33"/>
      <c r="H1224" s="33"/>
      <c r="I1224" s="33"/>
      <c r="J1224" s="33"/>
      <c r="K1224" s="33"/>
      <c r="L1224" s="33"/>
      <c r="M1224" s="33"/>
      <c r="N1224" s="33"/>
      <c r="O1224" s="33"/>
      <c r="P1224" s="33"/>
      <c r="Q1224" s="33"/>
      <c r="R1224" s="33"/>
      <c r="S1224" s="14"/>
      <c r="T1224" s="14"/>
      <c r="U1224" s="12"/>
      <c r="V1224" s="12"/>
      <c r="W1224" s="12"/>
      <c r="X1224" s="12"/>
      <c r="Y1224" s="12"/>
      <c r="Z1224" s="12"/>
      <c r="AA1224" s="12"/>
      <c r="AB1224" s="12"/>
      <c r="AC1224" s="12"/>
      <c r="AD1224" s="12"/>
      <c r="AE1224" s="12"/>
      <c r="AF1224" s="12"/>
    </row>
    <row r="1225" spans="2:32" x14ac:dyDescent="0.35">
      <c r="B1225" s="21"/>
      <c r="D1225" s="2"/>
      <c r="E1225" s="2"/>
      <c r="F1225" s="32"/>
      <c r="G1225" s="32"/>
      <c r="H1225" s="32"/>
      <c r="I1225" s="32"/>
      <c r="J1225" s="32"/>
      <c r="K1225" s="32"/>
      <c r="L1225" s="32"/>
      <c r="M1225" s="32"/>
      <c r="N1225" s="32"/>
      <c r="O1225" s="32"/>
      <c r="P1225" s="32"/>
      <c r="Q1225" s="32"/>
      <c r="R1225" s="32"/>
      <c r="S1225" s="14"/>
      <c r="T1225" s="14"/>
      <c r="U1225" s="12"/>
      <c r="V1225" s="12"/>
      <c r="W1225" s="12"/>
      <c r="X1225" s="12"/>
      <c r="Y1225" s="12"/>
      <c r="Z1225" s="12"/>
      <c r="AA1225" s="12"/>
      <c r="AB1225" s="12"/>
      <c r="AC1225" s="12"/>
      <c r="AD1225" s="12"/>
      <c r="AE1225" s="12"/>
      <c r="AF1225" s="12"/>
    </row>
    <row r="1226" spans="2:32" x14ac:dyDescent="0.35">
      <c r="B1226" s="21"/>
      <c r="D1226" s="2"/>
      <c r="E1226" s="2"/>
      <c r="F1226" s="32"/>
      <c r="G1226" s="32"/>
      <c r="H1226" s="32"/>
      <c r="I1226" s="32"/>
      <c r="J1226" s="32"/>
      <c r="K1226" s="32"/>
      <c r="L1226" s="32"/>
      <c r="M1226" s="32"/>
      <c r="N1226" s="32"/>
      <c r="O1226" s="32"/>
      <c r="P1226" s="32"/>
      <c r="Q1226" s="32"/>
      <c r="R1226" s="32"/>
      <c r="S1226" s="14"/>
      <c r="T1226" s="14"/>
      <c r="U1226" s="12"/>
      <c r="V1226" s="12"/>
      <c r="W1226" s="12"/>
      <c r="X1226" s="12"/>
      <c r="Y1226" s="12"/>
      <c r="Z1226" s="12"/>
      <c r="AA1226" s="12"/>
      <c r="AB1226" s="12"/>
      <c r="AC1226" s="12"/>
      <c r="AD1226" s="12"/>
      <c r="AE1226" s="12"/>
      <c r="AF1226" s="12"/>
    </row>
    <row r="1227" spans="2:32" x14ac:dyDescent="0.35">
      <c r="B1227" s="21"/>
      <c r="D1227" s="2"/>
      <c r="E1227" s="2"/>
      <c r="F1227" s="32"/>
      <c r="G1227" s="32"/>
      <c r="H1227" s="32"/>
      <c r="I1227" s="32"/>
      <c r="J1227" s="32"/>
      <c r="K1227" s="32"/>
      <c r="L1227" s="32"/>
      <c r="M1227" s="32"/>
      <c r="N1227" s="32"/>
      <c r="O1227" s="32"/>
      <c r="P1227" s="32"/>
      <c r="Q1227" s="32"/>
      <c r="R1227" s="32"/>
      <c r="S1227" s="14"/>
      <c r="T1227" s="14"/>
      <c r="U1227" s="12"/>
      <c r="V1227" s="12"/>
      <c r="W1227" s="12"/>
      <c r="X1227" s="12"/>
      <c r="Y1227" s="12"/>
      <c r="Z1227" s="12"/>
      <c r="AA1227" s="12"/>
      <c r="AB1227" s="12"/>
      <c r="AC1227" s="12"/>
      <c r="AD1227" s="12"/>
      <c r="AE1227" s="12"/>
      <c r="AF1227" s="12"/>
    </row>
    <row r="1228" spans="2:32" x14ac:dyDescent="0.35">
      <c r="B1228" s="21"/>
      <c r="D1228" s="2"/>
      <c r="E1228" s="2"/>
      <c r="F1228" s="32"/>
      <c r="G1228" s="32"/>
      <c r="H1228" s="32"/>
      <c r="I1228" s="32"/>
      <c r="J1228" s="32"/>
      <c r="K1228" s="32"/>
      <c r="L1228" s="32"/>
      <c r="M1228" s="32"/>
      <c r="N1228" s="32"/>
      <c r="O1228" s="32"/>
      <c r="P1228" s="32"/>
      <c r="Q1228" s="32"/>
      <c r="R1228" s="32"/>
      <c r="S1228" s="14"/>
      <c r="T1228" s="14"/>
      <c r="U1228" s="12"/>
      <c r="V1228" s="12"/>
      <c r="W1228" s="12"/>
      <c r="X1228" s="12"/>
      <c r="Y1228" s="12"/>
      <c r="Z1228" s="12"/>
      <c r="AA1228" s="12"/>
      <c r="AB1228" s="12"/>
      <c r="AC1228" s="12"/>
      <c r="AD1228" s="12"/>
      <c r="AE1228" s="12"/>
      <c r="AF1228" s="12"/>
    </row>
    <row r="1229" spans="2:32" x14ac:dyDescent="0.35">
      <c r="B1229" s="21"/>
      <c r="D1229" s="2"/>
      <c r="E1229" s="2"/>
      <c r="F1229" s="32"/>
      <c r="G1229" s="32"/>
      <c r="H1229" s="32"/>
      <c r="I1229" s="32"/>
      <c r="J1229" s="32"/>
      <c r="K1229" s="32"/>
      <c r="L1229" s="32"/>
      <c r="M1229" s="32"/>
      <c r="N1229" s="32"/>
      <c r="O1229" s="32"/>
      <c r="P1229" s="32"/>
      <c r="Q1229" s="32"/>
      <c r="R1229" s="32"/>
      <c r="S1229" s="14"/>
      <c r="T1229" s="14"/>
      <c r="U1229" s="12"/>
      <c r="V1229" s="12"/>
      <c r="W1229" s="12"/>
      <c r="X1229" s="12"/>
      <c r="Y1229" s="12"/>
      <c r="Z1229" s="12"/>
      <c r="AA1229" s="12"/>
      <c r="AB1229" s="12"/>
      <c r="AC1229" s="12"/>
      <c r="AD1229" s="12"/>
      <c r="AE1229" s="12"/>
      <c r="AF1229" s="12"/>
    </row>
    <row r="1230" spans="2:32" x14ac:dyDescent="0.35">
      <c r="B1230" s="21"/>
      <c r="D1230" s="2"/>
      <c r="E1230" s="2"/>
      <c r="F1230" s="32"/>
      <c r="G1230" s="32"/>
      <c r="H1230" s="32"/>
      <c r="I1230" s="32"/>
      <c r="J1230" s="32"/>
      <c r="K1230" s="32"/>
      <c r="L1230" s="32"/>
      <c r="M1230" s="32"/>
      <c r="N1230" s="32"/>
      <c r="O1230" s="32"/>
      <c r="P1230" s="32"/>
      <c r="Q1230" s="32"/>
      <c r="R1230" s="32"/>
      <c r="S1230" s="14"/>
      <c r="T1230" s="14"/>
      <c r="U1230" s="12"/>
      <c r="V1230" s="12"/>
      <c r="W1230" s="12"/>
      <c r="X1230" s="12"/>
      <c r="Y1230" s="12"/>
      <c r="Z1230" s="12"/>
      <c r="AA1230" s="12"/>
      <c r="AB1230" s="12"/>
      <c r="AC1230" s="12"/>
      <c r="AD1230" s="12"/>
      <c r="AE1230" s="12"/>
      <c r="AF1230" s="12"/>
    </row>
    <row r="1231" spans="2:32" x14ac:dyDescent="0.35">
      <c r="B1231" s="21"/>
      <c r="D1231" s="2"/>
      <c r="E1231" s="2"/>
      <c r="F1231" s="32"/>
      <c r="G1231" s="32"/>
      <c r="H1231" s="32"/>
      <c r="I1231" s="32"/>
      <c r="J1231" s="32"/>
      <c r="K1231" s="32"/>
      <c r="L1231" s="32"/>
      <c r="M1231" s="32"/>
      <c r="N1231" s="32"/>
      <c r="O1231" s="32"/>
      <c r="P1231" s="32"/>
      <c r="Q1231" s="32"/>
      <c r="R1231" s="32"/>
      <c r="S1231" s="14"/>
      <c r="T1231" s="14"/>
      <c r="U1231" s="12"/>
      <c r="V1231" s="12"/>
      <c r="W1231" s="12"/>
      <c r="X1231" s="12"/>
      <c r="Y1231" s="12"/>
      <c r="Z1231" s="12"/>
      <c r="AA1231" s="12"/>
      <c r="AB1231" s="12"/>
      <c r="AC1231" s="12"/>
      <c r="AD1231" s="12"/>
      <c r="AE1231" s="12"/>
      <c r="AF1231" s="12"/>
    </row>
    <row r="1232" spans="2:32" x14ac:dyDescent="0.35">
      <c r="B1232" s="21"/>
      <c r="F1232" s="33"/>
      <c r="G1232" s="33"/>
      <c r="H1232" s="33"/>
      <c r="I1232" s="33"/>
      <c r="J1232" s="33"/>
      <c r="K1232" s="33"/>
      <c r="L1232" s="33"/>
      <c r="M1232" s="33"/>
      <c r="N1232" s="33"/>
      <c r="O1232" s="33"/>
      <c r="P1232" s="33"/>
      <c r="Q1232" s="33"/>
      <c r="R1232" s="33"/>
      <c r="S1232" s="14"/>
      <c r="T1232" s="14"/>
      <c r="U1232" s="12"/>
      <c r="V1232" s="12"/>
      <c r="W1232" s="12"/>
      <c r="X1232" s="12"/>
      <c r="Y1232" s="12"/>
      <c r="Z1232" s="12"/>
      <c r="AA1232" s="12"/>
      <c r="AB1232" s="12"/>
      <c r="AC1232" s="12"/>
      <c r="AD1232" s="12"/>
      <c r="AE1232" s="12"/>
      <c r="AF1232" s="12"/>
    </row>
    <row r="1233" spans="1:32" x14ac:dyDescent="0.35">
      <c r="A1233" s="30"/>
      <c r="B1233" s="21"/>
      <c r="D1233" s="2"/>
      <c r="E1233" s="2"/>
      <c r="F1233" s="32"/>
      <c r="G1233" s="32"/>
      <c r="H1233" s="32"/>
      <c r="I1233" s="32"/>
      <c r="J1233" s="32"/>
      <c r="K1233" s="32"/>
      <c r="L1233" s="32"/>
      <c r="M1233" s="32"/>
      <c r="N1233" s="32"/>
      <c r="O1233" s="32"/>
      <c r="P1233" s="32"/>
      <c r="Q1233" s="32"/>
      <c r="R1233" s="32"/>
      <c r="S1233" s="14"/>
      <c r="T1233" s="14"/>
      <c r="U1233" s="12"/>
      <c r="V1233" s="12"/>
      <c r="W1233" s="12"/>
      <c r="X1233" s="12"/>
      <c r="Y1233" s="12"/>
      <c r="Z1233" s="12"/>
      <c r="AA1233" s="12"/>
      <c r="AB1233" s="12"/>
      <c r="AC1233" s="12"/>
      <c r="AD1233" s="12"/>
      <c r="AE1233" s="12"/>
      <c r="AF1233" s="12"/>
    </row>
    <row r="1234" spans="1:32" x14ac:dyDescent="0.35">
      <c r="A1234" s="30"/>
      <c r="B1234" s="21"/>
      <c r="D1234" s="2"/>
      <c r="E1234" s="2"/>
      <c r="F1234" s="32"/>
      <c r="G1234" s="32"/>
      <c r="H1234" s="32"/>
      <c r="I1234" s="32"/>
      <c r="J1234" s="32"/>
      <c r="K1234" s="32"/>
      <c r="L1234" s="32"/>
      <c r="M1234" s="32"/>
      <c r="N1234" s="32"/>
      <c r="O1234" s="32"/>
      <c r="P1234" s="32"/>
      <c r="Q1234" s="32"/>
      <c r="R1234" s="32"/>
      <c r="S1234" s="14"/>
      <c r="T1234" s="14"/>
      <c r="U1234" s="12"/>
      <c r="V1234" s="12"/>
      <c r="W1234" s="12"/>
      <c r="X1234" s="12"/>
      <c r="Y1234" s="12"/>
      <c r="Z1234" s="12"/>
      <c r="AA1234" s="12"/>
      <c r="AB1234" s="12"/>
      <c r="AC1234" s="12"/>
      <c r="AD1234" s="12"/>
      <c r="AE1234" s="12"/>
      <c r="AF1234" s="12"/>
    </row>
    <row r="1235" spans="1:32" x14ac:dyDescent="0.35">
      <c r="A1235" s="30"/>
      <c r="B1235" s="21"/>
      <c r="D1235" s="2"/>
      <c r="E1235" s="2"/>
      <c r="F1235" s="32"/>
      <c r="G1235" s="32"/>
      <c r="H1235" s="32"/>
      <c r="I1235" s="32"/>
      <c r="J1235" s="32"/>
      <c r="K1235" s="32"/>
      <c r="L1235" s="32"/>
      <c r="M1235" s="32"/>
      <c r="N1235" s="32"/>
      <c r="O1235" s="32"/>
      <c r="P1235" s="32"/>
      <c r="Q1235" s="32"/>
      <c r="R1235" s="32"/>
      <c r="S1235" s="14"/>
      <c r="T1235" s="14"/>
      <c r="U1235" s="12"/>
      <c r="V1235" s="12"/>
      <c r="W1235" s="12"/>
      <c r="X1235" s="12"/>
      <c r="Y1235" s="12"/>
      <c r="Z1235" s="12"/>
      <c r="AA1235" s="12"/>
      <c r="AB1235" s="12"/>
      <c r="AC1235" s="12"/>
      <c r="AD1235" s="12"/>
      <c r="AE1235" s="12"/>
      <c r="AF1235" s="12"/>
    </row>
    <row r="1236" spans="1:32" x14ac:dyDescent="0.35">
      <c r="A1236" s="30"/>
      <c r="B1236" s="21"/>
      <c r="D1236" s="2"/>
      <c r="E1236" s="2"/>
      <c r="F1236" s="32"/>
      <c r="G1236" s="32"/>
      <c r="H1236" s="32"/>
      <c r="I1236" s="32"/>
      <c r="J1236" s="32"/>
      <c r="K1236" s="32"/>
      <c r="L1236" s="32"/>
      <c r="M1236" s="32"/>
      <c r="N1236" s="32"/>
      <c r="O1236" s="32"/>
      <c r="P1236" s="32"/>
      <c r="Q1236" s="32"/>
      <c r="R1236" s="32"/>
      <c r="S1236" s="14"/>
      <c r="T1236" s="14"/>
      <c r="U1236" s="12"/>
      <c r="V1236" s="12"/>
      <c r="W1236" s="12"/>
      <c r="X1236" s="12"/>
      <c r="Y1236" s="12"/>
      <c r="Z1236" s="12"/>
      <c r="AA1236" s="12"/>
      <c r="AB1236" s="12"/>
      <c r="AC1236" s="12"/>
      <c r="AD1236" s="12"/>
      <c r="AE1236" s="12"/>
      <c r="AF1236" s="12"/>
    </row>
    <row r="1237" spans="1:32" x14ac:dyDescent="0.35">
      <c r="A1237" s="30"/>
      <c r="B1237" s="21"/>
      <c r="D1237" s="2"/>
      <c r="E1237" s="2"/>
      <c r="F1237" s="32"/>
      <c r="G1237" s="32"/>
      <c r="H1237" s="32"/>
      <c r="I1237" s="32"/>
      <c r="J1237" s="32"/>
      <c r="K1237" s="32"/>
      <c r="L1237" s="32"/>
      <c r="M1237" s="32"/>
      <c r="N1237" s="32"/>
      <c r="O1237" s="32"/>
      <c r="P1237" s="32"/>
      <c r="Q1237" s="32"/>
      <c r="R1237" s="32"/>
      <c r="S1237" s="14"/>
      <c r="T1237" s="14"/>
      <c r="U1237" s="12"/>
      <c r="V1237" s="12"/>
      <c r="W1237" s="12"/>
      <c r="X1237" s="12"/>
      <c r="Y1237" s="12"/>
      <c r="Z1237" s="12"/>
      <c r="AA1237" s="12"/>
      <c r="AB1237" s="12"/>
      <c r="AC1237" s="12"/>
      <c r="AD1237" s="12"/>
      <c r="AE1237" s="12"/>
      <c r="AF1237" s="12"/>
    </row>
    <row r="1238" spans="1:32" x14ac:dyDescent="0.35">
      <c r="A1238" s="30"/>
      <c r="B1238" s="21"/>
      <c r="D1238" s="2"/>
      <c r="E1238" s="2"/>
      <c r="F1238" s="32"/>
      <c r="G1238" s="32"/>
      <c r="H1238" s="32"/>
      <c r="I1238" s="32"/>
      <c r="J1238" s="32"/>
      <c r="K1238" s="32"/>
      <c r="L1238" s="32"/>
      <c r="M1238" s="32"/>
      <c r="N1238" s="32"/>
      <c r="O1238" s="32"/>
      <c r="P1238" s="32"/>
      <c r="Q1238" s="32"/>
      <c r="R1238" s="32"/>
      <c r="S1238" s="14"/>
      <c r="T1238" s="14"/>
      <c r="U1238" s="12"/>
      <c r="V1238" s="12"/>
      <c r="W1238" s="12"/>
      <c r="X1238" s="12"/>
      <c r="Y1238" s="12"/>
      <c r="Z1238" s="12"/>
      <c r="AA1238" s="12"/>
      <c r="AB1238" s="12"/>
      <c r="AC1238" s="12"/>
      <c r="AD1238" s="12"/>
      <c r="AE1238" s="12"/>
      <c r="AF1238" s="12"/>
    </row>
    <row r="1239" spans="1:32" x14ac:dyDescent="0.35">
      <c r="A1239" s="30"/>
      <c r="B1239" s="21"/>
      <c r="D1239" s="2"/>
      <c r="E1239" s="2"/>
      <c r="F1239" s="32"/>
      <c r="G1239" s="32"/>
      <c r="H1239" s="32"/>
      <c r="I1239" s="32"/>
      <c r="J1239" s="32"/>
      <c r="K1239" s="32"/>
      <c r="L1239" s="32"/>
      <c r="M1239" s="32"/>
      <c r="N1239" s="32"/>
      <c r="O1239" s="32"/>
      <c r="P1239" s="32"/>
      <c r="Q1239" s="32"/>
      <c r="R1239" s="32"/>
      <c r="S1239" s="14"/>
      <c r="T1239" s="14"/>
      <c r="U1239" s="12"/>
      <c r="V1239" s="12"/>
      <c r="W1239" s="12"/>
      <c r="X1239" s="12"/>
      <c r="Y1239" s="12"/>
      <c r="Z1239" s="12"/>
      <c r="AA1239" s="12"/>
      <c r="AB1239" s="12"/>
      <c r="AC1239" s="12"/>
      <c r="AD1239" s="12"/>
      <c r="AE1239" s="12"/>
      <c r="AF1239" s="12"/>
    </row>
    <row r="1240" spans="1:32" x14ac:dyDescent="0.35">
      <c r="A1240" s="30"/>
      <c r="B1240" s="21"/>
      <c r="F1240" s="33"/>
      <c r="G1240" s="33"/>
      <c r="H1240" s="33"/>
      <c r="I1240" s="33"/>
      <c r="J1240" s="33"/>
      <c r="K1240" s="33"/>
      <c r="L1240" s="33"/>
      <c r="M1240" s="33"/>
      <c r="N1240" s="33"/>
      <c r="O1240" s="33"/>
      <c r="P1240" s="33"/>
      <c r="Q1240" s="33"/>
      <c r="R1240" s="33"/>
      <c r="S1240" s="14"/>
      <c r="T1240" s="14"/>
      <c r="U1240" s="12"/>
      <c r="V1240" s="12"/>
      <c r="W1240" s="12"/>
      <c r="X1240" s="12"/>
      <c r="Y1240" s="12"/>
      <c r="Z1240" s="12"/>
      <c r="AA1240" s="12"/>
      <c r="AB1240" s="12"/>
      <c r="AC1240" s="12"/>
      <c r="AD1240" s="12"/>
      <c r="AE1240" s="12"/>
      <c r="AF1240" s="12"/>
    </row>
    <row r="1241" spans="1:32" x14ac:dyDescent="0.35">
      <c r="B1241" s="21"/>
      <c r="D1241" s="2"/>
      <c r="E1241" s="2"/>
      <c r="F1241" s="32"/>
      <c r="G1241" s="32"/>
      <c r="H1241" s="32"/>
      <c r="I1241" s="32"/>
      <c r="J1241" s="32"/>
      <c r="K1241" s="32"/>
      <c r="L1241" s="32"/>
      <c r="M1241" s="32"/>
      <c r="N1241" s="32"/>
      <c r="O1241" s="32"/>
      <c r="P1241" s="32"/>
      <c r="Q1241" s="32"/>
      <c r="R1241" s="32"/>
      <c r="S1241" s="5"/>
      <c r="T1241" s="22"/>
      <c r="U1241" s="12"/>
      <c r="V1241" s="12"/>
      <c r="W1241" s="12"/>
      <c r="X1241" s="12"/>
      <c r="Y1241" s="12"/>
      <c r="Z1241" s="12"/>
      <c r="AA1241" s="12"/>
      <c r="AB1241" s="12"/>
      <c r="AC1241" s="12"/>
      <c r="AD1241" s="12"/>
      <c r="AE1241" s="12"/>
      <c r="AF1241" s="12"/>
    </row>
    <row r="1242" spans="1:32" x14ac:dyDescent="0.35">
      <c r="B1242" s="21"/>
      <c r="D1242" s="2"/>
      <c r="E1242" s="2"/>
      <c r="F1242" s="32"/>
      <c r="G1242" s="32"/>
      <c r="H1242" s="32"/>
      <c r="I1242" s="32"/>
      <c r="J1242" s="32"/>
      <c r="K1242" s="32"/>
      <c r="L1242" s="32"/>
      <c r="M1242" s="32"/>
      <c r="N1242" s="32"/>
      <c r="O1242" s="32"/>
      <c r="P1242" s="32"/>
      <c r="Q1242" s="32"/>
      <c r="R1242" s="32"/>
      <c r="S1242" s="25"/>
      <c r="T1242" s="22"/>
      <c r="U1242" s="12"/>
      <c r="V1242" s="12"/>
      <c r="W1242" s="12"/>
      <c r="X1242" s="12"/>
      <c r="Y1242" s="12"/>
      <c r="Z1242" s="12"/>
      <c r="AA1242" s="12"/>
      <c r="AB1242" s="12"/>
      <c r="AC1242" s="12"/>
      <c r="AD1242" s="12"/>
      <c r="AE1242" s="12"/>
      <c r="AF1242" s="12"/>
    </row>
    <row r="1243" spans="1:32" x14ac:dyDescent="0.35">
      <c r="B1243" s="21"/>
      <c r="D1243" s="2"/>
      <c r="E1243" s="2"/>
      <c r="F1243" s="32"/>
      <c r="G1243" s="32"/>
      <c r="H1243" s="32"/>
      <c r="I1243" s="32"/>
      <c r="J1243" s="32"/>
      <c r="K1243" s="32"/>
      <c r="L1243" s="32"/>
      <c r="M1243" s="32"/>
      <c r="N1243" s="32"/>
      <c r="O1243" s="32"/>
      <c r="P1243" s="32"/>
      <c r="Q1243" s="32"/>
      <c r="R1243" s="32"/>
      <c r="S1243" s="25"/>
      <c r="T1243" s="22"/>
      <c r="U1243" s="12"/>
      <c r="V1243" s="12"/>
      <c r="W1243" s="12"/>
      <c r="X1243" s="12"/>
      <c r="Y1243" s="12"/>
      <c r="Z1243" s="12"/>
      <c r="AA1243" s="12"/>
      <c r="AB1243" s="12"/>
      <c r="AC1243" s="12"/>
      <c r="AD1243" s="12"/>
      <c r="AE1243" s="12"/>
      <c r="AF1243" s="12"/>
    </row>
    <row r="1244" spans="1:32" x14ac:dyDescent="0.35">
      <c r="B1244" s="21"/>
      <c r="D1244" s="2"/>
      <c r="E1244" s="2"/>
      <c r="F1244" s="32"/>
      <c r="G1244" s="32"/>
      <c r="H1244" s="32"/>
      <c r="I1244" s="32"/>
      <c r="J1244" s="32"/>
      <c r="K1244" s="32"/>
      <c r="L1244" s="32"/>
      <c r="M1244" s="32"/>
      <c r="N1244" s="32"/>
      <c r="O1244" s="32"/>
      <c r="P1244" s="32"/>
      <c r="Q1244" s="32"/>
      <c r="R1244" s="32"/>
      <c r="S1244" s="25"/>
      <c r="T1244" s="22"/>
      <c r="U1244" s="12"/>
      <c r="V1244" s="12"/>
      <c r="W1244" s="12"/>
      <c r="X1244" s="12"/>
      <c r="Y1244" s="12"/>
      <c r="Z1244" s="12"/>
      <c r="AA1244" s="12"/>
      <c r="AB1244" s="12"/>
      <c r="AC1244" s="12"/>
      <c r="AD1244" s="12"/>
      <c r="AE1244" s="12"/>
      <c r="AF1244" s="12"/>
    </row>
    <row r="1245" spans="1:32" x14ac:dyDescent="0.35">
      <c r="B1245" s="21"/>
      <c r="D1245" s="2"/>
      <c r="E1245" s="2"/>
      <c r="F1245" s="32"/>
      <c r="G1245" s="32"/>
      <c r="H1245" s="32"/>
      <c r="I1245" s="32"/>
      <c r="J1245" s="32"/>
      <c r="K1245" s="32"/>
      <c r="L1245" s="32"/>
      <c r="M1245" s="32"/>
      <c r="N1245" s="32"/>
      <c r="O1245" s="32"/>
      <c r="P1245" s="32"/>
      <c r="Q1245" s="32"/>
      <c r="R1245" s="32"/>
      <c r="S1245" s="25"/>
      <c r="T1245" s="22"/>
      <c r="U1245" s="12"/>
      <c r="V1245" s="12"/>
      <c r="W1245" s="12"/>
      <c r="X1245" s="12"/>
      <c r="Y1245" s="12"/>
      <c r="Z1245" s="12"/>
      <c r="AA1245" s="12"/>
      <c r="AB1245" s="12"/>
      <c r="AC1245" s="12"/>
      <c r="AD1245" s="12"/>
      <c r="AE1245" s="12"/>
      <c r="AF1245" s="12"/>
    </row>
    <row r="1246" spans="1:32" x14ac:dyDescent="0.35">
      <c r="B1246" s="21"/>
      <c r="D1246" s="2"/>
      <c r="E1246" s="2"/>
      <c r="F1246" s="32"/>
      <c r="G1246" s="32"/>
      <c r="H1246" s="32"/>
      <c r="I1246" s="32"/>
      <c r="J1246" s="32"/>
      <c r="K1246" s="32"/>
      <c r="L1246" s="32"/>
      <c r="M1246" s="32"/>
      <c r="N1246" s="32"/>
      <c r="O1246" s="32"/>
      <c r="P1246" s="32"/>
      <c r="Q1246" s="32"/>
      <c r="R1246" s="32"/>
      <c r="S1246" s="25"/>
      <c r="T1246" s="22"/>
      <c r="U1246" s="12"/>
      <c r="V1246" s="12"/>
      <c r="W1246" s="12"/>
      <c r="X1246" s="12"/>
      <c r="Y1246" s="12"/>
      <c r="Z1246" s="12"/>
      <c r="AA1246" s="12"/>
      <c r="AB1246" s="12"/>
      <c r="AC1246" s="12"/>
      <c r="AD1246" s="12"/>
      <c r="AE1246" s="12"/>
      <c r="AF1246" s="12"/>
    </row>
    <row r="1247" spans="1:32" x14ac:dyDescent="0.35">
      <c r="B1247" s="21"/>
      <c r="D1247" s="2"/>
      <c r="E1247" s="2"/>
      <c r="F1247" s="32"/>
      <c r="G1247" s="32"/>
      <c r="H1247" s="32"/>
      <c r="I1247" s="32"/>
      <c r="J1247" s="32"/>
      <c r="K1247" s="32"/>
      <c r="L1247" s="32"/>
      <c r="M1247" s="32"/>
      <c r="N1247" s="32"/>
      <c r="O1247" s="32"/>
      <c r="P1247" s="32"/>
      <c r="Q1247" s="32"/>
      <c r="R1247" s="32"/>
      <c r="S1247" s="25"/>
      <c r="T1247" s="22"/>
      <c r="U1247" s="12"/>
      <c r="V1247" s="12"/>
      <c r="W1247" s="12"/>
      <c r="X1247" s="12"/>
      <c r="Y1247" s="12"/>
      <c r="Z1247" s="12"/>
      <c r="AA1247" s="12"/>
      <c r="AB1247" s="12"/>
      <c r="AC1247" s="12"/>
      <c r="AD1247" s="12"/>
      <c r="AE1247" s="12"/>
      <c r="AF1247" s="12"/>
    </row>
    <row r="1248" spans="1:32" x14ac:dyDescent="0.35">
      <c r="B1248" s="21"/>
      <c r="F1248" s="33"/>
      <c r="G1248" s="33"/>
      <c r="H1248" s="33"/>
      <c r="I1248" s="33"/>
      <c r="J1248" s="33"/>
      <c r="K1248" s="33"/>
      <c r="L1248" s="33"/>
      <c r="M1248" s="33"/>
      <c r="N1248" s="33"/>
      <c r="O1248" s="33"/>
      <c r="P1248" s="33"/>
      <c r="Q1248" s="33"/>
      <c r="R1248" s="33"/>
      <c r="S1248" s="25"/>
      <c r="T1248" s="22"/>
      <c r="U1248" s="12"/>
      <c r="V1248" s="12"/>
      <c r="W1248" s="12"/>
      <c r="X1248" s="12"/>
      <c r="Y1248" s="12"/>
      <c r="Z1248" s="12"/>
      <c r="AA1248" s="12"/>
      <c r="AB1248" s="12"/>
      <c r="AC1248" s="12"/>
      <c r="AD1248" s="12"/>
      <c r="AE1248" s="12"/>
      <c r="AF1248" s="12"/>
    </row>
    <row r="1249" spans="2:32" x14ac:dyDescent="0.35">
      <c r="B1249" s="21"/>
      <c r="D1249" s="2"/>
      <c r="E1249" s="2"/>
      <c r="F1249" s="32"/>
      <c r="G1249" s="32"/>
      <c r="H1249" s="32"/>
      <c r="I1249" s="32"/>
      <c r="J1249" s="32"/>
      <c r="K1249" s="32"/>
      <c r="L1249" s="32"/>
      <c r="M1249" s="32"/>
      <c r="N1249" s="32"/>
      <c r="O1249" s="32"/>
      <c r="P1249" s="32"/>
      <c r="Q1249" s="32"/>
      <c r="R1249" s="32"/>
      <c r="S1249" s="25"/>
      <c r="T1249" s="22"/>
      <c r="U1249" s="12"/>
      <c r="V1249" s="12"/>
      <c r="W1249" s="12"/>
      <c r="X1249" s="12"/>
      <c r="Y1249" s="12"/>
      <c r="Z1249" s="12"/>
      <c r="AA1249" s="12"/>
      <c r="AB1249" s="12"/>
      <c r="AC1249" s="12"/>
      <c r="AD1249" s="12"/>
      <c r="AE1249" s="12"/>
      <c r="AF1249" s="12"/>
    </row>
    <row r="1250" spans="2:32" x14ac:dyDescent="0.35">
      <c r="B1250" s="21"/>
      <c r="D1250" s="2"/>
      <c r="E1250" s="2"/>
      <c r="F1250" s="32"/>
      <c r="G1250" s="32"/>
      <c r="H1250" s="32"/>
      <c r="I1250" s="32"/>
      <c r="J1250" s="32"/>
      <c r="K1250" s="32"/>
      <c r="L1250" s="32"/>
      <c r="M1250" s="32"/>
      <c r="N1250" s="32"/>
      <c r="O1250" s="32"/>
      <c r="P1250" s="32"/>
      <c r="Q1250" s="32"/>
      <c r="R1250" s="32"/>
      <c r="S1250" s="25"/>
      <c r="T1250" s="22"/>
      <c r="U1250" s="12"/>
      <c r="V1250" s="12"/>
      <c r="W1250" s="12"/>
      <c r="X1250" s="12"/>
      <c r="Y1250" s="12"/>
      <c r="Z1250" s="12"/>
      <c r="AA1250" s="12"/>
      <c r="AB1250" s="12"/>
      <c r="AC1250" s="12"/>
      <c r="AD1250" s="12"/>
      <c r="AE1250" s="12"/>
      <c r="AF1250" s="12"/>
    </row>
    <row r="1251" spans="2:32" x14ac:dyDescent="0.35">
      <c r="B1251" s="21"/>
      <c r="D1251" s="2"/>
      <c r="E1251" s="2"/>
      <c r="F1251" s="32"/>
      <c r="G1251" s="32"/>
      <c r="H1251" s="32"/>
      <c r="I1251" s="32"/>
      <c r="J1251" s="32"/>
      <c r="K1251" s="32"/>
      <c r="L1251" s="32"/>
      <c r="M1251" s="32"/>
      <c r="N1251" s="32"/>
      <c r="O1251" s="32"/>
      <c r="P1251" s="32"/>
      <c r="Q1251" s="32"/>
      <c r="R1251" s="32"/>
      <c r="S1251" s="25"/>
      <c r="T1251" s="22"/>
      <c r="U1251" s="12"/>
      <c r="V1251" s="12"/>
      <c r="W1251" s="12"/>
      <c r="X1251" s="12"/>
      <c r="Y1251" s="12"/>
      <c r="Z1251" s="12"/>
      <c r="AA1251" s="12"/>
      <c r="AB1251" s="12"/>
      <c r="AC1251" s="12"/>
      <c r="AD1251" s="12"/>
      <c r="AE1251" s="12"/>
      <c r="AF1251" s="12"/>
    </row>
    <row r="1252" spans="2:32" x14ac:dyDescent="0.35">
      <c r="B1252" s="21"/>
      <c r="D1252" s="2"/>
      <c r="E1252" s="2"/>
      <c r="F1252" s="32"/>
      <c r="G1252" s="32"/>
      <c r="H1252" s="32"/>
      <c r="I1252" s="32"/>
      <c r="J1252" s="32"/>
      <c r="K1252" s="32"/>
      <c r="L1252" s="32"/>
      <c r="M1252" s="32"/>
      <c r="N1252" s="32"/>
      <c r="O1252" s="32"/>
      <c r="P1252" s="32"/>
      <c r="Q1252" s="32"/>
      <c r="R1252" s="32"/>
      <c r="S1252" s="25"/>
      <c r="T1252" s="22"/>
      <c r="U1252" s="12"/>
      <c r="V1252" s="12"/>
      <c r="W1252" s="12"/>
      <c r="X1252" s="12"/>
      <c r="Y1252" s="12"/>
      <c r="Z1252" s="12"/>
      <c r="AA1252" s="12"/>
      <c r="AB1252" s="12"/>
      <c r="AC1252" s="12"/>
      <c r="AD1252" s="12"/>
      <c r="AE1252" s="12"/>
      <c r="AF1252" s="12"/>
    </row>
    <row r="1253" spans="2:32" x14ac:dyDescent="0.35">
      <c r="B1253" s="21"/>
      <c r="D1253" s="2"/>
      <c r="E1253" s="2"/>
      <c r="F1253" s="32"/>
      <c r="G1253" s="32"/>
      <c r="H1253" s="32"/>
      <c r="I1253" s="32"/>
      <c r="J1253" s="32"/>
      <c r="K1253" s="32"/>
      <c r="L1253" s="32"/>
      <c r="M1253" s="32"/>
      <c r="N1253" s="32"/>
      <c r="O1253" s="32"/>
      <c r="P1253" s="32"/>
      <c r="Q1253" s="32"/>
      <c r="R1253" s="32"/>
      <c r="S1253" s="25"/>
      <c r="T1253" s="22"/>
      <c r="U1253" s="12"/>
      <c r="V1253" s="12"/>
      <c r="W1253" s="12"/>
      <c r="X1253" s="12"/>
      <c r="Y1253" s="12"/>
      <c r="Z1253" s="12"/>
      <c r="AA1253" s="12"/>
      <c r="AB1253" s="12"/>
      <c r="AC1253" s="12"/>
      <c r="AD1253" s="12"/>
      <c r="AE1253" s="12"/>
      <c r="AF1253" s="12"/>
    </row>
    <row r="1254" spans="2:32" x14ac:dyDescent="0.35">
      <c r="B1254" s="21"/>
      <c r="D1254" s="2"/>
      <c r="E1254" s="2"/>
      <c r="F1254" s="32"/>
      <c r="G1254" s="32"/>
      <c r="H1254" s="32"/>
      <c r="I1254" s="32"/>
      <c r="J1254" s="32"/>
      <c r="K1254" s="32"/>
      <c r="L1254" s="32"/>
      <c r="M1254" s="32"/>
      <c r="N1254" s="32"/>
      <c r="O1254" s="32"/>
      <c r="P1254" s="32"/>
      <c r="Q1254" s="32"/>
      <c r="R1254" s="32"/>
      <c r="S1254" s="25"/>
      <c r="T1254" s="22"/>
      <c r="U1254" s="12"/>
      <c r="V1254" s="12"/>
      <c r="W1254" s="12"/>
      <c r="X1254" s="12"/>
      <c r="Y1254" s="12"/>
      <c r="Z1254" s="12"/>
      <c r="AA1254" s="12"/>
      <c r="AB1254" s="12"/>
      <c r="AC1254" s="12"/>
      <c r="AD1254" s="12"/>
      <c r="AE1254" s="12"/>
      <c r="AF1254" s="12"/>
    </row>
    <row r="1255" spans="2:32" x14ac:dyDescent="0.35">
      <c r="B1255" s="21"/>
      <c r="D1255" s="2"/>
      <c r="E1255" s="2"/>
      <c r="F1255" s="32"/>
      <c r="G1255" s="32"/>
      <c r="H1255" s="32"/>
      <c r="I1255" s="32"/>
      <c r="J1255" s="32"/>
      <c r="K1255" s="32"/>
      <c r="L1255" s="32"/>
      <c r="M1255" s="32"/>
      <c r="N1255" s="32"/>
      <c r="O1255" s="32"/>
      <c r="P1255" s="32"/>
      <c r="Q1255" s="32"/>
      <c r="R1255" s="32"/>
      <c r="S1255" s="25"/>
      <c r="T1255" s="22"/>
      <c r="U1255" s="12"/>
      <c r="V1255" s="12"/>
      <c r="W1255" s="12"/>
      <c r="X1255" s="12"/>
      <c r="Y1255" s="12"/>
      <c r="Z1255" s="12"/>
      <c r="AA1255" s="12"/>
      <c r="AB1255" s="12"/>
      <c r="AC1255" s="12"/>
      <c r="AD1255" s="12"/>
      <c r="AE1255" s="12"/>
      <c r="AF1255" s="12"/>
    </row>
    <row r="1256" spans="2:32" x14ac:dyDescent="0.35">
      <c r="B1256" s="21"/>
      <c r="F1256" s="33"/>
      <c r="G1256" s="33"/>
      <c r="H1256" s="33"/>
      <c r="I1256" s="33"/>
      <c r="J1256" s="33"/>
      <c r="K1256" s="33"/>
      <c r="L1256" s="33"/>
      <c r="M1256" s="33"/>
      <c r="N1256" s="33"/>
      <c r="O1256" s="33"/>
      <c r="P1256" s="33"/>
      <c r="Q1256" s="33"/>
      <c r="R1256" s="33"/>
      <c r="S1256" s="25"/>
      <c r="T1256" s="22"/>
      <c r="U1256" s="12"/>
      <c r="V1256" s="12"/>
      <c r="W1256" s="12"/>
      <c r="X1256" s="12"/>
      <c r="Y1256" s="12"/>
      <c r="Z1256" s="12"/>
      <c r="AA1256" s="12"/>
      <c r="AB1256" s="12"/>
      <c r="AC1256" s="12"/>
      <c r="AD1256" s="12"/>
      <c r="AE1256" s="12"/>
      <c r="AF1256" s="12"/>
    </row>
    <row r="1257" spans="2:32" x14ac:dyDescent="0.35">
      <c r="B1257" s="21"/>
      <c r="D1257" s="2"/>
      <c r="E1257" s="2"/>
      <c r="F1257" s="32"/>
      <c r="G1257" s="32"/>
      <c r="H1257" s="32"/>
      <c r="I1257" s="32"/>
      <c r="J1257" s="32"/>
      <c r="K1257" s="32"/>
      <c r="L1257" s="32"/>
      <c r="M1257" s="32"/>
      <c r="N1257" s="32"/>
      <c r="O1257" s="32"/>
      <c r="P1257" s="32"/>
      <c r="Q1257" s="32"/>
      <c r="R1257" s="32"/>
      <c r="S1257" s="25"/>
      <c r="T1257" s="14"/>
      <c r="U1257" s="12"/>
      <c r="V1257" s="12"/>
      <c r="W1257" s="12"/>
      <c r="X1257" s="12"/>
      <c r="Y1257" s="12"/>
      <c r="Z1257" s="12"/>
      <c r="AA1257" s="12"/>
      <c r="AB1257" s="12"/>
      <c r="AC1257" s="12"/>
      <c r="AD1257" s="12"/>
      <c r="AE1257" s="12"/>
      <c r="AF1257" s="12"/>
    </row>
    <row r="1258" spans="2:32" x14ac:dyDescent="0.35">
      <c r="B1258" s="21"/>
      <c r="D1258" s="2"/>
      <c r="E1258" s="2"/>
      <c r="F1258" s="32"/>
      <c r="G1258" s="32"/>
      <c r="H1258" s="32"/>
      <c r="I1258" s="32"/>
      <c r="J1258" s="32"/>
      <c r="K1258" s="32"/>
      <c r="L1258" s="32"/>
      <c r="M1258" s="32"/>
      <c r="N1258" s="32"/>
      <c r="O1258" s="32"/>
      <c r="P1258" s="32"/>
      <c r="Q1258" s="32"/>
      <c r="R1258" s="32"/>
      <c r="S1258" s="25"/>
      <c r="T1258" s="14"/>
      <c r="U1258" s="12"/>
      <c r="V1258" s="12"/>
      <c r="W1258" s="12"/>
      <c r="X1258" s="12"/>
      <c r="Y1258" s="12"/>
      <c r="Z1258" s="12"/>
      <c r="AA1258" s="12"/>
      <c r="AB1258" s="12"/>
      <c r="AC1258" s="12"/>
      <c r="AD1258" s="12"/>
      <c r="AE1258" s="12"/>
      <c r="AF1258" s="12"/>
    </row>
    <row r="1259" spans="2:32" x14ac:dyDescent="0.35">
      <c r="B1259" s="21"/>
      <c r="D1259" s="2"/>
      <c r="E1259" s="2"/>
      <c r="F1259" s="32"/>
      <c r="G1259" s="32"/>
      <c r="H1259" s="32"/>
      <c r="I1259" s="32"/>
      <c r="J1259" s="32"/>
      <c r="K1259" s="32"/>
      <c r="L1259" s="32"/>
      <c r="M1259" s="32"/>
      <c r="N1259" s="32"/>
      <c r="O1259" s="32"/>
      <c r="P1259" s="32"/>
      <c r="Q1259" s="32"/>
      <c r="R1259" s="32"/>
      <c r="S1259" s="25"/>
      <c r="T1259" s="14"/>
      <c r="U1259" s="12"/>
      <c r="V1259" s="12"/>
      <c r="W1259" s="12"/>
      <c r="X1259" s="12"/>
      <c r="Y1259" s="12"/>
      <c r="Z1259" s="12"/>
      <c r="AA1259" s="12"/>
      <c r="AB1259" s="12"/>
      <c r="AC1259" s="12"/>
      <c r="AD1259" s="12"/>
      <c r="AE1259" s="12"/>
      <c r="AF1259" s="12"/>
    </row>
    <row r="1260" spans="2:32" x14ac:dyDescent="0.35">
      <c r="B1260" s="21"/>
      <c r="D1260" s="2"/>
      <c r="E1260" s="2"/>
      <c r="F1260" s="32"/>
      <c r="G1260" s="32"/>
      <c r="H1260" s="32"/>
      <c r="I1260" s="32"/>
      <c r="J1260" s="32"/>
      <c r="K1260" s="32"/>
      <c r="L1260" s="32"/>
      <c r="M1260" s="32"/>
      <c r="N1260" s="32"/>
      <c r="O1260" s="32"/>
      <c r="P1260" s="32"/>
      <c r="Q1260" s="32"/>
      <c r="R1260" s="32"/>
      <c r="S1260" s="25"/>
      <c r="T1260" s="14"/>
      <c r="U1260" s="12"/>
      <c r="V1260" s="12"/>
      <c r="W1260" s="12"/>
      <c r="X1260" s="12"/>
      <c r="Y1260" s="12"/>
      <c r="Z1260" s="12"/>
      <c r="AA1260" s="12"/>
      <c r="AB1260" s="12"/>
      <c r="AC1260" s="12"/>
      <c r="AD1260" s="12"/>
      <c r="AE1260" s="12"/>
      <c r="AF1260" s="12"/>
    </row>
    <row r="1261" spans="2:32" x14ac:dyDescent="0.35">
      <c r="B1261" s="21"/>
      <c r="D1261" s="2"/>
      <c r="E1261" s="2"/>
      <c r="F1261" s="32"/>
      <c r="G1261" s="32"/>
      <c r="H1261" s="32"/>
      <c r="I1261" s="32"/>
      <c r="J1261" s="32"/>
      <c r="K1261" s="32"/>
      <c r="L1261" s="32"/>
      <c r="M1261" s="32"/>
      <c r="N1261" s="32"/>
      <c r="O1261" s="32"/>
      <c r="P1261" s="32"/>
      <c r="Q1261" s="32"/>
      <c r="R1261" s="32"/>
      <c r="S1261" s="25"/>
      <c r="T1261" s="14"/>
      <c r="U1261" s="12"/>
      <c r="V1261" s="12"/>
      <c r="W1261" s="12"/>
      <c r="X1261" s="12"/>
      <c r="Y1261" s="12"/>
      <c r="Z1261" s="12"/>
      <c r="AA1261" s="12"/>
      <c r="AB1261" s="12"/>
      <c r="AC1261" s="12"/>
      <c r="AD1261" s="12"/>
      <c r="AE1261" s="12"/>
      <c r="AF1261" s="12"/>
    </row>
    <row r="1262" spans="2:32" x14ac:dyDescent="0.35">
      <c r="B1262" s="21"/>
      <c r="D1262" s="2"/>
      <c r="E1262" s="2"/>
      <c r="F1262" s="32"/>
      <c r="G1262" s="32"/>
      <c r="H1262" s="32"/>
      <c r="I1262" s="32"/>
      <c r="J1262" s="32"/>
      <c r="K1262" s="32"/>
      <c r="L1262" s="32"/>
      <c r="M1262" s="32"/>
      <c r="N1262" s="32"/>
      <c r="O1262" s="32"/>
      <c r="P1262" s="32"/>
      <c r="Q1262" s="32"/>
      <c r="R1262" s="32"/>
      <c r="S1262" s="25"/>
      <c r="T1262" s="14"/>
      <c r="U1262" s="12"/>
      <c r="V1262" s="12"/>
      <c r="W1262" s="12"/>
      <c r="X1262" s="12"/>
      <c r="Y1262" s="12"/>
      <c r="Z1262" s="12"/>
      <c r="AA1262" s="12"/>
      <c r="AB1262" s="12"/>
      <c r="AC1262" s="12"/>
      <c r="AD1262" s="12"/>
      <c r="AE1262" s="12"/>
      <c r="AF1262" s="12"/>
    </row>
    <row r="1263" spans="2:32" x14ac:dyDescent="0.35">
      <c r="B1263" s="21"/>
      <c r="D1263" s="2"/>
      <c r="E1263" s="2"/>
      <c r="F1263" s="32"/>
      <c r="G1263" s="32"/>
      <c r="H1263" s="32"/>
      <c r="I1263" s="32"/>
      <c r="J1263" s="32"/>
      <c r="K1263" s="32"/>
      <c r="L1263" s="32"/>
      <c r="M1263" s="32"/>
      <c r="N1263" s="32"/>
      <c r="O1263" s="32"/>
      <c r="P1263" s="32"/>
      <c r="Q1263" s="32"/>
      <c r="R1263" s="32"/>
      <c r="S1263" s="25"/>
      <c r="T1263" s="14"/>
      <c r="U1263" s="12"/>
      <c r="V1263" s="12"/>
      <c r="W1263" s="12"/>
      <c r="X1263" s="12"/>
      <c r="Y1263" s="12"/>
      <c r="Z1263" s="12"/>
      <c r="AA1263" s="12"/>
      <c r="AB1263" s="12"/>
      <c r="AC1263" s="12"/>
      <c r="AD1263" s="12"/>
      <c r="AE1263" s="12"/>
      <c r="AF1263" s="12"/>
    </row>
    <row r="1264" spans="2:32" x14ac:dyDescent="0.35">
      <c r="B1264" s="21"/>
      <c r="F1264" s="33"/>
      <c r="G1264" s="33"/>
      <c r="H1264" s="33"/>
      <c r="I1264" s="33"/>
      <c r="J1264" s="33"/>
      <c r="K1264" s="33"/>
      <c r="L1264" s="33"/>
      <c r="M1264" s="33"/>
      <c r="N1264" s="33"/>
      <c r="O1264" s="33"/>
      <c r="P1264" s="33"/>
      <c r="Q1264" s="33"/>
      <c r="R1264" s="33"/>
      <c r="S1264" s="25"/>
      <c r="T1264" s="14"/>
      <c r="U1264" s="12"/>
      <c r="V1264" s="12"/>
      <c r="W1264" s="12"/>
      <c r="X1264" s="12"/>
      <c r="Y1264" s="12"/>
      <c r="Z1264" s="12"/>
      <c r="AA1264" s="12"/>
      <c r="AB1264" s="12"/>
      <c r="AC1264" s="12"/>
      <c r="AD1264" s="12"/>
      <c r="AE1264" s="12"/>
      <c r="AF1264" s="12"/>
    </row>
    <row r="1265" spans="2:32" x14ac:dyDescent="0.35">
      <c r="B1265" s="21"/>
      <c r="D1265" s="2"/>
      <c r="E1265" s="2"/>
      <c r="F1265" s="32"/>
      <c r="G1265" s="32"/>
      <c r="H1265" s="32"/>
      <c r="I1265" s="32"/>
      <c r="J1265" s="32"/>
      <c r="K1265" s="32"/>
      <c r="L1265" s="32"/>
      <c r="M1265" s="32"/>
      <c r="N1265" s="32"/>
      <c r="O1265" s="32"/>
      <c r="P1265" s="32"/>
      <c r="Q1265" s="32"/>
      <c r="R1265" s="32"/>
      <c r="S1265" s="25"/>
      <c r="T1265" s="14"/>
      <c r="U1265" s="12"/>
      <c r="V1265" s="12"/>
      <c r="W1265" s="12"/>
      <c r="X1265" s="12"/>
      <c r="Y1265" s="12"/>
      <c r="Z1265" s="12"/>
      <c r="AA1265" s="12"/>
      <c r="AB1265" s="12"/>
      <c r="AC1265" s="12"/>
      <c r="AD1265" s="12"/>
      <c r="AE1265" s="12"/>
      <c r="AF1265" s="12"/>
    </row>
    <row r="1266" spans="2:32" x14ac:dyDescent="0.35">
      <c r="B1266" s="21"/>
      <c r="D1266" s="2"/>
      <c r="E1266" s="2"/>
      <c r="F1266" s="32"/>
      <c r="G1266" s="32"/>
      <c r="H1266" s="32"/>
      <c r="I1266" s="32"/>
      <c r="J1266" s="32"/>
      <c r="K1266" s="32"/>
      <c r="L1266" s="32"/>
      <c r="M1266" s="32"/>
      <c r="N1266" s="32"/>
      <c r="O1266" s="32"/>
      <c r="P1266" s="32"/>
      <c r="Q1266" s="32"/>
      <c r="R1266" s="32"/>
      <c r="S1266" s="25"/>
      <c r="T1266" s="14"/>
      <c r="U1266" s="12"/>
      <c r="V1266" s="12"/>
      <c r="W1266" s="12"/>
      <c r="X1266" s="12"/>
      <c r="Y1266" s="12"/>
      <c r="Z1266" s="12"/>
      <c r="AA1266" s="12"/>
      <c r="AB1266" s="12"/>
      <c r="AC1266" s="12"/>
      <c r="AD1266" s="12"/>
      <c r="AE1266" s="12"/>
      <c r="AF1266" s="12"/>
    </row>
    <row r="1267" spans="2:32" x14ac:dyDescent="0.35">
      <c r="B1267" s="21"/>
      <c r="D1267" s="2"/>
      <c r="E1267" s="2"/>
      <c r="F1267" s="32"/>
      <c r="G1267" s="32"/>
      <c r="H1267" s="32"/>
      <c r="I1267" s="32"/>
      <c r="J1267" s="32"/>
      <c r="K1267" s="32"/>
      <c r="L1267" s="32"/>
      <c r="M1267" s="32"/>
      <c r="N1267" s="32"/>
      <c r="O1267" s="32"/>
      <c r="P1267" s="32"/>
      <c r="Q1267" s="32"/>
      <c r="R1267" s="32"/>
      <c r="S1267" s="25"/>
      <c r="T1267" s="22"/>
      <c r="U1267" s="12"/>
      <c r="V1267" s="12"/>
      <c r="W1267" s="12"/>
      <c r="X1267" s="12"/>
      <c r="Y1267" s="12"/>
      <c r="Z1267" s="12"/>
      <c r="AA1267" s="12"/>
      <c r="AB1267" s="12"/>
      <c r="AC1267" s="12"/>
      <c r="AD1267" s="12"/>
      <c r="AE1267" s="12"/>
      <c r="AF1267" s="12"/>
    </row>
    <row r="1268" spans="2:32" x14ac:dyDescent="0.35">
      <c r="B1268" s="21"/>
      <c r="D1268" s="2"/>
      <c r="E1268" s="2"/>
      <c r="F1268" s="32"/>
      <c r="G1268" s="32"/>
      <c r="H1268" s="32"/>
      <c r="I1268" s="32"/>
      <c r="J1268" s="32"/>
      <c r="K1268" s="32"/>
      <c r="L1268" s="32"/>
      <c r="M1268" s="32"/>
      <c r="N1268" s="32"/>
      <c r="O1268" s="32"/>
      <c r="P1268" s="32"/>
      <c r="Q1268" s="32"/>
      <c r="R1268" s="32"/>
      <c r="S1268" s="25"/>
      <c r="T1268" s="22"/>
      <c r="U1268" s="12"/>
      <c r="V1268" s="12"/>
      <c r="W1268" s="12"/>
      <c r="X1268" s="12"/>
      <c r="Y1268" s="12"/>
      <c r="Z1268" s="12"/>
      <c r="AA1268" s="12"/>
      <c r="AB1268" s="12"/>
      <c r="AC1268" s="12"/>
      <c r="AD1268" s="12"/>
      <c r="AE1268" s="12"/>
      <c r="AF1268" s="12"/>
    </row>
    <row r="1269" spans="2:32" x14ac:dyDescent="0.35">
      <c r="B1269" s="21"/>
      <c r="D1269" s="2"/>
      <c r="E1269" s="2"/>
      <c r="F1269" s="32"/>
      <c r="G1269" s="32"/>
      <c r="H1269" s="32"/>
      <c r="I1269" s="32"/>
      <c r="J1269" s="32"/>
      <c r="K1269" s="32"/>
      <c r="L1269" s="32"/>
      <c r="M1269" s="32"/>
      <c r="N1269" s="32"/>
      <c r="O1269" s="32"/>
      <c r="P1269" s="32"/>
      <c r="Q1269" s="32"/>
      <c r="R1269" s="32"/>
      <c r="S1269" s="25"/>
      <c r="T1269" s="22"/>
      <c r="U1269" s="12"/>
      <c r="V1269" s="12"/>
      <c r="W1269" s="12"/>
      <c r="X1269" s="12"/>
      <c r="Y1269" s="12"/>
      <c r="Z1269" s="12"/>
      <c r="AA1269" s="12"/>
      <c r="AB1269" s="12"/>
      <c r="AC1269" s="12"/>
      <c r="AD1269" s="12"/>
      <c r="AE1269" s="12"/>
      <c r="AF1269" s="12"/>
    </row>
    <row r="1270" spans="2:32" x14ac:dyDescent="0.35">
      <c r="B1270" s="21"/>
      <c r="D1270" s="2"/>
      <c r="E1270" s="2"/>
      <c r="F1270" s="32"/>
      <c r="G1270" s="32"/>
      <c r="H1270" s="32"/>
      <c r="I1270" s="32"/>
      <c r="J1270" s="32"/>
      <c r="K1270" s="32"/>
      <c r="L1270" s="32"/>
      <c r="M1270" s="32"/>
      <c r="N1270" s="32"/>
      <c r="O1270" s="32"/>
      <c r="P1270" s="32"/>
      <c r="Q1270" s="32"/>
      <c r="R1270" s="32"/>
      <c r="S1270" s="25"/>
      <c r="T1270" s="22"/>
      <c r="U1270" s="12"/>
      <c r="V1270" s="12"/>
      <c r="W1270" s="12"/>
      <c r="X1270" s="12"/>
      <c r="Y1270" s="12"/>
      <c r="Z1270" s="12"/>
      <c r="AA1270" s="12"/>
      <c r="AB1270" s="12"/>
      <c r="AC1270" s="12"/>
      <c r="AD1270" s="12"/>
      <c r="AE1270" s="12"/>
      <c r="AF1270" s="12"/>
    </row>
    <row r="1271" spans="2:32" x14ac:dyDescent="0.35">
      <c r="B1271" s="21"/>
      <c r="D1271" s="2"/>
      <c r="E1271" s="2"/>
      <c r="F1271" s="32"/>
      <c r="G1271" s="32"/>
      <c r="H1271" s="32"/>
      <c r="I1271" s="32"/>
      <c r="J1271" s="32"/>
      <c r="K1271" s="32"/>
      <c r="L1271" s="32"/>
      <c r="M1271" s="32"/>
      <c r="N1271" s="32"/>
      <c r="O1271" s="32"/>
      <c r="P1271" s="32"/>
      <c r="Q1271" s="32"/>
      <c r="R1271" s="32"/>
      <c r="S1271" s="25"/>
      <c r="T1271" s="22"/>
      <c r="U1271" s="12"/>
      <c r="V1271" s="12"/>
      <c r="W1271" s="12"/>
      <c r="X1271" s="12"/>
      <c r="Y1271" s="12"/>
      <c r="Z1271" s="12"/>
      <c r="AA1271" s="12"/>
      <c r="AB1271" s="12"/>
      <c r="AC1271" s="12"/>
      <c r="AD1271" s="12"/>
      <c r="AE1271" s="12"/>
      <c r="AF1271" s="12"/>
    </row>
    <row r="1272" spans="2:32" x14ac:dyDescent="0.35">
      <c r="B1272" s="21"/>
      <c r="F1272" s="33"/>
      <c r="G1272" s="33"/>
      <c r="H1272" s="33"/>
      <c r="I1272" s="33"/>
      <c r="J1272" s="33"/>
      <c r="K1272" s="33"/>
      <c r="L1272" s="33"/>
      <c r="M1272" s="33"/>
      <c r="N1272" s="33"/>
      <c r="O1272" s="33"/>
      <c r="P1272" s="33"/>
      <c r="Q1272" s="33"/>
      <c r="R1272" s="33"/>
      <c r="S1272" s="25"/>
      <c r="T1272" s="22"/>
      <c r="U1272" s="12"/>
      <c r="V1272" s="12"/>
      <c r="W1272" s="12"/>
      <c r="X1272" s="12"/>
      <c r="Y1272" s="12"/>
      <c r="Z1272" s="12"/>
      <c r="AA1272" s="12"/>
      <c r="AB1272" s="12"/>
      <c r="AC1272" s="12"/>
      <c r="AD1272" s="12"/>
      <c r="AE1272" s="12"/>
      <c r="AF1272" s="12"/>
    </row>
    <row r="1273" spans="2:32" x14ac:dyDescent="0.35">
      <c r="B1273" s="21"/>
      <c r="D1273" s="2"/>
      <c r="E1273" s="2"/>
      <c r="F1273" s="32"/>
      <c r="G1273" s="32"/>
      <c r="H1273" s="32"/>
      <c r="I1273" s="32"/>
      <c r="J1273" s="32"/>
      <c r="K1273" s="32"/>
      <c r="L1273" s="32"/>
      <c r="M1273" s="32"/>
      <c r="N1273" s="32"/>
      <c r="O1273" s="32"/>
      <c r="P1273" s="32"/>
      <c r="Q1273" s="32"/>
      <c r="R1273" s="32"/>
      <c r="S1273" s="25"/>
      <c r="T1273" s="22"/>
      <c r="U1273" s="12"/>
      <c r="V1273" s="12"/>
      <c r="W1273" s="12"/>
      <c r="X1273" s="12"/>
      <c r="Y1273" s="12"/>
      <c r="Z1273" s="12"/>
      <c r="AA1273" s="12"/>
      <c r="AB1273" s="12"/>
      <c r="AC1273" s="12"/>
      <c r="AD1273" s="12"/>
      <c r="AE1273" s="12"/>
      <c r="AF1273" s="12"/>
    </row>
    <row r="1274" spans="2:32" x14ac:dyDescent="0.35">
      <c r="B1274" s="21"/>
      <c r="D1274" s="2"/>
      <c r="E1274" s="2"/>
      <c r="F1274" s="32"/>
      <c r="G1274" s="32"/>
      <c r="H1274" s="32"/>
      <c r="I1274" s="32"/>
      <c r="J1274" s="32"/>
      <c r="K1274" s="32"/>
      <c r="L1274" s="32"/>
      <c r="M1274" s="32"/>
      <c r="N1274" s="32"/>
      <c r="O1274" s="32"/>
      <c r="P1274" s="32"/>
      <c r="Q1274" s="32"/>
      <c r="R1274" s="32"/>
      <c r="S1274" s="25"/>
      <c r="T1274" s="22"/>
      <c r="U1274" s="12"/>
      <c r="V1274" s="12"/>
      <c r="W1274" s="12"/>
      <c r="X1274" s="12"/>
      <c r="Y1274" s="12"/>
      <c r="Z1274" s="12"/>
      <c r="AA1274" s="12"/>
      <c r="AB1274" s="12"/>
      <c r="AC1274" s="12"/>
      <c r="AD1274" s="12"/>
      <c r="AE1274" s="12"/>
      <c r="AF1274" s="12"/>
    </row>
    <row r="1275" spans="2:32" x14ac:dyDescent="0.35">
      <c r="B1275" s="21"/>
      <c r="D1275" s="2"/>
      <c r="E1275" s="2"/>
      <c r="F1275" s="32"/>
      <c r="G1275" s="32"/>
      <c r="H1275" s="32"/>
      <c r="I1275" s="32"/>
      <c r="J1275" s="32"/>
      <c r="K1275" s="32"/>
      <c r="L1275" s="32"/>
      <c r="M1275" s="32"/>
      <c r="N1275" s="32"/>
      <c r="O1275" s="32"/>
      <c r="P1275" s="32"/>
      <c r="Q1275" s="32"/>
      <c r="R1275" s="32"/>
      <c r="S1275" s="25"/>
      <c r="T1275" s="22"/>
      <c r="U1275" s="12"/>
      <c r="V1275" s="12"/>
      <c r="W1275" s="12"/>
      <c r="X1275" s="12"/>
      <c r="Y1275" s="12"/>
      <c r="Z1275" s="12"/>
      <c r="AA1275" s="12"/>
      <c r="AB1275" s="12"/>
      <c r="AC1275" s="12"/>
      <c r="AD1275" s="12"/>
      <c r="AE1275" s="12"/>
      <c r="AF1275" s="12"/>
    </row>
    <row r="1276" spans="2:32" x14ac:dyDescent="0.35">
      <c r="B1276" s="21"/>
      <c r="D1276" s="2"/>
      <c r="E1276" s="2"/>
      <c r="F1276" s="32"/>
      <c r="G1276" s="32"/>
      <c r="H1276" s="32"/>
      <c r="I1276" s="32"/>
      <c r="J1276" s="32"/>
      <c r="K1276" s="32"/>
      <c r="L1276" s="32"/>
      <c r="M1276" s="32"/>
      <c r="N1276" s="32"/>
      <c r="O1276" s="32"/>
      <c r="P1276" s="32"/>
      <c r="Q1276" s="32"/>
      <c r="R1276" s="32"/>
      <c r="S1276" s="25"/>
      <c r="T1276" s="14"/>
      <c r="U1276" s="12"/>
      <c r="V1276" s="12"/>
      <c r="W1276" s="12"/>
      <c r="X1276" s="12"/>
      <c r="Y1276" s="12"/>
      <c r="Z1276" s="12"/>
      <c r="AA1276" s="12"/>
      <c r="AB1276" s="12"/>
      <c r="AC1276" s="12"/>
      <c r="AD1276" s="12"/>
      <c r="AE1276" s="12"/>
      <c r="AF1276" s="12"/>
    </row>
    <row r="1277" spans="2:32" x14ac:dyDescent="0.35">
      <c r="B1277" s="21"/>
      <c r="D1277" s="2"/>
      <c r="E1277" s="2"/>
      <c r="F1277" s="32"/>
      <c r="G1277" s="32"/>
      <c r="H1277" s="32"/>
      <c r="I1277" s="32"/>
      <c r="J1277" s="32"/>
      <c r="K1277" s="32"/>
      <c r="L1277" s="32"/>
      <c r="M1277" s="32"/>
      <c r="N1277" s="32"/>
      <c r="O1277" s="32"/>
      <c r="P1277" s="32"/>
      <c r="Q1277" s="32"/>
      <c r="R1277" s="32"/>
      <c r="S1277" s="25"/>
      <c r="T1277" s="14"/>
      <c r="U1277" s="12"/>
      <c r="V1277" s="12"/>
      <c r="W1277" s="12"/>
      <c r="X1277" s="12"/>
      <c r="Y1277" s="12"/>
      <c r="Z1277" s="12"/>
      <c r="AA1277" s="12"/>
      <c r="AB1277" s="12"/>
      <c r="AC1277" s="12"/>
      <c r="AD1277" s="12"/>
      <c r="AE1277" s="12"/>
      <c r="AF1277" s="12"/>
    </row>
    <row r="1278" spans="2:32" x14ac:dyDescent="0.35">
      <c r="B1278" s="21"/>
      <c r="D1278" s="2"/>
      <c r="E1278" s="2"/>
      <c r="F1278" s="32"/>
      <c r="G1278" s="32"/>
      <c r="H1278" s="32"/>
      <c r="I1278" s="32"/>
      <c r="J1278" s="32"/>
      <c r="K1278" s="32"/>
      <c r="L1278" s="32"/>
      <c r="M1278" s="32"/>
      <c r="N1278" s="32"/>
      <c r="O1278" s="32"/>
      <c r="P1278" s="32"/>
      <c r="Q1278" s="32"/>
      <c r="R1278" s="32"/>
      <c r="S1278" s="25"/>
      <c r="T1278" s="14"/>
      <c r="U1278" s="12"/>
      <c r="V1278" s="12"/>
      <c r="W1278" s="12"/>
      <c r="X1278" s="12"/>
      <c r="Y1278" s="12"/>
      <c r="Z1278" s="12"/>
      <c r="AA1278" s="12"/>
      <c r="AB1278" s="12"/>
      <c r="AC1278" s="12"/>
      <c r="AD1278" s="12"/>
      <c r="AE1278" s="12"/>
      <c r="AF1278" s="12"/>
    </row>
    <row r="1279" spans="2:32" x14ac:dyDescent="0.35">
      <c r="B1279" s="21"/>
      <c r="D1279" s="2"/>
      <c r="E1279" s="2"/>
      <c r="F1279" s="32"/>
      <c r="G1279" s="32"/>
      <c r="H1279" s="32"/>
      <c r="I1279" s="32"/>
      <c r="J1279" s="32"/>
      <c r="K1279" s="32"/>
      <c r="L1279" s="32"/>
      <c r="M1279" s="32"/>
      <c r="N1279" s="32"/>
      <c r="O1279" s="32"/>
      <c r="P1279" s="32"/>
      <c r="Q1279" s="32"/>
      <c r="R1279" s="32"/>
      <c r="S1279" s="25"/>
      <c r="T1279" s="14"/>
      <c r="U1279" s="12"/>
      <c r="V1279" s="12"/>
      <c r="W1279" s="12"/>
      <c r="X1279" s="12"/>
      <c r="Y1279" s="12"/>
      <c r="Z1279" s="12"/>
      <c r="AA1279" s="12"/>
      <c r="AB1279" s="12"/>
      <c r="AC1279" s="12"/>
      <c r="AD1279" s="12"/>
      <c r="AE1279" s="12"/>
      <c r="AF1279" s="12"/>
    </row>
    <row r="1280" spans="2:32" x14ac:dyDescent="0.35">
      <c r="B1280" s="21"/>
      <c r="F1280" s="33"/>
      <c r="G1280" s="33"/>
      <c r="H1280" s="33"/>
      <c r="I1280" s="33"/>
      <c r="J1280" s="33"/>
      <c r="K1280" s="33"/>
      <c r="L1280" s="33"/>
      <c r="M1280" s="33"/>
      <c r="N1280" s="33"/>
      <c r="O1280" s="33"/>
      <c r="P1280" s="33"/>
      <c r="Q1280" s="33"/>
      <c r="R1280" s="33"/>
      <c r="S1280" s="25"/>
      <c r="T1280" s="14"/>
      <c r="U1280" s="12"/>
      <c r="V1280" s="12"/>
      <c r="W1280" s="12"/>
      <c r="X1280" s="12"/>
      <c r="Y1280" s="12"/>
      <c r="Z1280" s="12"/>
      <c r="AA1280" s="12"/>
      <c r="AB1280" s="12"/>
      <c r="AC1280" s="12"/>
      <c r="AD1280" s="12"/>
      <c r="AE1280" s="12"/>
      <c r="AF1280" s="12"/>
    </row>
    <row r="1281" spans="2:32" x14ac:dyDescent="0.35">
      <c r="B1281" s="21"/>
      <c r="D1281" s="2"/>
      <c r="E1281" s="2"/>
      <c r="F1281" s="32"/>
      <c r="G1281" s="32"/>
      <c r="H1281" s="32"/>
      <c r="I1281" s="32"/>
      <c r="J1281" s="32"/>
      <c r="K1281" s="32"/>
      <c r="L1281" s="32"/>
      <c r="M1281" s="32"/>
      <c r="N1281" s="32"/>
      <c r="O1281" s="32"/>
      <c r="P1281" s="32"/>
      <c r="Q1281" s="32"/>
      <c r="R1281" s="32"/>
      <c r="S1281" s="25"/>
      <c r="T1281" s="14"/>
      <c r="U1281" s="12"/>
      <c r="V1281" s="12"/>
      <c r="W1281" s="12"/>
      <c r="X1281" s="12"/>
      <c r="Y1281" s="12"/>
      <c r="Z1281" s="12"/>
      <c r="AA1281" s="12"/>
      <c r="AB1281" s="12"/>
      <c r="AC1281" s="12"/>
      <c r="AD1281" s="12"/>
      <c r="AE1281" s="12"/>
      <c r="AF1281" s="12"/>
    </row>
    <row r="1282" spans="2:32" x14ac:dyDescent="0.35">
      <c r="B1282" s="21"/>
      <c r="D1282" s="2"/>
      <c r="E1282" s="2"/>
      <c r="F1282" s="32"/>
      <c r="G1282" s="32"/>
      <c r="H1282" s="32"/>
      <c r="I1282" s="32"/>
      <c r="J1282" s="32"/>
      <c r="K1282" s="32"/>
      <c r="L1282" s="32"/>
      <c r="M1282" s="32"/>
      <c r="N1282" s="32"/>
      <c r="O1282" s="32"/>
      <c r="P1282" s="32"/>
      <c r="Q1282" s="32"/>
      <c r="R1282" s="32"/>
      <c r="S1282" s="25"/>
      <c r="T1282" s="14"/>
      <c r="U1282" s="12"/>
      <c r="V1282" s="12"/>
      <c r="W1282" s="12"/>
      <c r="X1282" s="12"/>
      <c r="Y1282" s="12"/>
      <c r="Z1282" s="12"/>
      <c r="AA1282" s="12"/>
      <c r="AB1282" s="12"/>
      <c r="AC1282" s="12"/>
      <c r="AD1282" s="12"/>
      <c r="AE1282" s="12"/>
      <c r="AF1282" s="12"/>
    </row>
    <row r="1283" spans="2:32" x14ac:dyDescent="0.35">
      <c r="B1283" s="21"/>
      <c r="D1283" s="2"/>
      <c r="E1283" s="2"/>
      <c r="F1283" s="32"/>
      <c r="G1283" s="32"/>
      <c r="H1283" s="32"/>
      <c r="I1283" s="32"/>
      <c r="J1283" s="32"/>
      <c r="K1283" s="32"/>
      <c r="L1283" s="32"/>
      <c r="M1283" s="32"/>
      <c r="N1283" s="32"/>
      <c r="O1283" s="32"/>
      <c r="P1283" s="32"/>
      <c r="Q1283" s="32"/>
      <c r="R1283" s="32"/>
      <c r="S1283" s="25"/>
      <c r="T1283" s="14"/>
      <c r="U1283" s="12"/>
      <c r="V1283" s="12"/>
      <c r="W1283" s="12"/>
      <c r="X1283" s="12"/>
      <c r="Y1283" s="12"/>
      <c r="Z1283" s="12"/>
      <c r="AA1283" s="12"/>
      <c r="AB1283" s="12"/>
      <c r="AC1283" s="12"/>
      <c r="AD1283" s="12"/>
      <c r="AE1283" s="12"/>
      <c r="AF1283" s="12"/>
    </row>
    <row r="1284" spans="2:32" x14ac:dyDescent="0.35">
      <c r="B1284" s="21"/>
      <c r="D1284" s="2"/>
      <c r="E1284" s="2"/>
      <c r="F1284" s="32"/>
      <c r="G1284" s="32"/>
      <c r="H1284" s="32"/>
      <c r="I1284" s="32"/>
      <c r="J1284" s="32"/>
      <c r="K1284" s="32"/>
      <c r="L1284" s="32"/>
      <c r="M1284" s="32"/>
      <c r="N1284" s="32"/>
      <c r="O1284" s="32"/>
      <c r="P1284" s="32"/>
      <c r="Q1284" s="32"/>
      <c r="R1284" s="32"/>
      <c r="S1284" s="25"/>
      <c r="T1284" s="14"/>
      <c r="U1284" s="12"/>
      <c r="V1284" s="12"/>
      <c r="W1284" s="12"/>
      <c r="X1284" s="12"/>
      <c r="Y1284" s="12"/>
      <c r="Z1284" s="12"/>
      <c r="AA1284" s="12"/>
      <c r="AB1284" s="12"/>
      <c r="AC1284" s="12"/>
      <c r="AD1284" s="12"/>
      <c r="AE1284" s="12"/>
      <c r="AF1284" s="12"/>
    </row>
    <row r="1285" spans="2:32" x14ac:dyDescent="0.35">
      <c r="B1285" s="21"/>
      <c r="D1285" s="2"/>
      <c r="E1285" s="2"/>
      <c r="F1285" s="32"/>
      <c r="G1285" s="32"/>
      <c r="H1285" s="32"/>
      <c r="I1285" s="32"/>
      <c r="J1285" s="32"/>
      <c r="K1285" s="32"/>
      <c r="L1285" s="32"/>
      <c r="M1285" s="32"/>
      <c r="N1285" s="32"/>
      <c r="O1285" s="32"/>
      <c r="P1285" s="32"/>
      <c r="Q1285" s="32"/>
      <c r="R1285" s="32"/>
      <c r="S1285" s="25"/>
      <c r="T1285" s="14"/>
      <c r="U1285" s="12"/>
      <c r="V1285" s="12"/>
      <c r="W1285" s="12"/>
      <c r="X1285" s="12"/>
      <c r="Y1285" s="12"/>
      <c r="Z1285" s="12"/>
      <c r="AA1285" s="12"/>
      <c r="AB1285" s="12"/>
      <c r="AC1285" s="12"/>
      <c r="AD1285" s="12"/>
      <c r="AE1285" s="12"/>
      <c r="AF1285" s="12"/>
    </row>
    <row r="1286" spans="2:32" x14ac:dyDescent="0.35">
      <c r="B1286" s="21"/>
      <c r="D1286" s="2"/>
      <c r="E1286" s="2"/>
      <c r="F1286" s="32"/>
      <c r="G1286" s="32"/>
      <c r="H1286" s="32"/>
      <c r="I1286" s="32"/>
      <c r="J1286" s="32"/>
      <c r="K1286" s="32"/>
      <c r="L1286" s="32"/>
      <c r="M1286" s="32"/>
      <c r="N1286" s="32"/>
      <c r="O1286" s="32"/>
      <c r="P1286" s="32"/>
      <c r="Q1286" s="32"/>
      <c r="R1286" s="32"/>
      <c r="S1286" s="25"/>
      <c r="T1286" s="14"/>
      <c r="U1286" s="12"/>
      <c r="V1286" s="12"/>
      <c r="W1286" s="12"/>
      <c r="X1286" s="12"/>
      <c r="Y1286" s="12"/>
      <c r="Z1286" s="12"/>
      <c r="AA1286" s="12"/>
      <c r="AB1286" s="12"/>
      <c r="AC1286" s="12"/>
      <c r="AD1286" s="12"/>
      <c r="AE1286" s="12"/>
      <c r="AF1286" s="12"/>
    </row>
    <row r="1287" spans="2:32" x14ac:dyDescent="0.35">
      <c r="B1287" s="21"/>
      <c r="D1287" s="2"/>
      <c r="E1287" s="2"/>
      <c r="F1287" s="32"/>
      <c r="G1287" s="32"/>
      <c r="H1287" s="32"/>
      <c r="I1287" s="32"/>
      <c r="J1287" s="32"/>
      <c r="K1287" s="32"/>
      <c r="L1287" s="32"/>
      <c r="M1287" s="32"/>
      <c r="N1287" s="32"/>
      <c r="O1287" s="32"/>
      <c r="P1287" s="32"/>
      <c r="Q1287" s="32"/>
      <c r="R1287" s="32"/>
      <c r="S1287" s="25"/>
      <c r="T1287" s="14"/>
      <c r="U1287" s="12"/>
      <c r="V1287" s="12"/>
      <c r="W1287" s="12"/>
      <c r="X1287" s="12"/>
      <c r="Y1287" s="12"/>
      <c r="Z1287" s="12"/>
      <c r="AA1287" s="12"/>
      <c r="AB1287" s="12"/>
      <c r="AC1287" s="12"/>
      <c r="AD1287" s="12"/>
      <c r="AE1287" s="12"/>
      <c r="AF1287" s="12"/>
    </row>
    <row r="1288" spans="2:32" x14ac:dyDescent="0.35">
      <c r="B1288" s="21"/>
      <c r="F1288" s="33"/>
      <c r="G1288" s="33"/>
      <c r="H1288" s="33"/>
      <c r="I1288" s="33"/>
      <c r="J1288" s="33"/>
      <c r="K1288" s="33"/>
      <c r="L1288" s="33"/>
      <c r="M1288" s="33"/>
      <c r="N1288" s="33"/>
      <c r="O1288" s="33"/>
      <c r="P1288" s="33"/>
      <c r="Q1288" s="33"/>
      <c r="R1288" s="33"/>
      <c r="S1288" s="25"/>
      <c r="T1288" s="14"/>
      <c r="U1288" s="12"/>
      <c r="V1288" s="12"/>
      <c r="W1288" s="12"/>
      <c r="X1288" s="12"/>
      <c r="Y1288" s="12"/>
      <c r="Z1288" s="12"/>
      <c r="AA1288" s="12"/>
      <c r="AB1288" s="12"/>
      <c r="AC1288" s="12"/>
      <c r="AD1288" s="12"/>
      <c r="AE1288" s="12"/>
      <c r="AF1288" s="12"/>
    </row>
    <row r="1289" spans="2:32" x14ac:dyDescent="0.35">
      <c r="B1289" s="21"/>
      <c r="D1289" s="2"/>
      <c r="E1289" s="2"/>
      <c r="F1289" s="32"/>
      <c r="G1289" s="32"/>
      <c r="H1289" s="32"/>
      <c r="I1289" s="32"/>
      <c r="J1289" s="32"/>
      <c r="K1289" s="32"/>
      <c r="L1289" s="32"/>
      <c r="M1289" s="32"/>
      <c r="N1289" s="32"/>
      <c r="O1289" s="32"/>
      <c r="P1289" s="32"/>
      <c r="Q1289" s="32"/>
      <c r="R1289" s="32"/>
      <c r="S1289" s="25"/>
      <c r="T1289" s="14"/>
      <c r="U1289" s="12"/>
      <c r="V1289" s="12"/>
      <c r="W1289" s="12"/>
      <c r="X1289" s="12"/>
      <c r="Y1289" s="12"/>
      <c r="Z1289" s="12"/>
      <c r="AA1289" s="12"/>
      <c r="AB1289" s="12"/>
      <c r="AC1289" s="12"/>
      <c r="AD1289" s="12"/>
      <c r="AE1289" s="12"/>
      <c r="AF1289" s="12"/>
    </row>
    <row r="1290" spans="2:32" x14ac:dyDescent="0.35">
      <c r="B1290" s="21"/>
      <c r="D1290" s="2"/>
      <c r="E1290" s="2"/>
      <c r="F1290" s="32"/>
      <c r="G1290" s="32"/>
      <c r="H1290" s="32"/>
      <c r="I1290" s="32"/>
      <c r="J1290" s="32"/>
      <c r="K1290" s="32"/>
      <c r="L1290" s="32"/>
      <c r="M1290" s="32"/>
      <c r="N1290" s="32"/>
      <c r="O1290" s="32"/>
      <c r="P1290" s="32"/>
      <c r="Q1290" s="32"/>
      <c r="R1290" s="32"/>
      <c r="S1290" s="25"/>
      <c r="T1290" s="14"/>
      <c r="U1290" s="12"/>
      <c r="V1290" s="12"/>
      <c r="W1290" s="12"/>
      <c r="X1290" s="12"/>
      <c r="Y1290" s="12"/>
      <c r="Z1290" s="12"/>
      <c r="AA1290" s="12"/>
      <c r="AB1290" s="12"/>
      <c r="AC1290" s="12"/>
      <c r="AD1290" s="12"/>
      <c r="AE1290" s="12"/>
      <c r="AF1290" s="12"/>
    </row>
    <row r="1291" spans="2:32" x14ac:dyDescent="0.35">
      <c r="B1291" s="21"/>
      <c r="D1291" s="2"/>
      <c r="E1291" s="2"/>
      <c r="F1291" s="32"/>
      <c r="G1291" s="32"/>
      <c r="H1291" s="32"/>
      <c r="I1291" s="32"/>
      <c r="J1291" s="32"/>
      <c r="K1291" s="32"/>
      <c r="L1291" s="32"/>
      <c r="M1291" s="32"/>
      <c r="N1291" s="32"/>
      <c r="O1291" s="32"/>
      <c r="P1291" s="32"/>
      <c r="Q1291" s="32"/>
      <c r="R1291" s="32"/>
      <c r="S1291" s="25"/>
      <c r="T1291" s="22"/>
      <c r="U1291" s="12"/>
      <c r="V1291" s="12"/>
      <c r="W1291" s="12"/>
      <c r="X1291" s="12"/>
      <c r="Y1291" s="12"/>
      <c r="Z1291" s="12"/>
      <c r="AA1291" s="12"/>
      <c r="AB1291" s="12"/>
      <c r="AC1291" s="12"/>
      <c r="AD1291" s="12"/>
      <c r="AE1291" s="12"/>
      <c r="AF1291" s="12"/>
    </row>
    <row r="1292" spans="2:32" x14ac:dyDescent="0.35">
      <c r="B1292" s="21"/>
      <c r="D1292" s="2"/>
      <c r="E1292" s="2"/>
      <c r="F1292" s="32"/>
      <c r="G1292" s="32"/>
      <c r="H1292" s="32"/>
      <c r="I1292" s="32"/>
      <c r="J1292" s="32"/>
      <c r="K1292" s="32"/>
      <c r="L1292" s="32"/>
      <c r="M1292" s="32"/>
      <c r="N1292" s="32"/>
      <c r="O1292" s="32"/>
      <c r="P1292" s="32"/>
      <c r="Q1292" s="32"/>
      <c r="R1292" s="32"/>
      <c r="S1292" s="25"/>
      <c r="T1292" s="22"/>
      <c r="U1292" s="12"/>
      <c r="V1292" s="12"/>
      <c r="W1292" s="12"/>
      <c r="X1292" s="12"/>
      <c r="Y1292" s="12"/>
      <c r="Z1292" s="12"/>
      <c r="AA1292" s="12"/>
      <c r="AB1292" s="12"/>
      <c r="AC1292" s="12"/>
      <c r="AD1292" s="12"/>
      <c r="AE1292" s="12"/>
      <c r="AF1292" s="12"/>
    </row>
    <row r="1293" spans="2:32" x14ac:dyDescent="0.35">
      <c r="B1293" s="21"/>
      <c r="D1293" s="2"/>
      <c r="E1293" s="2"/>
      <c r="F1293" s="32"/>
      <c r="G1293" s="32"/>
      <c r="H1293" s="32"/>
      <c r="I1293" s="32"/>
      <c r="J1293" s="32"/>
      <c r="K1293" s="32"/>
      <c r="L1293" s="32"/>
      <c r="M1293" s="32"/>
      <c r="N1293" s="32"/>
      <c r="O1293" s="32"/>
      <c r="P1293" s="32"/>
      <c r="Q1293" s="32"/>
      <c r="R1293" s="32"/>
      <c r="S1293" s="25"/>
      <c r="T1293" s="22"/>
      <c r="U1293" s="12"/>
      <c r="V1293" s="12"/>
      <c r="W1293" s="12"/>
      <c r="X1293" s="12"/>
      <c r="Y1293" s="12"/>
      <c r="Z1293" s="12"/>
      <c r="AA1293" s="12"/>
      <c r="AB1293" s="12"/>
      <c r="AC1293" s="12"/>
      <c r="AD1293" s="12"/>
      <c r="AE1293" s="12"/>
      <c r="AF1293" s="12"/>
    </row>
    <row r="1294" spans="2:32" x14ac:dyDescent="0.35">
      <c r="B1294" s="21"/>
      <c r="D1294" s="2"/>
      <c r="E1294" s="2"/>
      <c r="F1294" s="32"/>
      <c r="G1294" s="32"/>
      <c r="H1294" s="32"/>
      <c r="I1294" s="32"/>
      <c r="J1294" s="32"/>
      <c r="K1294" s="32"/>
      <c r="L1294" s="32"/>
      <c r="M1294" s="32"/>
      <c r="N1294" s="32"/>
      <c r="O1294" s="32"/>
      <c r="P1294" s="32"/>
      <c r="Q1294" s="32"/>
      <c r="R1294" s="32"/>
      <c r="S1294" s="25"/>
      <c r="T1294" s="22"/>
      <c r="U1294" s="12"/>
      <c r="V1294" s="12"/>
      <c r="W1294" s="12"/>
      <c r="X1294" s="12"/>
      <c r="Y1294" s="12"/>
      <c r="Z1294" s="12"/>
      <c r="AA1294" s="12"/>
      <c r="AB1294" s="12"/>
      <c r="AC1294" s="12"/>
      <c r="AD1294" s="12"/>
      <c r="AE1294" s="12"/>
      <c r="AF1294" s="12"/>
    </row>
    <row r="1295" spans="2:32" x14ac:dyDescent="0.35">
      <c r="B1295" s="21"/>
      <c r="D1295" s="2"/>
      <c r="E1295" s="2"/>
      <c r="F1295" s="32"/>
      <c r="G1295" s="32"/>
      <c r="H1295" s="32"/>
      <c r="I1295" s="32"/>
      <c r="J1295" s="32"/>
      <c r="K1295" s="32"/>
      <c r="L1295" s="32"/>
      <c r="M1295" s="32"/>
      <c r="N1295" s="32"/>
      <c r="O1295" s="32"/>
      <c r="P1295" s="32"/>
      <c r="Q1295" s="32"/>
      <c r="R1295" s="32"/>
      <c r="S1295" s="25"/>
      <c r="T1295" s="22"/>
      <c r="U1295" s="12"/>
      <c r="V1295" s="12"/>
      <c r="W1295" s="12"/>
      <c r="X1295" s="12"/>
      <c r="Y1295" s="12"/>
      <c r="Z1295" s="12"/>
      <c r="AA1295" s="12"/>
      <c r="AB1295" s="12"/>
      <c r="AC1295" s="12"/>
      <c r="AD1295" s="12"/>
      <c r="AE1295" s="12"/>
      <c r="AF1295" s="12"/>
    </row>
    <row r="1296" spans="2:32" x14ac:dyDescent="0.35">
      <c r="B1296" s="21"/>
      <c r="F1296" s="33"/>
      <c r="G1296" s="33"/>
      <c r="H1296" s="33"/>
      <c r="I1296" s="33"/>
      <c r="J1296" s="33"/>
      <c r="K1296" s="33"/>
      <c r="L1296" s="33"/>
      <c r="M1296" s="33"/>
      <c r="N1296" s="33"/>
      <c r="O1296" s="33"/>
      <c r="P1296" s="33"/>
      <c r="Q1296" s="33"/>
      <c r="R1296" s="33"/>
      <c r="S1296" s="25"/>
      <c r="T1296" s="22"/>
      <c r="U1296" s="12"/>
      <c r="V1296" s="12"/>
      <c r="W1296" s="12"/>
      <c r="X1296" s="12"/>
      <c r="Y1296" s="12"/>
      <c r="Z1296" s="12"/>
      <c r="AA1296" s="12"/>
      <c r="AB1296" s="12"/>
      <c r="AC1296" s="12"/>
      <c r="AD1296" s="12"/>
      <c r="AE1296" s="12"/>
      <c r="AF1296" s="12"/>
    </row>
    <row r="1297" spans="2:32" x14ac:dyDescent="0.35">
      <c r="B1297" s="21"/>
      <c r="D1297" s="2"/>
      <c r="E1297" s="2"/>
      <c r="F1297" s="32"/>
      <c r="G1297" s="32"/>
      <c r="H1297" s="32"/>
      <c r="I1297" s="32"/>
      <c r="J1297" s="32"/>
      <c r="K1297" s="32"/>
      <c r="L1297" s="32"/>
      <c r="M1297" s="32"/>
      <c r="N1297" s="32"/>
      <c r="O1297" s="32"/>
      <c r="P1297" s="32"/>
      <c r="Q1297" s="32"/>
      <c r="R1297" s="32"/>
      <c r="S1297" s="25"/>
      <c r="T1297" s="22"/>
      <c r="U1297" s="12"/>
      <c r="V1297" s="12"/>
      <c r="W1297" s="12"/>
      <c r="X1297" s="12"/>
      <c r="Y1297" s="12"/>
      <c r="Z1297" s="12"/>
      <c r="AA1297" s="12"/>
      <c r="AB1297" s="12"/>
      <c r="AC1297" s="12"/>
      <c r="AD1297" s="12"/>
      <c r="AE1297" s="12"/>
      <c r="AF1297" s="12"/>
    </row>
    <row r="1298" spans="2:32" x14ac:dyDescent="0.35">
      <c r="B1298" s="21"/>
      <c r="D1298" s="2"/>
      <c r="E1298" s="2"/>
      <c r="F1298" s="32"/>
      <c r="G1298" s="32"/>
      <c r="H1298" s="32"/>
      <c r="I1298" s="32"/>
      <c r="J1298" s="32"/>
      <c r="K1298" s="32"/>
      <c r="L1298" s="32"/>
      <c r="M1298" s="32"/>
      <c r="N1298" s="32"/>
      <c r="O1298" s="32"/>
      <c r="P1298" s="32"/>
      <c r="Q1298" s="32"/>
      <c r="R1298" s="32"/>
      <c r="S1298" s="25"/>
      <c r="T1298" s="22"/>
      <c r="U1298" s="12"/>
      <c r="V1298" s="12"/>
      <c r="W1298" s="12"/>
      <c r="X1298" s="12"/>
      <c r="Y1298" s="12"/>
      <c r="Z1298" s="12"/>
      <c r="AA1298" s="12"/>
      <c r="AB1298" s="12"/>
      <c r="AC1298" s="12"/>
      <c r="AD1298" s="12"/>
      <c r="AE1298" s="12"/>
      <c r="AF1298" s="12"/>
    </row>
    <row r="1299" spans="2:32" x14ac:dyDescent="0.35">
      <c r="B1299" s="21"/>
      <c r="D1299" s="2"/>
      <c r="E1299" s="2"/>
      <c r="F1299" s="32"/>
      <c r="G1299" s="32"/>
      <c r="H1299" s="32"/>
      <c r="I1299" s="32"/>
      <c r="J1299" s="32"/>
      <c r="K1299" s="32"/>
      <c r="L1299" s="32"/>
      <c r="M1299" s="32"/>
      <c r="N1299" s="32"/>
      <c r="O1299" s="32"/>
      <c r="P1299" s="32"/>
      <c r="Q1299" s="32"/>
      <c r="R1299" s="32"/>
      <c r="S1299" s="25"/>
      <c r="T1299" s="22"/>
      <c r="U1299" s="12"/>
      <c r="V1299" s="12"/>
      <c r="W1299" s="12"/>
      <c r="X1299" s="12"/>
      <c r="Y1299" s="12"/>
      <c r="Z1299" s="12"/>
      <c r="AA1299" s="12"/>
      <c r="AB1299" s="12"/>
      <c r="AC1299" s="12"/>
      <c r="AD1299" s="12"/>
      <c r="AE1299" s="12"/>
      <c r="AF1299" s="12"/>
    </row>
    <row r="1300" spans="2:32" x14ac:dyDescent="0.35">
      <c r="B1300" s="21"/>
      <c r="D1300" s="2"/>
      <c r="E1300" s="2"/>
      <c r="F1300" s="32"/>
      <c r="G1300" s="32"/>
      <c r="H1300" s="32"/>
      <c r="I1300" s="32"/>
      <c r="J1300" s="32"/>
      <c r="K1300" s="32"/>
      <c r="L1300" s="32"/>
      <c r="M1300" s="32"/>
      <c r="N1300" s="32"/>
      <c r="O1300" s="32"/>
      <c r="P1300" s="32"/>
      <c r="Q1300" s="32"/>
      <c r="R1300" s="32"/>
      <c r="S1300" s="25"/>
      <c r="T1300" s="22"/>
      <c r="U1300" s="12"/>
      <c r="V1300" s="12"/>
      <c r="W1300" s="12"/>
      <c r="X1300" s="12"/>
      <c r="Y1300" s="12"/>
      <c r="Z1300" s="12"/>
      <c r="AA1300" s="12"/>
      <c r="AB1300" s="12"/>
      <c r="AC1300" s="12"/>
      <c r="AD1300" s="12"/>
      <c r="AE1300" s="12"/>
      <c r="AF1300" s="12"/>
    </row>
    <row r="1301" spans="2:32" x14ac:dyDescent="0.35">
      <c r="B1301" s="21"/>
      <c r="D1301" s="2"/>
      <c r="E1301" s="2"/>
      <c r="F1301" s="32"/>
      <c r="G1301" s="32"/>
      <c r="H1301" s="32"/>
      <c r="I1301" s="32"/>
      <c r="J1301" s="32"/>
      <c r="K1301" s="32"/>
      <c r="L1301" s="32"/>
      <c r="M1301" s="32"/>
      <c r="N1301" s="32"/>
      <c r="O1301" s="32"/>
      <c r="P1301" s="32"/>
      <c r="Q1301" s="32"/>
      <c r="R1301" s="32"/>
      <c r="S1301" s="25"/>
      <c r="T1301" s="22"/>
      <c r="U1301" s="12"/>
      <c r="V1301" s="12"/>
      <c r="W1301" s="12"/>
      <c r="X1301" s="12"/>
      <c r="Y1301" s="12"/>
      <c r="Z1301" s="12"/>
      <c r="AA1301" s="12"/>
      <c r="AB1301" s="12"/>
      <c r="AC1301" s="12"/>
      <c r="AD1301" s="12"/>
      <c r="AE1301" s="12"/>
      <c r="AF1301" s="12"/>
    </row>
    <row r="1302" spans="2:32" x14ac:dyDescent="0.35">
      <c r="B1302" s="21"/>
      <c r="D1302" s="2"/>
      <c r="E1302" s="2"/>
      <c r="F1302" s="32"/>
      <c r="G1302" s="32"/>
      <c r="H1302" s="32"/>
      <c r="I1302" s="32"/>
      <c r="J1302" s="32"/>
      <c r="K1302" s="32"/>
      <c r="L1302" s="32"/>
      <c r="M1302" s="32"/>
      <c r="N1302" s="32"/>
      <c r="O1302" s="32"/>
      <c r="P1302" s="32"/>
      <c r="Q1302" s="32"/>
      <c r="R1302" s="32"/>
      <c r="S1302" s="25"/>
      <c r="T1302" s="22"/>
      <c r="U1302" s="12"/>
      <c r="V1302" s="12"/>
      <c r="W1302" s="12"/>
      <c r="X1302" s="12"/>
      <c r="Y1302" s="12"/>
      <c r="Z1302" s="12"/>
      <c r="AA1302" s="12"/>
      <c r="AB1302" s="12"/>
      <c r="AC1302" s="12"/>
      <c r="AD1302" s="12"/>
      <c r="AE1302" s="12"/>
      <c r="AF1302" s="12"/>
    </row>
    <row r="1303" spans="2:32" x14ac:dyDescent="0.35">
      <c r="B1303" s="21"/>
      <c r="D1303" s="2"/>
      <c r="E1303" s="2"/>
      <c r="F1303" s="32"/>
      <c r="G1303" s="32"/>
      <c r="H1303" s="32"/>
      <c r="I1303" s="32"/>
      <c r="J1303" s="32"/>
      <c r="K1303" s="32"/>
      <c r="L1303" s="32"/>
      <c r="M1303" s="32"/>
      <c r="N1303" s="32"/>
      <c r="O1303" s="32"/>
      <c r="P1303" s="32"/>
      <c r="Q1303" s="32"/>
      <c r="R1303" s="32"/>
      <c r="S1303" s="25"/>
      <c r="T1303" s="22"/>
      <c r="U1303" s="12"/>
      <c r="V1303" s="12"/>
      <c r="W1303" s="12"/>
      <c r="X1303" s="12"/>
      <c r="Y1303" s="12"/>
      <c r="Z1303" s="12"/>
      <c r="AA1303" s="12"/>
      <c r="AB1303" s="12"/>
      <c r="AC1303" s="12"/>
      <c r="AD1303" s="12"/>
      <c r="AE1303" s="12"/>
      <c r="AF1303" s="12"/>
    </row>
    <row r="1304" spans="2:32" x14ac:dyDescent="0.35">
      <c r="B1304" s="21"/>
      <c r="F1304" s="33"/>
      <c r="G1304" s="33"/>
      <c r="H1304" s="33"/>
      <c r="I1304" s="33"/>
      <c r="J1304" s="33"/>
      <c r="K1304" s="33"/>
      <c r="L1304" s="33"/>
      <c r="M1304" s="33"/>
      <c r="N1304" s="33"/>
      <c r="O1304" s="33"/>
      <c r="P1304" s="33"/>
      <c r="Q1304" s="33"/>
      <c r="R1304" s="33"/>
      <c r="S1304" s="25"/>
      <c r="T1304" s="22"/>
      <c r="U1304" s="12"/>
      <c r="V1304" s="12"/>
      <c r="W1304" s="12"/>
      <c r="X1304" s="12"/>
      <c r="Y1304" s="12"/>
      <c r="Z1304" s="12"/>
      <c r="AA1304" s="12"/>
      <c r="AB1304" s="12"/>
      <c r="AC1304" s="12"/>
      <c r="AD1304" s="12"/>
      <c r="AE1304" s="12"/>
      <c r="AF1304" s="12"/>
    </row>
    <row r="1305" spans="2:32" x14ac:dyDescent="0.35">
      <c r="B1305" s="21"/>
      <c r="D1305" s="2"/>
      <c r="E1305" s="2"/>
      <c r="F1305" s="32"/>
      <c r="G1305" s="32"/>
      <c r="H1305" s="32"/>
      <c r="I1305" s="32"/>
      <c r="J1305" s="32"/>
      <c r="K1305" s="32"/>
      <c r="L1305" s="32"/>
      <c r="M1305" s="32"/>
      <c r="N1305" s="32"/>
      <c r="O1305" s="32"/>
      <c r="P1305" s="32"/>
      <c r="Q1305" s="32"/>
      <c r="R1305" s="32"/>
      <c r="S1305" s="25"/>
      <c r="T1305" s="22"/>
      <c r="U1305" s="12"/>
      <c r="V1305" s="12"/>
      <c r="W1305" s="12"/>
      <c r="X1305" s="12"/>
      <c r="Y1305" s="12"/>
      <c r="Z1305" s="12"/>
      <c r="AA1305" s="12"/>
      <c r="AB1305" s="12"/>
      <c r="AC1305" s="12"/>
      <c r="AD1305" s="12"/>
      <c r="AE1305" s="12"/>
      <c r="AF1305" s="12"/>
    </row>
    <row r="1306" spans="2:32" x14ac:dyDescent="0.35">
      <c r="B1306" s="21"/>
      <c r="D1306" s="2"/>
      <c r="E1306" s="2"/>
      <c r="F1306" s="32"/>
      <c r="G1306" s="32"/>
      <c r="H1306" s="32"/>
      <c r="I1306" s="32"/>
      <c r="J1306" s="32"/>
      <c r="K1306" s="32"/>
      <c r="L1306" s="32"/>
      <c r="M1306" s="32"/>
      <c r="N1306" s="32"/>
      <c r="O1306" s="32"/>
      <c r="P1306" s="32"/>
      <c r="Q1306" s="32"/>
      <c r="R1306" s="32"/>
      <c r="S1306" s="25"/>
      <c r="T1306" s="22"/>
      <c r="U1306" s="12"/>
      <c r="V1306" s="12"/>
      <c r="W1306" s="12"/>
      <c r="X1306" s="12"/>
      <c r="Y1306" s="12"/>
      <c r="Z1306" s="12"/>
      <c r="AA1306" s="12"/>
      <c r="AB1306" s="12"/>
      <c r="AC1306" s="12"/>
      <c r="AD1306" s="12"/>
      <c r="AE1306" s="12"/>
      <c r="AF1306" s="12"/>
    </row>
    <row r="1307" spans="2:32" x14ac:dyDescent="0.35">
      <c r="B1307" s="21"/>
      <c r="D1307" s="2"/>
      <c r="E1307" s="2"/>
      <c r="F1307" s="32"/>
      <c r="G1307" s="32"/>
      <c r="H1307" s="32"/>
      <c r="I1307" s="32"/>
      <c r="J1307" s="32"/>
      <c r="K1307" s="32"/>
      <c r="L1307" s="32"/>
      <c r="M1307" s="32"/>
      <c r="N1307" s="32"/>
      <c r="O1307" s="32"/>
      <c r="P1307" s="32"/>
      <c r="Q1307" s="32"/>
      <c r="R1307" s="32"/>
      <c r="S1307" s="25"/>
      <c r="T1307" s="14"/>
      <c r="U1307" s="12"/>
      <c r="V1307" s="12"/>
      <c r="W1307" s="12"/>
      <c r="X1307" s="12"/>
      <c r="Y1307" s="12"/>
      <c r="Z1307" s="12"/>
      <c r="AA1307" s="12"/>
      <c r="AB1307" s="12"/>
      <c r="AC1307" s="12"/>
      <c r="AD1307" s="12"/>
      <c r="AE1307" s="12"/>
      <c r="AF1307" s="12"/>
    </row>
    <row r="1308" spans="2:32" x14ac:dyDescent="0.35">
      <c r="B1308" s="21"/>
      <c r="D1308" s="2"/>
      <c r="E1308" s="2"/>
      <c r="F1308" s="32"/>
      <c r="G1308" s="32"/>
      <c r="H1308" s="32"/>
      <c r="I1308" s="32"/>
      <c r="J1308" s="32"/>
      <c r="K1308" s="32"/>
      <c r="L1308" s="32"/>
      <c r="M1308" s="32"/>
      <c r="N1308" s="32"/>
      <c r="O1308" s="32"/>
      <c r="P1308" s="32"/>
      <c r="Q1308" s="32"/>
      <c r="R1308" s="32"/>
      <c r="S1308" s="25"/>
      <c r="T1308" s="14"/>
      <c r="U1308" s="12"/>
      <c r="V1308" s="12"/>
      <c r="W1308" s="12"/>
      <c r="X1308" s="12"/>
      <c r="Y1308" s="12"/>
      <c r="Z1308" s="12"/>
      <c r="AA1308" s="12"/>
      <c r="AB1308" s="12"/>
      <c r="AC1308" s="12"/>
      <c r="AD1308" s="12"/>
      <c r="AE1308" s="12"/>
      <c r="AF1308" s="12"/>
    </row>
    <row r="1309" spans="2:32" x14ac:dyDescent="0.35">
      <c r="B1309" s="21"/>
      <c r="D1309" s="2"/>
      <c r="E1309" s="2"/>
      <c r="F1309" s="32"/>
      <c r="G1309" s="32"/>
      <c r="H1309" s="32"/>
      <c r="I1309" s="32"/>
      <c r="J1309" s="32"/>
      <c r="K1309" s="32"/>
      <c r="L1309" s="32"/>
      <c r="M1309" s="32"/>
      <c r="N1309" s="32"/>
      <c r="O1309" s="32"/>
      <c r="P1309" s="32"/>
      <c r="Q1309" s="32"/>
      <c r="R1309" s="32"/>
      <c r="S1309" s="25"/>
      <c r="T1309" s="14"/>
      <c r="U1309" s="12"/>
      <c r="V1309" s="12"/>
      <c r="W1309" s="12"/>
      <c r="X1309" s="12"/>
      <c r="Y1309" s="12"/>
      <c r="Z1309" s="12"/>
      <c r="AA1309" s="12"/>
      <c r="AB1309" s="12"/>
      <c r="AC1309" s="12"/>
      <c r="AD1309" s="12"/>
      <c r="AE1309" s="12"/>
      <c r="AF1309" s="12"/>
    </row>
    <row r="1310" spans="2:32" x14ac:dyDescent="0.35">
      <c r="B1310" s="21"/>
      <c r="D1310" s="2"/>
      <c r="E1310" s="2"/>
      <c r="F1310" s="32"/>
      <c r="G1310" s="32"/>
      <c r="H1310" s="32"/>
      <c r="I1310" s="32"/>
      <c r="J1310" s="32"/>
      <c r="K1310" s="32"/>
      <c r="L1310" s="32"/>
      <c r="M1310" s="32"/>
      <c r="N1310" s="32"/>
      <c r="O1310" s="32"/>
      <c r="P1310" s="32"/>
      <c r="Q1310" s="32"/>
      <c r="R1310" s="32"/>
      <c r="S1310" s="25"/>
      <c r="T1310" s="14"/>
      <c r="U1310" s="12"/>
      <c r="V1310" s="12"/>
      <c r="W1310" s="12"/>
      <c r="X1310" s="12"/>
      <c r="Y1310" s="12"/>
      <c r="Z1310" s="12"/>
      <c r="AA1310" s="12"/>
      <c r="AB1310" s="12"/>
      <c r="AC1310" s="12"/>
      <c r="AD1310" s="12"/>
      <c r="AE1310" s="12"/>
      <c r="AF1310" s="12"/>
    </row>
    <row r="1311" spans="2:32" x14ac:dyDescent="0.35">
      <c r="B1311" s="21"/>
      <c r="D1311" s="2"/>
      <c r="E1311" s="2"/>
      <c r="F1311" s="32"/>
      <c r="G1311" s="32"/>
      <c r="H1311" s="32"/>
      <c r="I1311" s="32"/>
      <c r="J1311" s="32"/>
      <c r="K1311" s="32"/>
      <c r="L1311" s="32"/>
      <c r="M1311" s="32"/>
      <c r="N1311" s="32"/>
      <c r="O1311" s="32"/>
      <c r="P1311" s="32"/>
      <c r="Q1311" s="32"/>
      <c r="R1311" s="32"/>
      <c r="S1311" s="25"/>
      <c r="T1311" s="14"/>
      <c r="U1311" s="12"/>
      <c r="V1311" s="12"/>
      <c r="W1311" s="12"/>
      <c r="X1311" s="12"/>
      <c r="Y1311" s="12"/>
      <c r="Z1311" s="12"/>
      <c r="AA1311" s="12"/>
      <c r="AB1311" s="12"/>
      <c r="AC1311" s="12"/>
      <c r="AD1311" s="12"/>
      <c r="AE1311" s="12"/>
      <c r="AF1311" s="12"/>
    </row>
    <row r="1312" spans="2:32" x14ac:dyDescent="0.35">
      <c r="B1312" s="21"/>
      <c r="F1312" s="33"/>
      <c r="G1312" s="33"/>
      <c r="H1312" s="33"/>
      <c r="I1312" s="33"/>
      <c r="J1312" s="33"/>
      <c r="K1312" s="33"/>
      <c r="L1312" s="33"/>
      <c r="M1312" s="33"/>
      <c r="N1312" s="33"/>
      <c r="O1312" s="33"/>
      <c r="P1312" s="33"/>
      <c r="Q1312" s="33"/>
      <c r="R1312" s="33"/>
      <c r="S1312" s="25"/>
      <c r="T1312" s="14"/>
      <c r="U1312" s="12"/>
      <c r="V1312" s="12"/>
      <c r="W1312" s="12"/>
      <c r="X1312" s="12"/>
      <c r="Y1312" s="12"/>
      <c r="Z1312" s="12"/>
      <c r="AA1312" s="12"/>
      <c r="AB1312" s="12"/>
      <c r="AC1312" s="12"/>
      <c r="AD1312" s="12"/>
      <c r="AE1312" s="12"/>
      <c r="AF1312" s="12"/>
    </row>
    <row r="1313" spans="2:32" x14ac:dyDescent="0.35">
      <c r="B1313" s="21"/>
      <c r="D1313" s="2"/>
      <c r="E1313" s="2"/>
      <c r="F1313" s="32"/>
      <c r="G1313" s="32"/>
      <c r="H1313" s="32"/>
      <c r="I1313" s="32"/>
      <c r="J1313" s="32"/>
      <c r="K1313" s="32"/>
      <c r="L1313" s="32"/>
      <c r="M1313" s="32"/>
      <c r="N1313" s="32"/>
      <c r="O1313" s="32"/>
      <c r="P1313" s="32"/>
      <c r="Q1313" s="32"/>
      <c r="R1313" s="32"/>
      <c r="S1313" s="25"/>
      <c r="T1313" s="14"/>
      <c r="U1313" s="12"/>
      <c r="V1313" s="12"/>
      <c r="W1313" s="12"/>
      <c r="X1313" s="12"/>
      <c r="Y1313" s="12"/>
      <c r="Z1313" s="12"/>
      <c r="AA1313" s="12"/>
      <c r="AB1313" s="12"/>
      <c r="AC1313" s="12"/>
      <c r="AD1313" s="12"/>
      <c r="AE1313" s="12"/>
      <c r="AF1313" s="12"/>
    </row>
    <row r="1314" spans="2:32" x14ac:dyDescent="0.35">
      <c r="B1314" s="21"/>
      <c r="D1314" s="2"/>
      <c r="E1314" s="2"/>
      <c r="F1314" s="32"/>
      <c r="G1314" s="32"/>
      <c r="H1314" s="32"/>
      <c r="I1314" s="32"/>
      <c r="J1314" s="32"/>
      <c r="K1314" s="32"/>
      <c r="L1314" s="32"/>
      <c r="M1314" s="32"/>
      <c r="N1314" s="32"/>
      <c r="O1314" s="32"/>
      <c r="P1314" s="32"/>
      <c r="Q1314" s="32"/>
      <c r="R1314" s="32"/>
      <c r="S1314" s="25"/>
      <c r="T1314" s="22"/>
      <c r="U1314" s="12"/>
      <c r="V1314" s="12"/>
      <c r="W1314" s="12"/>
      <c r="X1314" s="12"/>
      <c r="Y1314" s="12"/>
      <c r="Z1314" s="12"/>
      <c r="AA1314" s="12"/>
      <c r="AB1314" s="12"/>
      <c r="AC1314" s="12"/>
      <c r="AD1314" s="12"/>
      <c r="AE1314" s="12"/>
      <c r="AF1314" s="12"/>
    </row>
    <row r="1315" spans="2:32" x14ac:dyDescent="0.35">
      <c r="B1315" s="21"/>
      <c r="D1315" s="2"/>
      <c r="E1315" s="2"/>
      <c r="F1315" s="32"/>
      <c r="G1315" s="32"/>
      <c r="H1315" s="32"/>
      <c r="I1315" s="32"/>
      <c r="J1315" s="32"/>
      <c r="K1315" s="32"/>
      <c r="L1315" s="32"/>
      <c r="M1315" s="32"/>
      <c r="N1315" s="32"/>
      <c r="O1315" s="32"/>
      <c r="P1315" s="32"/>
      <c r="Q1315" s="32"/>
      <c r="R1315" s="32"/>
      <c r="S1315" s="25"/>
      <c r="T1315" s="22"/>
      <c r="U1315" s="12"/>
      <c r="V1315" s="12"/>
      <c r="W1315" s="12"/>
      <c r="X1315" s="12"/>
      <c r="Y1315" s="12"/>
      <c r="Z1315" s="12"/>
      <c r="AA1315" s="12"/>
      <c r="AB1315" s="12"/>
      <c r="AC1315" s="12"/>
      <c r="AD1315" s="12"/>
      <c r="AE1315" s="12"/>
      <c r="AF1315" s="12"/>
    </row>
    <row r="1316" spans="2:32" x14ac:dyDescent="0.35">
      <c r="B1316" s="21"/>
      <c r="D1316" s="2"/>
      <c r="E1316" s="2"/>
      <c r="F1316" s="32"/>
      <c r="G1316" s="32"/>
      <c r="H1316" s="32"/>
      <c r="I1316" s="32"/>
      <c r="J1316" s="32"/>
      <c r="K1316" s="32"/>
      <c r="L1316" s="32"/>
      <c r="M1316" s="32"/>
      <c r="N1316" s="32"/>
      <c r="O1316" s="32"/>
      <c r="P1316" s="32"/>
      <c r="Q1316" s="32"/>
      <c r="R1316" s="32"/>
      <c r="S1316" s="25"/>
      <c r="T1316" s="22"/>
      <c r="U1316" s="12"/>
      <c r="V1316" s="12"/>
      <c r="W1316" s="12"/>
      <c r="X1316" s="12"/>
      <c r="Y1316" s="12"/>
      <c r="Z1316" s="12"/>
      <c r="AA1316" s="12"/>
      <c r="AB1316" s="12"/>
      <c r="AC1316" s="12"/>
      <c r="AD1316" s="12"/>
      <c r="AE1316" s="12"/>
      <c r="AF1316" s="12"/>
    </row>
    <row r="1317" spans="2:32" x14ac:dyDescent="0.35">
      <c r="B1317" s="21"/>
      <c r="D1317" s="2"/>
      <c r="E1317" s="2"/>
      <c r="F1317" s="32"/>
      <c r="G1317" s="32"/>
      <c r="H1317" s="32"/>
      <c r="I1317" s="32"/>
      <c r="J1317" s="32"/>
      <c r="K1317" s="32"/>
      <c r="L1317" s="32"/>
      <c r="M1317" s="32"/>
      <c r="N1317" s="32"/>
      <c r="O1317" s="32"/>
      <c r="P1317" s="32"/>
      <c r="Q1317" s="32"/>
      <c r="R1317" s="32"/>
      <c r="S1317" s="25"/>
      <c r="T1317" s="22"/>
      <c r="U1317" s="12"/>
      <c r="V1317" s="12"/>
      <c r="W1317" s="12"/>
      <c r="X1317" s="12"/>
      <c r="Y1317" s="12"/>
      <c r="Z1317" s="12"/>
      <c r="AA1317" s="12"/>
      <c r="AB1317" s="12"/>
      <c r="AC1317" s="12"/>
      <c r="AD1317" s="12"/>
      <c r="AE1317" s="12"/>
      <c r="AF1317" s="12"/>
    </row>
    <row r="1318" spans="2:32" x14ac:dyDescent="0.35">
      <c r="B1318" s="21"/>
      <c r="D1318" s="2"/>
      <c r="E1318" s="2"/>
      <c r="F1318" s="32"/>
      <c r="G1318" s="32"/>
      <c r="H1318" s="32"/>
      <c r="I1318" s="32"/>
      <c r="J1318" s="32"/>
      <c r="K1318" s="32"/>
      <c r="L1318" s="32"/>
      <c r="M1318" s="32"/>
      <c r="N1318" s="32"/>
      <c r="O1318" s="32"/>
      <c r="P1318" s="32"/>
      <c r="Q1318" s="32"/>
      <c r="R1318" s="32"/>
      <c r="S1318" s="25"/>
      <c r="T1318" s="22"/>
      <c r="U1318" s="12"/>
      <c r="V1318" s="12"/>
      <c r="W1318" s="12"/>
      <c r="X1318" s="12"/>
      <c r="Y1318" s="12"/>
      <c r="Z1318" s="12"/>
      <c r="AA1318" s="12"/>
      <c r="AB1318" s="12"/>
      <c r="AC1318" s="12"/>
      <c r="AD1318" s="12"/>
      <c r="AE1318" s="12"/>
      <c r="AF1318" s="12"/>
    </row>
    <row r="1319" spans="2:32" x14ac:dyDescent="0.35">
      <c r="B1319" s="21"/>
      <c r="D1319" s="2"/>
      <c r="E1319" s="2"/>
      <c r="F1319" s="32"/>
      <c r="G1319" s="32"/>
      <c r="H1319" s="32"/>
      <c r="I1319" s="32"/>
      <c r="J1319" s="32"/>
      <c r="K1319" s="32"/>
      <c r="L1319" s="32"/>
      <c r="M1319" s="32"/>
      <c r="N1319" s="32"/>
      <c r="O1319" s="32"/>
      <c r="P1319" s="32"/>
      <c r="Q1319" s="32"/>
      <c r="R1319" s="32"/>
      <c r="S1319" s="25"/>
      <c r="T1319" s="22"/>
      <c r="U1319" s="12"/>
      <c r="V1319" s="12"/>
      <c r="W1319" s="12"/>
      <c r="X1319" s="12"/>
      <c r="Y1319" s="12"/>
      <c r="Z1319" s="12"/>
      <c r="AA1319" s="12"/>
      <c r="AB1319" s="12"/>
      <c r="AC1319" s="12"/>
      <c r="AD1319" s="12"/>
      <c r="AE1319" s="12"/>
      <c r="AF1319" s="12"/>
    </row>
    <row r="1320" spans="2:32" x14ac:dyDescent="0.35">
      <c r="B1320" s="21"/>
      <c r="F1320" s="33"/>
      <c r="G1320" s="33"/>
      <c r="H1320" s="33"/>
      <c r="I1320" s="33"/>
      <c r="J1320" s="33"/>
      <c r="K1320" s="33"/>
      <c r="L1320" s="33"/>
      <c r="M1320" s="33"/>
      <c r="N1320" s="33"/>
      <c r="O1320" s="33"/>
      <c r="P1320" s="33"/>
      <c r="Q1320" s="33"/>
      <c r="R1320" s="33"/>
      <c r="S1320" s="25"/>
      <c r="T1320" s="22"/>
      <c r="U1320" s="12"/>
      <c r="V1320" s="12"/>
      <c r="W1320" s="12"/>
      <c r="X1320" s="12"/>
      <c r="Y1320" s="12"/>
      <c r="Z1320" s="12"/>
      <c r="AA1320" s="12"/>
      <c r="AB1320" s="12"/>
      <c r="AC1320" s="12"/>
      <c r="AD1320" s="12"/>
      <c r="AE1320" s="12"/>
      <c r="AF1320" s="12"/>
    </row>
    <row r="1321" spans="2:32" x14ac:dyDescent="0.35">
      <c r="B1321" s="21"/>
      <c r="D1321" s="2"/>
      <c r="E1321" s="2"/>
      <c r="F1321" s="32"/>
      <c r="G1321" s="32"/>
      <c r="H1321" s="32"/>
      <c r="I1321" s="32"/>
      <c r="J1321" s="32"/>
      <c r="K1321" s="32"/>
      <c r="L1321" s="32"/>
      <c r="M1321" s="32"/>
      <c r="N1321" s="32"/>
      <c r="O1321" s="32"/>
      <c r="P1321" s="32"/>
      <c r="Q1321" s="32"/>
      <c r="R1321" s="32"/>
      <c r="S1321" s="25"/>
      <c r="T1321" s="22"/>
      <c r="U1321" s="12"/>
      <c r="V1321" s="12"/>
      <c r="W1321" s="12"/>
      <c r="X1321" s="12"/>
      <c r="Y1321" s="12"/>
      <c r="Z1321" s="12"/>
      <c r="AA1321" s="12"/>
      <c r="AB1321" s="12"/>
      <c r="AC1321" s="12"/>
      <c r="AD1321" s="12"/>
      <c r="AE1321" s="12"/>
      <c r="AF1321" s="12"/>
    </row>
    <row r="1322" spans="2:32" x14ac:dyDescent="0.35">
      <c r="B1322" s="21"/>
      <c r="D1322" s="2"/>
      <c r="E1322" s="2"/>
      <c r="F1322" s="32"/>
      <c r="G1322" s="32"/>
      <c r="H1322" s="32"/>
      <c r="I1322" s="32"/>
      <c r="J1322" s="32"/>
      <c r="K1322" s="32"/>
      <c r="L1322" s="32"/>
      <c r="M1322" s="32"/>
      <c r="N1322" s="32"/>
      <c r="O1322" s="32"/>
      <c r="P1322" s="32"/>
      <c r="Q1322" s="32"/>
      <c r="R1322" s="32"/>
      <c r="S1322" s="25"/>
      <c r="T1322" s="22"/>
      <c r="U1322" s="12"/>
      <c r="V1322" s="12"/>
      <c r="W1322" s="12"/>
      <c r="X1322" s="12"/>
      <c r="Y1322" s="12"/>
      <c r="Z1322" s="12"/>
      <c r="AA1322" s="12"/>
      <c r="AB1322" s="12"/>
      <c r="AC1322" s="12"/>
      <c r="AD1322" s="12"/>
      <c r="AE1322" s="12"/>
      <c r="AF1322" s="12"/>
    </row>
    <row r="1323" spans="2:32" x14ac:dyDescent="0.35">
      <c r="B1323" s="21"/>
      <c r="D1323" s="2"/>
      <c r="E1323" s="2"/>
      <c r="F1323" s="32"/>
      <c r="G1323" s="32"/>
      <c r="H1323" s="32"/>
      <c r="I1323" s="32"/>
      <c r="J1323" s="32"/>
      <c r="K1323" s="32"/>
      <c r="L1323" s="32"/>
      <c r="M1323" s="32"/>
      <c r="N1323" s="32"/>
      <c r="O1323" s="32"/>
      <c r="P1323" s="32"/>
      <c r="Q1323" s="32"/>
      <c r="R1323" s="32"/>
      <c r="S1323" s="25"/>
      <c r="T1323" s="14"/>
      <c r="U1323" s="12"/>
      <c r="V1323" s="12"/>
      <c r="W1323" s="12"/>
      <c r="X1323" s="12"/>
      <c r="Y1323" s="12"/>
      <c r="Z1323" s="12"/>
      <c r="AA1323" s="12"/>
      <c r="AB1323" s="12"/>
      <c r="AC1323" s="12"/>
      <c r="AD1323" s="12"/>
      <c r="AE1323" s="12"/>
      <c r="AF1323" s="12"/>
    </row>
    <row r="1324" spans="2:32" x14ac:dyDescent="0.35">
      <c r="B1324" s="21"/>
      <c r="D1324" s="2"/>
      <c r="E1324" s="2"/>
      <c r="F1324" s="32"/>
      <c r="G1324" s="32"/>
      <c r="H1324" s="32"/>
      <c r="I1324" s="32"/>
      <c r="J1324" s="32"/>
      <c r="K1324" s="32"/>
      <c r="L1324" s="32"/>
      <c r="M1324" s="32"/>
      <c r="N1324" s="32"/>
      <c r="O1324" s="32"/>
      <c r="P1324" s="32"/>
      <c r="Q1324" s="32"/>
      <c r="R1324" s="32"/>
      <c r="S1324" s="25"/>
      <c r="T1324" s="14"/>
      <c r="U1324" s="12"/>
      <c r="V1324" s="12"/>
      <c r="W1324" s="12"/>
      <c r="X1324" s="12"/>
      <c r="Y1324" s="12"/>
      <c r="Z1324" s="12"/>
      <c r="AA1324" s="12"/>
      <c r="AB1324" s="12"/>
      <c r="AC1324" s="12"/>
      <c r="AD1324" s="12"/>
      <c r="AE1324" s="12"/>
      <c r="AF1324" s="12"/>
    </row>
    <row r="1325" spans="2:32" x14ac:dyDescent="0.35">
      <c r="B1325" s="21"/>
      <c r="D1325" s="2"/>
      <c r="E1325" s="2"/>
      <c r="F1325" s="32"/>
      <c r="G1325" s="32"/>
      <c r="H1325" s="32"/>
      <c r="I1325" s="32"/>
      <c r="J1325" s="32"/>
      <c r="K1325" s="32"/>
      <c r="L1325" s="32"/>
      <c r="M1325" s="32"/>
      <c r="N1325" s="32"/>
      <c r="O1325" s="32"/>
      <c r="P1325" s="32"/>
      <c r="Q1325" s="32"/>
      <c r="R1325" s="32"/>
      <c r="S1325" s="25"/>
      <c r="T1325" s="14"/>
      <c r="U1325" s="12"/>
      <c r="V1325" s="12"/>
      <c r="W1325" s="12"/>
      <c r="X1325" s="12"/>
      <c r="Y1325" s="12"/>
      <c r="Z1325" s="12"/>
      <c r="AA1325" s="12"/>
      <c r="AB1325" s="12"/>
      <c r="AC1325" s="12"/>
      <c r="AD1325" s="12"/>
      <c r="AE1325" s="12"/>
      <c r="AF1325" s="12"/>
    </row>
    <row r="1326" spans="2:32" x14ac:dyDescent="0.35">
      <c r="B1326" s="21"/>
      <c r="D1326" s="2"/>
      <c r="E1326" s="2"/>
      <c r="F1326" s="32"/>
      <c r="G1326" s="32"/>
      <c r="H1326" s="32"/>
      <c r="I1326" s="32"/>
      <c r="J1326" s="32"/>
      <c r="K1326" s="32"/>
      <c r="L1326" s="32"/>
      <c r="M1326" s="32"/>
      <c r="N1326" s="32"/>
      <c r="O1326" s="32"/>
      <c r="P1326" s="32"/>
      <c r="Q1326" s="32"/>
      <c r="R1326" s="32"/>
      <c r="S1326" s="25"/>
      <c r="T1326" s="14"/>
      <c r="U1326" s="12"/>
      <c r="V1326" s="12"/>
      <c r="W1326" s="12"/>
      <c r="X1326" s="12"/>
      <c r="Y1326" s="12"/>
      <c r="Z1326" s="12"/>
      <c r="AA1326" s="12"/>
      <c r="AB1326" s="12"/>
      <c r="AC1326" s="12"/>
      <c r="AD1326" s="12"/>
      <c r="AE1326" s="12"/>
      <c r="AF1326" s="12"/>
    </row>
    <row r="1327" spans="2:32" x14ac:dyDescent="0.35">
      <c r="B1327" s="21"/>
      <c r="D1327" s="2"/>
      <c r="E1327" s="2"/>
      <c r="F1327" s="32"/>
      <c r="G1327" s="32"/>
      <c r="H1327" s="32"/>
      <c r="I1327" s="32"/>
      <c r="J1327" s="32"/>
      <c r="K1327" s="32"/>
      <c r="L1327" s="32"/>
      <c r="M1327" s="32"/>
      <c r="N1327" s="32"/>
      <c r="O1327" s="32"/>
      <c r="P1327" s="32"/>
      <c r="Q1327" s="32"/>
      <c r="R1327" s="32"/>
      <c r="S1327" s="25"/>
      <c r="T1327" s="14"/>
      <c r="U1327" s="12"/>
      <c r="V1327" s="12"/>
      <c r="W1327" s="12"/>
      <c r="X1327" s="12"/>
      <c r="Y1327" s="12"/>
      <c r="Z1327" s="12"/>
      <c r="AA1327" s="12"/>
      <c r="AB1327" s="12"/>
      <c r="AC1327" s="12"/>
      <c r="AD1327" s="12"/>
      <c r="AE1327" s="12"/>
      <c r="AF1327" s="12"/>
    </row>
    <row r="1328" spans="2:32" x14ac:dyDescent="0.35">
      <c r="B1328" s="21"/>
      <c r="F1328" s="33"/>
      <c r="G1328" s="33"/>
      <c r="H1328" s="33"/>
      <c r="I1328" s="33"/>
      <c r="J1328" s="33"/>
      <c r="K1328" s="33"/>
      <c r="L1328" s="33"/>
      <c r="M1328" s="33"/>
      <c r="N1328" s="33"/>
      <c r="O1328" s="33"/>
      <c r="P1328" s="33"/>
      <c r="Q1328" s="33"/>
      <c r="R1328" s="33"/>
      <c r="S1328" s="25"/>
      <c r="T1328" s="14"/>
      <c r="U1328" s="12"/>
      <c r="V1328" s="12"/>
      <c r="W1328" s="12"/>
      <c r="X1328" s="12"/>
      <c r="Y1328" s="12"/>
      <c r="Z1328" s="12"/>
      <c r="AA1328" s="12"/>
      <c r="AB1328" s="12"/>
      <c r="AC1328" s="12"/>
      <c r="AD1328" s="12"/>
      <c r="AE1328" s="12"/>
      <c r="AF1328" s="12"/>
    </row>
    <row r="1329" spans="2:32" x14ac:dyDescent="0.35">
      <c r="B1329" s="21"/>
      <c r="D1329" s="2"/>
      <c r="E1329" s="2"/>
      <c r="F1329" s="32"/>
      <c r="G1329" s="32"/>
      <c r="H1329" s="32"/>
      <c r="I1329" s="32"/>
      <c r="J1329" s="32"/>
      <c r="K1329" s="32"/>
      <c r="L1329" s="32"/>
      <c r="M1329" s="32"/>
      <c r="N1329" s="32"/>
      <c r="O1329" s="32"/>
      <c r="P1329" s="32"/>
      <c r="Q1329" s="32"/>
      <c r="R1329" s="32"/>
      <c r="S1329" s="25"/>
      <c r="T1329" s="14"/>
      <c r="U1329" s="12"/>
      <c r="V1329" s="12"/>
      <c r="W1329" s="12"/>
      <c r="X1329" s="12"/>
      <c r="Y1329" s="12"/>
      <c r="Z1329" s="12"/>
      <c r="AA1329" s="12"/>
      <c r="AB1329" s="12"/>
      <c r="AC1329" s="12"/>
      <c r="AD1329" s="12"/>
      <c r="AE1329" s="12"/>
      <c r="AF1329" s="12"/>
    </row>
    <row r="1330" spans="2:32" x14ac:dyDescent="0.35">
      <c r="B1330" s="21"/>
      <c r="D1330" s="2"/>
      <c r="E1330" s="2"/>
      <c r="F1330" s="32"/>
      <c r="G1330" s="32"/>
      <c r="H1330" s="32"/>
      <c r="I1330" s="32"/>
      <c r="J1330" s="32"/>
      <c r="K1330" s="32"/>
      <c r="L1330" s="32"/>
      <c r="M1330" s="32"/>
      <c r="N1330" s="32"/>
      <c r="O1330" s="32"/>
      <c r="P1330" s="32"/>
      <c r="Q1330" s="32"/>
      <c r="R1330" s="32"/>
      <c r="S1330" s="25"/>
      <c r="T1330" s="14"/>
      <c r="U1330" s="12"/>
      <c r="V1330" s="12"/>
      <c r="W1330" s="12"/>
      <c r="X1330" s="12"/>
      <c r="Y1330" s="12"/>
      <c r="Z1330" s="12"/>
      <c r="AA1330" s="12"/>
      <c r="AB1330" s="12"/>
      <c r="AC1330" s="12"/>
      <c r="AD1330" s="12"/>
      <c r="AE1330" s="12"/>
      <c r="AF1330" s="12"/>
    </row>
    <row r="1331" spans="2:32" x14ac:dyDescent="0.35">
      <c r="B1331" s="21"/>
      <c r="D1331" s="2"/>
      <c r="E1331" s="2"/>
      <c r="F1331" s="32"/>
      <c r="G1331" s="32"/>
      <c r="H1331" s="32"/>
      <c r="I1331" s="32"/>
      <c r="J1331" s="32"/>
      <c r="K1331" s="32"/>
      <c r="L1331" s="32"/>
      <c r="M1331" s="32"/>
      <c r="N1331" s="32"/>
      <c r="O1331" s="32"/>
      <c r="P1331" s="32"/>
      <c r="Q1331" s="32"/>
      <c r="R1331" s="32"/>
      <c r="S1331" s="25"/>
      <c r="T1331" s="14"/>
      <c r="U1331" s="12"/>
      <c r="V1331" s="12"/>
      <c r="W1331" s="12"/>
      <c r="X1331" s="12"/>
      <c r="Y1331" s="12"/>
      <c r="Z1331" s="12"/>
      <c r="AA1331" s="12"/>
      <c r="AB1331" s="12"/>
      <c r="AC1331" s="12"/>
      <c r="AD1331" s="12"/>
      <c r="AE1331" s="12"/>
      <c r="AF1331" s="12"/>
    </row>
    <row r="1332" spans="2:32" x14ac:dyDescent="0.35">
      <c r="B1332" s="21"/>
      <c r="D1332" s="2"/>
      <c r="E1332" s="2"/>
      <c r="F1332" s="32"/>
      <c r="G1332" s="32"/>
      <c r="H1332" s="32"/>
      <c r="I1332" s="32"/>
      <c r="J1332" s="32"/>
      <c r="K1332" s="32"/>
      <c r="L1332" s="32"/>
      <c r="M1332" s="32"/>
      <c r="N1332" s="32"/>
      <c r="O1332" s="32"/>
      <c r="P1332" s="32"/>
      <c r="Q1332" s="32"/>
      <c r="R1332" s="32"/>
      <c r="S1332" s="25"/>
      <c r="T1332" s="14"/>
      <c r="U1332" s="12"/>
      <c r="V1332" s="12"/>
      <c r="W1332" s="12"/>
      <c r="X1332" s="12"/>
      <c r="Y1332" s="12"/>
      <c r="Z1332" s="12"/>
      <c r="AA1332" s="12"/>
      <c r="AB1332" s="12"/>
      <c r="AC1332" s="12"/>
      <c r="AD1332" s="12"/>
      <c r="AE1332" s="12"/>
      <c r="AF1332" s="12"/>
    </row>
    <row r="1333" spans="2:32" x14ac:dyDescent="0.35">
      <c r="B1333" s="21"/>
      <c r="D1333" s="2"/>
      <c r="E1333" s="2"/>
      <c r="F1333" s="32"/>
      <c r="G1333" s="32"/>
      <c r="H1333" s="32"/>
      <c r="I1333" s="32"/>
      <c r="J1333" s="32"/>
      <c r="K1333" s="32"/>
      <c r="L1333" s="32"/>
      <c r="M1333" s="32"/>
      <c r="N1333" s="32"/>
      <c r="O1333" s="32"/>
      <c r="P1333" s="32"/>
      <c r="Q1333" s="32"/>
      <c r="R1333" s="32"/>
      <c r="S1333" s="25"/>
      <c r="T1333" s="14"/>
      <c r="U1333" s="12"/>
      <c r="V1333" s="12"/>
      <c r="W1333" s="12"/>
      <c r="X1333" s="12"/>
      <c r="Y1333" s="12"/>
      <c r="Z1333" s="12"/>
      <c r="AA1333" s="12"/>
      <c r="AB1333" s="12"/>
      <c r="AC1333" s="12"/>
      <c r="AD1333" s="12"/>
      <c r="AE1333" s="12"/>
      <c r="AF1333" s="12"/>
    </row>
    <row r="1334" spans="2:32" x14ac:dyDescent="0.35">
      <c r="B1334" s="21"/>
      <c r="D1334" s="2"/>
      <c r="E1334" s="2"/>
      <c r="F1334" s="32"/>
      <c r="G1334" s="32"/>
      <c r="H1334" s="32"/>
      <c r="I1334" s="32"/>
      <c r="J1334" s="32"/>
      <c r="K1334" s="32"/>
      <c r="L1334" s="32"/>
      <c r="M1334" s="32"/>
      <c r="N1334" s="32"/>
      <c r="O1334" s="32"/>
      <c r="P1334" s="32"/>
      <c r="Q1334" s="32"/>
      <c r="R1334" s="32"/>
      <c r="S1334" s="25"/>
      <c r="T1334" s="14"/>
      <c r="U1334" s="12"/>
      <c r="V1334" s="12"/>
      <c r="W1334" s="12"/>
      <c r="X1334" s="12"/>
      <c r="Y1334" s="12"/>
      <c r="Z1334" s="12"/>
      <c r="AA1334" s="12"/>
      <c r="AB1334" s="12"/>
      <c r="AC1334" s="12"/>
      <c r="AD1334" s="12"/>
      <c r="AE1334" s="12"/>
      <c r="AF1334" s="12"/>
    </row>
    <row r="1335" spans="2:32" x14ac:dyDescent="0.35">
      <c r="B1335" s="21"/>
      <c r="D1335" s="2"/>
      <c r="E1335" s="2"/>
      <c r="F1335" s="32"/>
      <c r="G1335" s="32"/>
      <c r="H1335" s="32"/>
      <c r="I1335" s="32"/>
      <c r="J1335" s="32"/>
      <c r="K1335" s="32"/>
      <c r="L1335" s="32"/>
      <c r="M1335" s="32"/>
      <c r="N1335" s="32"/>
      <c r="O1335" s="32"/>
      <c r="P1335" s="32"/>
      <c r="Q1335" s="32"/>
      <c r="R1335" s="32"/>
      <c r="S1335" s="25"/>
      <c r="T1335" s="14"/>
      <c r="U1335" s="12"/>
      <c r="V1335" s="12"/>
      <c r="W1335" s="12"/>
      <c r="X1335" s="12"/>
      <c r="Y1335" s="12"/>
      <c r="Z1335" s="12"/>
      <c r="AA1335" s="12"/>
      <c r="AB1335" s="12"/>
      <c r="AC1335" s="12"/>
      <c r="AD1335" s="12"/>
      <c r="AE1335" s="12"/>
      <c r="AF1335" s="12"/>
    </row>
    <row r="1336" spans="2:32" x14ac:dyDescent="0.35">
      <c r="B1336" s="21"/>
      <c r="F1336" s="33"/>
      <c r="G1336" s="33"/>
      <c r="H1336" s="33"/>
      <c r="I1336" s="33"/>
      <c r="J1336" s="33"/>
      <c r="K1336" s="33"/>
      <c r="L1336" s="33"/>
      <c r="M1336" s="33"/>
      <c r="N1336" s="33"/>
      <c r="O1336" s="33"/>
      <c r="P1336" s="33"/>
      <c r="Q1336" s="33"/>
      <c r="R1336" s="33"/>
      <c r="S1336" s="25"/>
      <c r="T1336" s="14"/>
      <c r="U1336" s="12"/>
      <c r="V1336" s="12"/>
      <c r="W1336" s="12"/>
      <c r="X1336" s="12"/>
      <c r="Y1336" s="12"/>
      <c r="Z1336" s="12"/>
      <c r="AA1336" s="12"/>
      <c r="AB1336" s="12"/>
      <c r="AC1336" s="12"/>
      <c r="AD1336" s="12"/>
      <c r="AE1336" s="12"/>
      <c r="AF1336" s="12"/>
    </row>
    <row r="1337" spans="2:32" x14ac:dyDescent="0.35">
      <c r="B1337" s="21"/>
      <c r="D1337" s="2"/>
      <c r="E1337" s="2"/>
      <c r="F1337" s="32"/>
      <c r="G1337" s="32"/>
      <c r="H1337" s="32"/>
      <c r="I1337" s="32"/>
      <c r="J1337" s="32"/>
      <c r="K1337" s="32"/>
      <c r="L1337" s="32"/>
      <c r="M1337" s="32"/>
      <c r="N1337" s="32"/>
      <c r="O1337" s="32"/>
      <c r="P1337" s="32"/>
      <c r="Q1337" s="32"/>
      <c r="R1337" s="32"/>
      <c r="S1337" s="25"/>
      <c r="T1337" s="14"/>
      <c r="U1337" s="12"/>
      <c r="V1337" s="12"/>
      <c r="W1337" s="12"/>
      <c r="X1337" s="12"/>
      <c r="Y1337" s="12"/>
      <c r="Z1337" s="12"/>
      <c r="AA1337" s="12"/>
      <c r="AB1337" s="12"/>
      <c r="AC1337" s="12"/>
      <c r="AD1337" s="12"/>
      <c r="AE1337" s="12"/>
      <c r="AF1337" s="12"/>
    </row>
    <row r="1338" spans="2:32" x14ac:dyDescent="0.35">
      <c r="B1338" s="21"/>
      <c r="D1338" s="2"/>
      <c r="E1338" s="2"/>
      <c r="F1338" s="32"/>
      <c r="G1338" s="32"/>
      <c r="H1338" s="32"/>
      <c r="I1338" s="32"/>
      <c r="J1338" s="32"/>
      <c r="K1338" s="32"/>
      <c r="L1338" s="32"/>
      <c r="M1338" s="32"/>
      <c r="N1338" s="32"/>
      <c r="O1338" s="32"/>
      <c r="P1338" s="32"/>
      <c r="Q1338" s="32"/>
      <c r="R1338" s="32"/>
      <c r="S1338" s="25"/>
      <c r="T1338" s="22"/>
      <c r="U1338" s="12"/>
      <c r="V1338" s="12"/>
      <c r="W1338" s="12"/>
      <c r="X1338" s="12"/>
      <c r="Y1338" s="12"/>
      <c r="Z1338" s="12"/>
      <c r="AA1338" s="12"/>
      <c r="AB1338" s="12"/>
      <c r="AC1338" s="12"/>
      <c r="AD1338" s="12"/>
      <c r="AE1338" s="12"/>
      <c r="AF1338" s="12"/>
    </row>
    <row r="1339" spans="2:32" x14ac:dyDescent="0.35">
      <c r="B1339" s="21"/>
      <c r="D1339" s="2"/>
      <c r="E1339" s="2"/>
      <c r="F1339" s="32"/>
      <c r="G1339" s="32"/>
      <c r="H1339" s="32"/>
      <c r="I1339" s="32"/>
      <c r="J1339" s="32"/>
      <c r="K1339" s="32"/>
      <c r="L1339" s="32"/>
      <c r="M1339" s="32"/>
      <c r="N1339" s="32"/>
      <c r="O1339" s="32"/>
      <c r="P1339" s="32"/>
      <c r="Q1339" s="32"/>
      <c r="R1339" s="32"/>
      <c r="S1339" s="25"/>
      <c r="T1339" s="22"/>
      <c r="U1339" s="12"/>
      <c r="V1339" s="12"/>
      <c r="W1339" s="12"/>
      <c r="X1339" s="12"/>
      <c r="Y1339" s="12"/>
      <c r="Z1339" s="12"/>
      <c r="AA1339" s="12"/>
      <c r="AB1339" s="12"/>
      <c r="AC1339" s="12"/>
      <c r="AD1339" s="12"/>
      <c r="AE1339" s="12"/>
      <c r="AF1339" s="12"/>
    </row>
    <row r="1340" spans="2:32" x14ac:dyDescent="0.35">
      <c r="B1340" s="21"/>
      <c r="D1340" s="2"/>
      <c r="E1340" s="2"/>
      <c r="F1340" s="32"/>
      <c r="G1340" s="32"/>
      <c r="H1340" s="32"/>
      <c r="I1340" s="32"/>
      <c r="J1340" s="32"/>
      <c r="K1340" s="32"/>
      <c r="L1340" s="32"/>
      <c r="M1340" s="32"/>
      <c r="N1340" s="32"/>
      <c r="O1340" s="32"/>
      <c r="P1340" s="32"/>
      <c r="Q1340" s="32"/>
      <c r="R1340" s="32"/>
      <c r="S1340" s="25"/>
      <c r="T1340" s="22"/>
      <c r="U1340" s="12"/>
      <c r="V1340" s="12"/>
      <c r="W1340" s="12"/>
      <c r="X1340" s="12"/>
      <c r="Y1340" s="12"/>
      <c r="Z1340" s="12"/>
      <c r="AA1340" s="12"/>
      <c r="AB1340" s="12"/>
      <c r="AC1340" s="12"/>
      <c r="AD1340" s="12"/>
      <c r="AE1340" s="12"/>
      <c r="AF1340" s="12"/>
    </row>
    <row r="1341" spans="2:32" x14ac:dyDescent="0.35">
      <c r="B1341" s="21"/>
      <c r="D1341" s="2"/>
      <c r="E1341" s="2"/>
      <c r="F1341" s="32"/>
      <c r="G1341" s="32"/>
      <c r="H1341" s="32"/>
      <c r="I1341" s="32"/>
      <c r="J1341" s="32"/>
      <c r="K1341" s="32"/>
      <c r="L1341" s="32"/>
      <c r="M1341" s="32"/>
      <c r="N1341" s="32"/>
      <c r="O1341" s="32"/>
      <c r="P1341" s="32"/>
      <c r="Q1341" s="32"/>
      <c r="R1341" s="32"/>
      <c r="S1341" s="25"/>
      <c r="T1341" s="22"/>
      <c r="U1341" s="12"/>
      <c r="V1341" s="12"/>
      <c r="W1341" s="12"/>
      <c r="X1341" s="12"/>
      <c r="Y1341" s="12"/>
      <c r="Z1341" s="12"/>
      <c r="AA1341" s="12"/>
      <c r="AB1341" s="12"/>
      <c r="AC1341" s="12"/>
      <c r="AD1341" s="12"/>
      <c r="AE1341" s="12"/>
      <c r="AF1341" s="12"/>
    </row>
    <row r="1342" spans="2:32" x14ac:dyDescent="0.35">
      <c r="B1342" s="21"/>
      <c r="D1342" s="2"/>
      <c r="E1342" s="2"/>
      <c r="F1342" s="32"/>
      <c r="G1342" s="32"/>
      <c r="H1342" s="32"/>
      <c r="I1342" s="32"/>
      <c r="J1342" s="32"/>
      <c r="K1342" s="32"/>
      <c r="L1342" s="32"/>
      <c r="M1342" s="32"/>
      <c r="N1342" s="32"/>
      <c r="O1342" s="32"/>
      <c r="P1342" s="32"/>
      <c r="Q1342" s="32"/>
      <c r="R1342" s="32"/>
      <c r="S1342" s="25"/>
      <c r="T1342" s="22"/>
      <c r="U1342" s="12"/>
      <c r="V1342" s="12"/>
      <c r="W1342" s="12"/>
      <c r="X1342" s="12"/>
      <c r="Y1342" s="12"/>
      <c r="Z1342" s="12"/>
      <c r="AA1342" s="12"/>
      <c r="AB1342" s="12"/>
      <c r="AC1342" s="12"/>
      <c r="AD1342" s="12"/>
      <c r="AE1342" s="12"/>
      <c r="AF1342" s="12"/>
    </row>
    <row r="1343" spans="2:32" x14ac:dyDescent="0.35">
      <c r="B1343" s="21"/>
      <c r="D1343" s="2"/>
      <c r="E1343" s="2"/>
      <c r="F1343" s="32"/>
      <c r="G1343" s="32"/>
      <c r="H1343" s="32"/>
      <c r="I1343" s="32"/>
      <c r="J1343" s="32"/>
      <c r="K1343" s="32"/>
      <c r="L1343" s="32"/>
      <c r="M1343" s="32"/>
      <c r="N1343" s="32"/>
      <c r="O1343" s="32"/>
      <c r="P1343" s="32"/>
      <c r="Q1343" s="32"/>
      <c r="R1343" s="32"/>
      <c r="S1343" s="25"/>
      <c r="T1343" s="22"/>
      <c r="U1343" s="12"/>
      <c r="V1343" s="12"/>
      <c r="W1343" s="12"/>
      <c r="X1343" s="12"/>
      <c r="Y1343" s="12"/>
      <c r="Z1343" s="12"/>
      <c r="AA1343" s="12"/>
      <c r="AB1343" s="12"/>
      <c r="AC1343" s="12"/>
      <c r="AD1343" s="12"/>
      <c r="AE1343" s="12"/>
      <c r="AF1343" s="12"/>
    </row>
    <row r="1344" spans="2:32" x14ac:dyDescent="0.35">
      <c r="B1344" s="21"/>
      <c r="F1344" s="33"/>
      <c r="G1344" s="33"/>
      <c r="H1344" s="33"/>
      <c r="I1344" s="33"/>
      <c r="J1344" s="33"/>
      <c r="K1344" s="33"/>
      <c r="L1344" s="33"/>
      <c r="M1344" s="33"/>
      <c r="N1344" s="33"/>
      <c r="O1344" s="33"/>
      <c r="P1344" s="33"/>
      <c r="Q1344" s="33"/>
      <c r="R1344" s="33"/>
      <c r="S1344" s="25"/>
      <c r="T1344" s="22"/>
      <c r="U1344" s="12"/>
      <c r="V1344" s="12"/>
      <c r="W1344" s="12"/>
      <c r="X1344" s="12"/>
      <c r="Y1344" s="12"/>
      <c r="Z1344" s="12"/>
      <c r="AA1344" s="12"/>
      <c r="AB1344" s="12"/>
      <c r="AC1344" s="12"/>
      <c r="AD1344" s="12"/>
      <c r="AE1344" s="12"/>
      <c r="AF1344" s="12"/>
    </row>
    <row r="1345" spans="1:32" x14ac:dyDescent="0.35">
      <c r="B1345" s="21"/>
      <c r="D1345" s="2"/>
      <c r="E1345" s="2"/>
      <c r="F1345" s="32"/>
      <c r="G1345" s="32"/>
      <c r="H1345" s="32"/>
      <c r="I1345" s="32"/>
      <c r="J1345" s="32"/>
      <c r="K1345" s="32"/>
      <c r="L1345" s="32"/>
      <c r="M1345" s="32"/>
      <c r="N1345" s="32"/>
      <c r="O1345" s="32"/>
      <c r="P1345" s="32"/>
      <c r="Q1345" s="32"/>
      <c r="R1345" s="32"/>
      <c r="S1345" s="25"/>
      <c r="T1345" s="22"/>
      <c r="U1345" s="12"/>
      <c r="V1345" s="12"/>
      <c r="W1345" s="12"/>
      <c r="X1345" s="12"/>
      <c r="Y1345" s="12"/>
      <c r="Z1345" s="12"/>
      <c r="AA1345" s="12"/>
      <c r="AB1345" s="12"/>
      <c r="AC1345" s="12"/>
      <c r="AD1345" s="12"/>
      <c r="AE1345" s="12"/>
      <c r="AF1345" s="12"/>
    </row>
    <row r="1346" spans="1:32" x14ac:dyDescent="0.35">
      <c r="B1346" s="21"/>
      <c r="D1346" s="2"/>
      <c r="E1346" s="2"/>
      <c r="F1346" s="32"/>
      <c r="G1346" s="32"/>
      <c r="H1346" s="32"/>
      <c r="I1346" s="32"/>
      <c r="J1346" s="32"/>
      <c r="K1346" s="32"/>
      <c r="L1346" s="32"/>
      <c r="M1346" s="32"/>
      <c r="N1346" s="32"/>
      <c r="O1346" s="32"/>
      <c r="P1346" s="32"/>
      <c r="Q1346" s="32"/>
      <c r="R1346" s="32"/>
      <c r="S1346" s="25"/>
      <c r="T1346" s="22"/>
      <c r="U1346" s="12"/>
      <c r="V1346" s="12"/>
      <c r="W1346" s="12"/>
      <c r="X1346" s="12"/>
      <c r="Y1346" s="12"/>
      <c r="Z1346" s="12"/>
      <c r="AA1346" s="12"/>
      <c r="AB1346" s="12"/>
      <c r="AC1346" s="12"/>
      <c r="AD1346" s="12"/>
      <c r="AE1346" s="12"/>
      <c r="AF1346" s="12"/>
    </row>
    <row r="1347" spans="1:32" x14ac:dyDescent="0.35">
      <c r="B1347" s="21"/>
      <c r="D1347" s="2"/>
      <c r="E1347" s="2"/>
      <c r="F1347" s="32"/>
      <c r="G1347" s="32"/>
      <c r="H1347" s="32"/>
      <c r="I1347" s="32"/>
      <c r="J1347" s="32"/>
      <c r="K1347" s="32"/>
      <c r="L1347" s="32"/>
      <c r="M1347" s="32"/>
      <c r="N1347" s="32"/>
      <c r="O1347" s="32"/>
      <c r="P1347" s="32"/>
      <c r="Q1347" s="32"/>
      <c r="R1347" s="32"/>
      <c r="S1347" s="25"/>
      <c r="T1347" s="22"/>
      <c r="U1347" s="12"/>
      <c r="V1347" s="12"/>
      <c r="W1347" s="12"/>
      <c r="X1347" s="12"/>
      <c r="Y1347" s="12"/>
      <c r="Z1347" s="12"/>
      <c r="AA1347" s="12"/>
      <c r="AB1347" s="12"/>
      <c r="AC1347" s="12"/>
      <c r="AD1347" s="12"/>
      <c r="AE1347" s="12"/>
      <c r="AF1347" s="12"/>
    </row>
    <row r="1348" spans="1:32" x14ac:dyDescent="0.35">
      <c r="B1348" s="21"/>
      <c r="D1348" s="2"/>
      <c r="E1348" s="2"/>
      <c r="F1348" s="32"/>
      <c r="G1348" s="32"/>
      <c r="H1348" s="32"/>
      <c r="I1348" s="32"/>
      <c r="J1348" s="32"/>
      <c r="K1348" s="32"/>
      <c r="L1348" s="32"/>
      <c r="M1348" s="32"/>
      <c r="N1348" s="32"/>
      <c r="O1348" s="32"/>
      <c r="P1348" s="32"/>
      <c r="Q1348" s="32"/>
      <c r="R1348" s="32"/>
      <c r="S1348" s="25"/>
      <c r="T1348" s="22"/>
      <c r="U1348" s="12"/>
      <c r="V1348" s="12"/>
      <c r="W1348" s="12"/>
      <c r="X1348" s="12"/>
      <c r="Y1348" s="12"/>
      <c r="Z1348" s="12"/>
      <c r="AA1348" s="12"/>
      <c r="AB1348" s="12"/>
      <c r="AC1348" s="12"/>
      <c r="AD1348" s="12"/>
      <c r="AE1348" s="12"/>
      <c r="AF1348" s="12"/>
    </row>
    <row r="1349" spans="1:32" x14ac:dyDescent="0.35">
      <c r="B1349" s="21"/>
      <c r="D1349" s="2"/>
      <c r="E1349" s="2"/>
      <c r="F1349" s="32"/>
      <c r="G1349" s="32"/>
      <c r="H1349" s="32"/>
      <c r="I1349" s="32"/>
      <c r="J1349" s="32"/>
      <c r="K1349" s="32"/>
      <c r="L1349" s="32"/>
      <c r="M1349" s="32"/>
      <c r="N1349" s="32"/>
      <c r="O1349" s="32"/>
      <c r="P1349" s="32"/>
      <c r="Q1349" s="32"/>
      <c r="R1349" s="32"/>
      <c r="S1349" s="25"/>
      <c r="T1349" s="22"/>
      <c r="U1349" s="12"/>
      <c r="V1349" s="12"/>
      <c r="W1349" s="12"/>
      <c r="X1349" s="12"/>
      <c r="Y1349" s="12"/>
      <c r="Z1349" s="12"/>
      <c r="AA1349" s="12"/>
      <c r="AB1349" s="12"/>
      <c r="AC1349" s="12"/>
      <c r="AD1349" s="12"/>
      <c r="AE1349" s="12"/>
      <c r="AF1349" s="12"/>
    </row>
    <row r="1350" spans="1:32" x14ac:dyDescent="0.35">
      <c r="B1350" s="21"/>
      <c r="D1350" s="2"/>
      <c r="E1350" s="2"/>
      <c r="F1350" s="32"/>
      <c r="G1350" s="32"/>
      <c r="H1350" s="32"/>
      <c r="I1350" s="32"/>
      <c r="J1350" s="32"/>
      <c r="K1350" s="32"/>
      <c r="L1350" s="32"/>
      <c r="M1350" s="32"/>
      <c r="N1350" s="32"/>
      <c r="O1350" s="32"/>
      <c r="P1350" s="32"/>
      <c r="Q1350" s="32"/>
      <c r="R1350" s="32"/>
      <c r="S1350" s="25"/>
      <c r="T1350" s="22"/>
      <c r="U1350" s="12"/>
      <c r="V1350" s="12"/>
      <c r="W1350" s="12"/>
      <c r="X1350" s="12"/>
      <c r="Y1350" s="12"/>
      <c r="Z1350" s="12"/>
      <c r="AA1350" s="12"/>
      <c r="AB1350" s="12"/>
      <c r="AC1350" s="12"/>
      <c r="AD1350" s="12"/>
      <c r="AE1350" s="12"/>
      <c r="AF1350" s="12"/>
    </row>
    <row r="1351" spans="1:32" x14ac:dyDescent="0.35">
      <c r="B1351" s="21"/>
      <c r="D1351" s="2"/>
      <c r="E1351" s="2"/>
      <c r="F1351" s="32"/>
      <c r="G1351" s="32"/>
      <c r="H1351" s="32"/>
      <c r="I1351" s="32"/>
      <c r="J1351" s="32"/>
      <c r="K1351" s="32"/>
      <c r="L1351" s="32"/>
      <c r="M1351" s="32"/>
      <c r="N1351" s="32"/>
      <c r="O1351" s="32"/>
      <c r="P1351" s="32"/>
      <c r="Q1351" s="32"/>
      <c r="R1351" s="32"/>
      <c r="S1351" s="25"/>
      <c r="T1351" s="22"/>
      <c r="U1351" s="12"/>
      <c r="V1351" s="12"/>
      <c r="W1351" s="12"/>
      <c r="X1351" s="12"/>
      <c r="Y1351" s="12"/>
      <c r="Z1351" s="12"/>
      <c r="AA1351" s="12"/>
      <c r="AB1351" s="12"/>
      <c r="AC1351" s="12"/>
      <c r="AD1351" s="12"/>
      <c r="AE1351" s="12"/>
      <c r="AF1351" s="12"/>
    </row>
    <row r="1352" spans="1:32" x14ac:dyDescent="0.35">
      <c r="B1352" s="21"/>
      <c r="F1352" s="33"/>
      <c r="G1352" s="33"/>
      <c r="H1352" s="33"/>
      <c r="I1352" s="33"/>
      <c r="J1352" s="33"/>
      <c r="K1352" s="33"/>
      <c r="L1352" s="33"/>
      <c r="M1352" s="33"/>
      <c r="N1352" s="33"/>
      <c r="O1352" s="33"/>
      <c r="P1352" s="33"/>
      <c r="Q1352" s="33"/>
      <c r="R1352" s="33"/>
      <c r="S1352" s="25"/>
      <c r="T1352" s="22"/>
      <c r="U1352" s="12"/>
      <c r="V1352" s="12"/>
      <c r="W1352" s="12"/>
      <c r="X1352" s="12"/>
      <c r="Y1352" s="12"/>
      <c r="Z1352" s="12"/>
      <c r="AA1352" s="12"/>
      <c r="AB1352" s="12"/>
      <c r="AC1352" s="12"/>
      <c r="AD1352" s="12"/>
      <c r="AE1352" s="12"/>
      <c r="AF1352" s="12"/>
    </row>
    <row r="1353" spans="1:32" x14ac:dyDescent="0.35">
      <c r="A1353" s="21"/>
      <c r="B1353" s="21"/>
      <c r="D1353" s="2"/>
      <c r="E1353" s="2"/>
      <c r="F1353" s="32"/>
      <c r="G1353" s="32"/>
      <c r="H1353" s="32"/>
      <c r="I1353" s="32"/>
      <c r="J1353" s="32"/>
      <c r="K1353" s="32"/>
      <c r="L1353" s="32"/>
      <c r="M1353" s="32"/>
      <c r="N1353" s="32"/>
      <c r="O1353" s="32"/>
      <c r="P1353" s="32"/>
      <c r="Q1353" s="32"/>
      <c r="R1353" s="32"/>
      <c r="S1353" s="25"/>
      <c r="T1353" s="22"/>
      <c r="U1353" s="12"/>
      <c r="V1353" s="12"/>
      <c r="W1353" s="12"/>
      <c r="X1353" s="12"/>
      <c r="Y1353" s="12"/>
      <c r="Z1353" s="12"/>
      <c r="AA1353" s="12"/>
      <c r="AB1353" s="12"/>
      <c r="AC1353" s="12"/>
      <c r="AD1353" s="12"/>
      <c r="AE1353" s="12"/>
      <c r="AF1353" s="12"/>
    </row>
    <row r="1354" spans="1:32" x14ac:dyDescent="0.35">
      <c r="A1354" s="21"/>
      <c r="B1354" s="21"/>
      <c r="D1354" s="2"/>
      <c r="E1354" s="2"/>
      <c r="F1354" s="32"/>
      <c r="G1354" s="32"/>
      <c r="H1354" s="32"/>
      <c r="I1354" s="32"/>
      <c r="J1354" s="32"/>
      <c r="K1354" s="32"/>
      <c r="L1354" s="32"/>
      <c r="M1354" s="32"/>
      <c r="N1354" s="32"/>
      <c r="O1354" s="32"/>
      <c r="P1354" s="32"/>
      <c r="Q1354" s="32"/>
      <c r="R1354" s="32"/>
      <c r="S1354" s="25"/>
      <c r="T1354" s="14"/>
      <c r="U1354" s="12"/>
      <c r="V1354" s="12"/>
      <c r="W1354" s="12"/>
      <c r="X1354" s="12"/>
      <c r="Y1354" s="12"/>
      <c r="Z1354" s="12"/>
      <c r="AA1354" s="12"/>
      <c r="AB1354" s="12"/>
      <c r="AC1354" s="12"/>
      <c r="AD1354" s="12"/>
      <c r="AE1354" s="12"/>
      <c r="AF1354" s="12"/>
    </row>
    <row r="1355" spans="1:32" x14ac:dyDescent="0.35">
      <c r="A1355" s="21"/>
      <c r="B1355" s="21"/>
      <c r="D1355" s="2"/>
      <c r="E1355" s="2"/>
      <c r="F1355" s="32"/>
      <c r="G1355" s="32"/>
      <c r="H1355" s="32"/>
      <c r="I1355" s="32"/>
      <c r="J1355" s="32"/>
      <c r="K1355" s="32"/>
      <c r="L1355" s="32"/>
      <c r="M1355" s="32"/>
      <c r="N1355" s="32"/>
      <c r="O1355" s="32"/>
      <c r="P1355" s="32"/>
      <c r="Q1355" s="32"/>
      <c r="R1355" s="32"/>
      <c r="S1355" s="25"/>
      <c r="T1355" s="14"/>
      <c r="U1355" s="12"/>
      <c r="V1355" s="12"/>
      <c r="W1355" s="12"/>
      <c r="X1355" s="12"/>
      <c r="Y1355" s="12"/>
      <c r="Z1355" s="12"/>
      <c r="AA1355" s="12"/>
      <c r="AB1355" s="12"/>
      <c r="AC1355" s="12"/>
      <c r="AD1355" s="12"/>
      <c r="AE1355" s="12"/>
      <c r="AF1355" s="12"/>
    </row>
    <row r="1356" spans="1:32" x14ac:dyDescent="0.35">
      <c r="A1356" s="21"/>
      <c r="B1356" s="21"/>
      <c r="D1356" s="2"/>
      <c r="E1356" s="2"/>
      <c r="F1356" s="32"/>
      <c r="G1356" s="32"/>
      <c r="H1356" s="32"/>
      <c r="I1356" s="32"/>
      <c r="J1356" s="32"/>
      <c r="K1356" s="32"/>
      <c r="L1356" s="32"/>
      <c r="M1356" s="32"/>
      <c r="N1356" s="32"/>
      <c r="O1356" s="32"/>
      <c r="P1356" s="32"/>
      <c r="Q1356" s="32"/>
      <c r="R1356" s="32"/>
      <c r="S1356" s="25"/>
      <c r="T1356" s="14"/>
      <c r="U1356" s="12"/>
      <c r="V1356" s="12"/>
      <c r="W1356" s="12"/>
      <c r="X1356" s="12"/>
      <c r="Y1356" s="12"/>
      <c r="Z1356" s="12"/>
      <c r="AA1356" s="12"/>
      <c r="AB1356" s="12"/>
      <c r="AC1356" s="12"/>
      <c r="AD1356" s="12"/>
      <c r="AE1356" s="12"/>
      <c r="AF1356" s="12"/>
    </row>
    <row r="1357" spans="1:32" x14ac:dyDescent="0.35">
      <c r="A1357" s="21"/>
      <c r="B1357" s="21"/>
      <c r="D1357" s="2"/>
      <c r="E1357" s="2"/>
      <c r="F1357" s="32"/>
      <c r="G1357" s="32"/>
      <c r="H1357" s="32"/>
      <c r="I1357" s="32"/>
      <c r="J1357" s="32"/>
      <c r="K1357" s="32"/>
      <c r="L1357" s="32"/>
      <c r="M1357" s="32"/>
      <c r="N1357" s="32"/>
      <c r="O1357" s="32"/>
      <c r="P1357" s="32"/>
      <c r="Q1357" s="32"/>
      <c r="R1357" s="32"/>
      <c r="S1357" s="25"/>
      <c r="T1357" s="14"/>
      <c r="U1357" s="12"/>
      <c r="V1357" s="12"/>
      <c r="W1357" s="12"/>
      <c r="X1357" s="12"/>
      <c r="Y1357" s="12"/>
      <c r="Z1357" s="12"/>
      <c r="AA1357" s="12"/>
      <c r="AB1357" s="12"/>
      <c r="AC1357" s="12"/>
      <c r="AD1357" s="12"/>
      <c r="AE1357" s="12"/>
      <c r="AF1357" s="12"/>
    </row>
    <row r="1358" spans="1:32" x14ac:dyDescent="0.35">
      <c r="A1358" s="21"/>
      <c r="B1358" s="21"/>
      <c r="D1358" s="2"/>
      <c r="E1358" s="2"/>
      <c r="F1358" s="32"/>
      <c r="G1358" s="32"/>
      <c r="H1358" s="32"/>
      <c r="I1358" s="32"/>
      <c r="J1358" s="32"/>
      <c r="K1358" s="32"/>
      <c r="L1358" s="32"/>
      <c r="M1358" s="32"/>
      <c r="N1358" s="32"/>
      <c r="O1358" s="32"/>
      <c r="P1358" s="32"/>
      <c r="Q1358" s="32"/>
      <c r="R1358" s="32"/>
      <c r="S1358" s="25"/>
      <c r="T1358" s="14"/>
      <c r="U1358" s="12"/>
      <c r="V1358" s="12"/>
      <c r="W1358" s="12"/>
      <c r="X1358" s="12"/>
      <c r="Y1358" s="12"/>
      <c r="Z1358" s="12"/>
      <c r="AA1358" s="12"/>
      <c r="AB1358" s="12"/>
      <c r="AC1358" s="12"/>
      <c r="AD1358" s="12"/>
      <c r="AE1358" s="12"/>
      <c r="AF1358" s="12"/>
    </row>
    <row r="1359" spans="1:32" x14ac:dyDescent="0.35">
      <c r="A1359" s="21"/>
      <c r="B1359" s="21"/>
      <c r="D1359" s="2"/>
      <c r="E1359" s="2"/>
      <c r="F1359" s="32"/>
      <c r="G1359" s="32"/>
      <c r="H1359" s="32"/>
      <c r="I1359" s="32"/>
      <c r="J1359" s="32"/>
      <c r="K1359" s="32"/>
      <c r="L1359" s="32"/>
      <c r="M1359" s="32"/>
      <c r="N1359" s="32"/>
      <c r="O1359" s="32"/>
      <c r="P1359" s="32"/>
      <c r="Q1359" s="32"/>
      <c r="R1359" s="32"/>
      <c r="S1359" s="25"/>
      <c r="T1359" s="14"/>
      <c r="U1359" s="12"/>
      <c r="V1359" s="12"/>
      <c r="W1359" s="12"/>
      <c r="X1359" s="12"/>
      <c r="Y1359" s="12"/>
      <c r="Z1359" s="12"/>
      <c r="AA1359" s="12"/>
      <c r="AB1359" s="12"/>
      <c r="AC1359" s="12"/>
      <c r="AD1359" s="12"/>
      <c r="AE1359" s="12"/>
      <c r="AF1359" s="12"/>
    </row>
    <row r="1360" spans="1:32" x14ac:dyDescent="0.35">
      <c r="A1360" s="21"/>
      <c r="B1360" s="21"/>
      <c r="F1360" s="33"/>
      <c r="G1360" s="33"/>
      <c r="H1360" s="33"/>
      <c r="I1360" s="33"/>
      <c r="J1360" s="33"/>
      <c r="K1360" s="33"/>
      <c r="L1360" s="33"/>
      <c r="M1360" s="33"/>
      <c r="N1360" s="33"/>
      <c r="O1360" s="33"/>
      <c r="P1360" s="33"/>
      <c r="Q1360" s="33"/>
      <c r="R1360" s="33"/>
      <c r="S1360" s="25"/>
      <c r="T1360" s="14"/>
      <c r="U1360" s="12"/>
      <c r="V1360" s="12"/>
      <c r="W1360" s="12"/>
      <c r="X1360" s="12"/>
      <c r="Y1360" s="12"/>
      <c r="Z1360" s="12"/>
      <c r="AA1360" s="12"/>
      <c r="AB1360" s="12"/>
      <c r="AC1360" s="12"/>
      <c r="AD1360" s="12"/>
      <c r="AE1360" s="12"/>
      <c r="AF1360" s="12"/>
    </row>
    <row r="1361" spans="2:32" x14ac:dyDescent="0.35">
      <c r="B1361" s="21"/>
      <c r="D1361" s="2"/>
      <c r="E1361" s="2"/>
      <c r="F1361" s="32"/>
      <c r="G1361" s="32"/>
      <c r="H1361" s="32"/>
      <c r="I1361" s="32"/>
      <c r="J1361" s="32"/>
      <c r="K1361" s="32"/>
      <c r="L1361" s="32"/>
      <c r="M1361" s="32"/>
      <c r="N1361" s="32"/>
      <c r="O1361" s="32"/>
      <c r="P1361" s="32"/>
      <c r="Q1361" s="32"/>
      <c r="R1361" s="32"/>
      <c r="S1361" s="25"/>
      <c r="T1361" s="22"/>
      <c r="U1361" s="12"/>
      <c r="V1361" s="12"/>
      <c r="W1361" s="12"/>
      <c r="X1361" s="12"/>
      <c r="Y1361" s="12"/>
      <c r="Z1361" s="12"/>
      <c r="AA1361" s="12"/>
      <c r="AB1361" s="12"/>
      <c r="AC1361" s="12"/>
      <c r="AD1361" s="12"/>
      <c r="AE1361" s="12"/>
      <c r="AF1361" s="12"/>
    </row>
    <row r="1362" spans="2:32" x14ac:dyDescent="0.35">
      <c r="B1362" s="21"/>
      <c r="D1362" s="2"/>
      <c r="E1362" s="2"/>
      <c r="F1362" s="32"/>
      <c r="G1362" s="32"/>
      <c r="H1362" s="32"/>
      <c r="I1362" s="32"/>
      <c r="J1362" s="32"/>
      <c r="K1362" s="32"/>
      <c r="L1362" s="32"/>
      <c r="M1362" s="32"/>
      <c r="N1362" s="32"/>
      <c r="O1362" s="32"/>
      <c r="P1362" s="32"/>
      <c r="Q1362" s="32"/>
      <c r="R1362" s="32"/>
      <c r="S1362" s="25"/>
      <c r="T1362" s="22"/>
      <c r="U1362" s="12"/>
      <c r="V1362" s="12"/>
      <c r="W1362" s="12"/>
      <c r="X1362" s="12"/>
      <c r="Y1362" s="12"/>
      <c r="Z1362" s="12"/>
      <c r="AA1362" s="12"/>
      <c r="AB1362" s="12"/>
      <c r="AC1362" s="12"/>
      <c r="AD1362" s="12"/>
      <c r="AE1362" s="12"/>
      <c r="AF1362" s="12"/>
    </row>
    <row r="1363" spans="2:32" x14ac:dyDescent="0.35">
      <c r="B1363" s="21"/>
      <c r="D1363" s="2"/>
      <c r="E1363" s="2"/>
      <c r="F1363" s="32"/>
      <c r="G1363" s="32"/>
      <c r="H1363" s="32"/>
      <c r="I1363" s="32"/>
      <c r="J1363" s="32"/>
      <c r="K1363" s="32"/>
      <c r="L1363" s="32"/>
      <c r="M1363" s="32"/>
      <c r="N1363" s="32"/>
      <c r="O1363" s="32"/>
      <c r="P1363" s="32"/>
      <c r="Q1363" s="32"/>
      <c r="R1363" s="32"/>
      <c r="S1363" s="25"/>
      <c r="T1363" s="22"/>
      <c r="U1363" s="12"/>
      <c r="V1363" s="12"/>
      <c r="W1363" s="12"/>
      <c r="X1363" s="12"/>
      <c r="Y1363" s="12"/>
      <c r="Z1363" s="12"/>
      <c r="AA1363" s="12"/>
      <c r="AB1363" s="12"/>
      <c r="AC1363" s="12"/>
      <c r="AD1363" s="12"/>
      <c r="AE1363" s="12"/>
      <c r="AF1363" s="12"/>
    </row>
    <row r="1364" spans="2:32" x14ac:dyDescent="0.35">
      <c r="B1364" s="21"/>
      <c r="D1364" s="2"/>
      <c r="E1364" s="2"/>
      <c r="F1364" s="32"/>
      <c r="G1364" s="32"/>
      <c r="H1364" s="32"/>
      <c r="I1364" s="32"/>
      <c r="J1364" s="32"/>
      <c r="K1364" s="32"/>
      <c r="L1364" s="32"/>
      <c r="M1364" s="32"/>
      <c r="N1364" s="32"/>
      <c r="O1364" s="32"/>
      <c r="P1364" s="32"/>
      <c r="Q1364" s="32"/>
      <c r="R1364" s="32"/>
      <c r="S1364" s="25"/>
      <c r="T1364" s="22"/>
      <c r="U1364" s="12"/>
      <c r="V1364" s="12"/>
      <c r="W1364" s="12"/>
      <c r="X1364" s="12"/>
      <c r="Y1364" s="12"/>
      <c r="Z1364" s="12"/>
      <c r="AA1364" s="12"/>
      <c r="AB1364" s="12"/>
      <c r="AC1364" s="12"/>
      <c r="AD1364" s="12"/>
      <c r="AE1364" s="12"/>
      <c r="AF1364" s="12"/>
    </row>
    <row r="1365" spans="2:32" x14ac:dyDescent="0.35">
      <c r="B1365" s="21"/>
      <c r="D1365" s="2"/>
      <c r="E1365" s="2"/>
      <c r="F1365" s="32"/>
      <c r="G1365" s="32"/>
      <c r="H1365" s="32"/>
      <c r="I1365" s="32"/>
      <c r="J1365" s="32"/>
      <c r="K1365" s="32"/>
      <c r="L1365" s="32"/>
      <c r="M1365" s="32"/>
      <c r="N1365" s="32"/>
      <c r="O1365" s="32"/>
      <c r="P1365" s="32"/>
      <c r="Q1365" s="32"/>
      <c r="R1365" s="32"/>
      <c r="S1365" s="25"/>
      <c r="T1365" s="22"/>
      <c r="U1365" s="12"/>
      <c r="V1365" s="12"/>
      <c r="W1365" s="12"/>
      <c r="X1365" s="12"/>
      <c r="Y1365" s="12"/>
      <c r="Z1365" s="12"/>
      <c r="AA1365" s="12"/>
      <c r="AB1365" s="12"/>
      <c r="AC1365" s="12"/>
      <c r="AD1365" s="12"/>
      <c r="AE1365" s="12"/>
      <c r="AF1365" s="12"/>
    </row>
    <row r="1366" spans="2:32" x14ac:dyDescent="0.35">
      <c r="B1366" s="21"/>
      <c r="D1366" s="2"/>
      <c r="E1366" s="2"/>
      <c r="F1366" s="32"/>
      <c r="G1366" s="32"/>
      <c r="H1366" s="32"/>
      <c r="I1366" s="32"/>
      <c r="J1366" s="32"/>
      <c r="K1366" s="32"/>
      <c r="L1366" s="32"/>
      <c r="M1366" s="32"/>
      <c r="N1366" s="32"/>
      <c r="O1366" s="32"/>
      <c r="P1366" s="32"/>
      <c r="Q1366" s="32"/>
      <c r="R1366" s="32"/>
      <c r="S1366" s="25"/>
      <c r="T1366" s="22"/>
      <c r="U1366" s="12"/>
      <c r="V1366" s="12"/>
      <c r="W1366" s="12"/>
      <c r="X1366" s="12"/>
      <c r="Y1366" s="12"/>
      <c r="Z1366" s="12"/>
      <c r="AA1366" s="12"/>
      <c r="AB1366" s="12"/>
      <c r="AC1366" s="12"/>
      <c r="AD1366" s="12"/>
      <c r="AE1366" s="12"/>
      <c r="AF1366" s="12"/>
    </row>
    <row r="1367" spans="2:32" x14ac:dyDescent="0.35">
      <c r="B1367" s="21"/>
      <c r="D1367" s="2"/>
      <c r="E1367" s="2"/>
      <c r="F1367" s="32"/>
      <c r="G1367" s="32"/>
      <c r="H1367" s="32"/>
      <c r="I1367" s="32"/>
      <c r="J1367" s="32"/>
      <c r="K1367" s="32"/>
      <c r="L1367" s="32"/>
      <c r="M1367" s="32"/>
      <c r="N1367" s="32"/>
      <c r="O1367" s="32"/>
      <c r="P1367" s="32"/>
      <c r="Q1367" s="32"/>
      <c r="R1367" s="32"/>
      <c r="S1367" s="25"/>
      <c r="T1367" s="22"/>
      <c r="U1367" s="12"/>
      <c r="V1367" s="12"/>
      <c r="W1367" s="12"/>
      <c r="X1367" s="12"/>
      <c r="Y1367" s="12"/>
      <c r="Z1367" s="12"/>
      <c r="AA1367" s="12"/>
      <c r="AB1367" s="12"/>
      <c r="AC1367" s="12"/>
      <c r="AD1367" s="12"/>
      <c r="AE1367" s="12"/>
      <c r="AF1367" s="12"/>
    </row>
    <row r="1368" spans="2:32" x14ac:dyDescent="0.35">
      <c r="B1368" s="21"/>
      <c r="F1368" s="33"/>
      <c r="G1368" s="33"/>
      <c r="H1368" s="33"/>
      <c r="I1368" s="33"/>
      <c r="J1368" s="33"/>
      <c r="K1368" s="33"/>
      <c r="L1368" s="33"/>
      <c r="M1368" s="33"/>
      <c r="N1368" s="33"/>
      <c r="O1368" s="33"/>
      <c r="P1368" s="33"/>
      <c r="Q1368" s="33"/>
      <c r="R1368" s="33"/>
      <c r="S1368" s="25"/>
      <c r="T1368" s="22"/>
      <c r="U1368" s="12"/>
      <c r="V1368" s="12"/>
      <c r="W1368" s="12"/>
      <c r="X1368" s="12"/>
      <c r="Y1368" s="12"/>
      <c r="Z1368" s="12"/>
      <c r="AA1368" s="12"/>
      <c r="AB1368" s="12"/>
      <c r="AC1368" s="12"/>
      <c r="AD1368" s="12"/>
      <c r="AE1368" s="12"/>
      <c r="AF1368" s="12"/>
    </row>
    <row r="1369" spans="2:32" x14ac:dyDescent="0.35">
      <c r="B1369" s="21"/>
      <c r="D1369" s="2"/>
      <c r="E1369" s="2"/>
      <c r="F1369" s="32"/>
      <c r="G1369" s="32"/>
      <c r="H1369" s="32"/>
      <c r="I1369" s="32"/>
      <c r="J1369" s="32"/>
      <c r="K1369" s="32"/>
      <c r="L1369" s="32"/>
      <c r="M1369" s="32"/>
      <c r="N1369" s="32"/>
      <c r="O1369" s="32"/>
      <c r="P1369" s="32"/>
      <c r="Q1369" s="32"/>
      <c r="R1369" s="32"/>
      <c r="S1369" s="25"/>
      <c r="T1369" s="22"/>
      <c r="U1369" s="12"/>
      <c r="V1369" s="12"/>
      <c r="W1369" s="12"/>
      <c r="X1369" s="12"/>
      <c r="Y1369" s="12"/>
      <c r="Z1369" s="12"/>
      <c r="AA1369" s="12"/>
      <c r="AB1369" s="12"/>
      <c r="AC1369" s="12"/>
      <c r="AD1369" s="12"/>
      <c r="AE1369" s="12"/>
      <c r="AF1369" s="12"/>
    </row>
    <row r="1370" spans="2:32" x14ac:dyDescent="0.35">
      <c r="B1370" s="21"/>
      <c r="D1370" s="2"/>
      <c r="E1370" s="2"/>
      <c r="F1370" s="32"/>
      <c r="G1370" s="32"/>
      <c r="H1370" s="32"/>
      <c r="I1370" s="32"/>
      <c r="J1370" s="32"/>
      <c r="K1370" s="32"/>
      <c r="L1370" s="32"/>
      <c r="M1370" s="32"/>
      <c r="N1370" s="32"/>
      <c r="O1370" s="32"/>
      <c r="P1370" s="32"/>
      <c r="Q1370" s="32"/>
      <c r="R1370" s="32"/>
      <c r="S1370" s="25"/>
      <c r="T1370" s="14"/>
      <c r="U1370" s="12"/>
      <c r="V1370" s="12"/>
      <c r="W1370" s="12"/>
      <c r="X1370" s="12"/>
      <c r="Y1370" s="12"/>
      <c r="Z1370" s="12"/>
      <c r="AA1370" s="12"/>
      <c r="AB1370" s="12"/>
      <c r="AC1370" s="12"/>
      <c r="AD1370" s="12"/>
      <c r="AE1370" s="12"/>
      <c r="AF1370" s="12"/>
    </row>
    <row r="1371" spans="2:32" x14ac:dyDescent="0.35">
      <c r="B1371" s="21"/>
      <c r="D1371" s="2"/>
      <c r="E1371" s="2"/>
      <c r="F1371" s="32"/>
      <c r="G1371" s="32"/>
      <c r="H1371" s="32"/>
      <c r="I1371" s="32"/>
      <c r="J1371" s="32"/>
      <c r="K1371" s="32"/>
      <c r="L1371" s="32"/>
      <c r="M1371" s="32"/>
      <c r="N1371" s="32"/>
      <c r="O1371" s="32"/>
      <c r="P1371" s="32"/>
      <c r="Q1371" s="32"/>
      <c r="R1371" s="32"/>
      <c r="S1371" s="25"/>
      <c r="T1371" s="14"/>
      <c r="U1371" s="12"/>
      <c r="V1371" s="12"/>
      <c r="W1371" s="12"/>
      <c r="X1371" s="12"/>
      <c r="Y1371" s="12"/>
      <c r="Z1371" s="12"/>
      <c r="AA1371" s="12"/>
      <c r="AB1371" s="12"/>
      <c r="AC1371" s="12"/>
      <c r="AD1371" s="12"/>
      <c r="AE1371" s="12"/>
      <c r="AF1371" s="12"/>
    </row>
    <row r="1372" spans="2:32" x14ac:dyDescent="0.35">
      <c r="B1372" s="21"/>
      <c r="D1372" s="2"/>
      <c r="E1372" s="2"/>
      <c r="F1372" s="32"/>
      <c r="G1372" s="32"/>
      <c r="H1372" s="32"/>
      <c r="I1372" s="32"/>
      <c r="J1372" s="32"/>
      <c r="K1372" s="32"/>
      <c r="L1372" s="32"/>
      <c r="M1372" s="32"/>
      <c r="N1372" s="32"/>
      <c r="O1372" s="32"/>
      <c r="P1372" s="32"/>
      <c r="Q1372" s="32"/>
      <c r="R1372" s="32"/>
      <c r="S1372" s="25"/>
      <c r="T1372" s="14"/>
      <c r="U1372" s="12"/>
      <c r="V1372" s="12"/>
      <c r="W1372" s="12"/>
      <c r="X1372" s="12"/>
      <c r="Y1372" s="12"/>
      <c r="Z1372" s="12"/>
      <c r="AA1372" s="12"/>
      <c r="AB1372" s="12"/>
      <c r="AC1372" s="12"/>
      <c r="AD1372" s="12"/>
      <c r="AE1372" s="12"/>
      <c r="AF1372" s="12"/>
    </row>
    <row r="1373" spans="2:32" x14ac:dyDescent="0.35">
      <c r="B1373" s="21"/>
      <c r="D1373" s="2"/>
      <c r="E1373" s="2"/>
      <c r="F1373" s="32"/>
      <c r="G1373" s="32"/>
      <c r="H1373" s="32"/>
      <c r="I1373" s="32"/>
      <c r="J1373" s="32"/>
      <c r="K1373" s="32"/>
      <c r="L1373" s="32"/>
      <c r="M1373" s="32"/>
      <c r="N1373" s="32"/>
      <c r="O1373" s="32"/>
      <c r="P1373" s="32"/>
      <c r="Q1373" s="32"/>
      <c r="R1373" s="32"/>
      <c r="S1373" s="25"/>
      <c r="T1373" s="14"/>
      <c r="U1373" s="12"/>
      <c r="V1373" s="12"/>
      <c r="W1373" s="12"/>
      <c r="X1373" s="12"/>
      <c r="Y1373" s="12"/>
      <c r="Z1373" s="12"/>
      <c r="AA1373" s="12"/>
      <c r="AB1373" s="12"/>
      <c r="AC1373" s="12"/>
      <c r="AD1373" s="12"/>
      <c r="AE1373" s="12"/>
      <c r="AF1373" s="12"/>
    </row>
    <row r="1374" spans="2:32" x14ac:dyDescent="0.35">
      <c r="B1374" s="21"/>
      <c r="D1374" s="2"/>
      <c r="E1374" s="2"/>
      <c r="F1374" s="32"/>
      <c r="G1374" s="32"/>
      <c r="H1374" s="32"/>
      <c r="I1374" s="32"/>
      <c r="J1374" s="32"/>
      <c r="K1374" s="32"/>
      <c r="L1374" s="32"/>
      <c r="M1374" s="32"/>
      <c r="N1374" s="32"/>
      <c r="O1374" s="32"/>
      <c r="P1374" s="32"/>
      <c r="Q1374" s="32"/>
      <c r="R1374" s="32"/>
      <c r="S1374" s="25"/>
      <c r="T1374" s="14"/>
      <c r="U1374" s="12"/>
      <c r="V1374" s="12"/>
      <c r="W1374" s="12"/>
      <c r="X1374" s="12"/>
      <c r="Y1374" s="12"/>
      <c r="Z1374" s="12"/>
      <c r="AA1374" s="12"/>
      <c r="AB1374" s="12"/>
      <c r="AC1374" s="12"/>
      <c r="AD1374" s="12"/>
      <c r="AE1374" s="12"/>
      <c r="AF1374" s="12"/>
    </row>
    <row r="1375" spans="2:32" x14ac:dyDescent="0.35">
      <c r="B1375" s="21"/>
      <c r="D1375" s="2"/>
      <c r="E1375" s="2"/>
      <c r="F1375" s="32"/>
      <c r="G1375" s="32"/>
      <c r="H1375" s="32"/>
      <c r="I1375" s="32"/>
      <c r="J1375" s="32"/>
      <c r="K1375" s="32"/>
      <c r="L1375" s="32"/>
      <c r="M1375" s="32"/>
      <c r="N1375" s="32"/>
      <c r="O1375" s="32"/>
      <c r="P1375" s="32"/>
      <c r="Q1375" s="32"/>
      <c r="R1375" s="32"/>
      <c r="S1375" s="25"/>
      <c r="T1375" s="14"/>
      <c r="U1375" s="12"/>
      <c r="V1375" s="12"/>
      <c r="W1375" s="12"/>
      <c r="X1375" s="12"/>
      <c r="Y1375" s="12"/>
      <c r="Z1375" s="12"/>
      <c r="AA1375" s="12"/>
      <c r="AB1375" s="12"/>
      <c r="AC1375" s="12"/>
      <c r="AD1375" s="12"/>
      <c r="AE1375" s="12"/>
      <c r="AF1375" s="12"/>
    </row>
    <row r="1376" spans="2:32" x14ac:dyDescent="0.35">
      <c r="B1376" s="21"/>
      <c r="F1376" s="33"/>
      <c r="G1376" s="33"/>
      <c r="H1376" s="33"/>
      <c r="I1376" s="33"/>
      <c r="J1376" s="33"/>
      <c r="K1376" s="33"/>
      <c r="L1376" s="33"/>
      <c r="M1376" s="33"/>
      <c r="N1376" s="33"/>
      <c r="O1376" s="33"/>
      <c r="P1376" s="33"/>
      <c r="Q1376" s="33"/>
      <c r="R1376" s="33"/>
      <c r="S1376" s="25"/>
      <c r="T1376" s="14"/>
      <c r="U1376" s="12"/>
      <c r="V1376" s="12"/>
      <c r="W1376" s="12"/>
      <c r="X1376" s="12"/>
      <c r="Y1376" s="12"/>
      <c r="Z1376" s="12"/>
      <c r="AA1376" s="12"/>
      <c r="AB1376" s="12"/>
      <c r="AC1376" s="12"/>
      <c r="AD1376" s="12"/>
      <c r="AE1376" s="12"/>
      <c r="AF1376" s="12"/>
    </row>
    <row r="1377" spans="2:32" x14ac:dyDescent="0.35">
      <c r="B1377" s="21"/>
      <c r="D1377" s="2"/>
      <c r="E1377" s="2"/>
      <c r="F1377" s="32"/>
      <c r="G1377" s="32"/>
      <c r="H1377" s="32"/>
      <c r="I1377" s="32"/>
      <c r="J1377" s="32"/>
      <c r="K1377" s="32"/>
      <c r="L1377" s="32"/>
      <c r="M1377" s="32"/>
      <c r="N1377" s="32"/>
      <c r="O1377" s="32"/>
      <c r="P1377" s="32"/>
      <c r="Q1377" s="32"/>
      <c r="R1377" s="32"/>
      <c r="S1377" s="25"/>
      <c r="T1377" s="14"/>
      <c r="U1377" s="12"/>
      <c r="V1377" s="12"/>
      <c r="W1377" s="12"/>
      <c r="X1377" s="12"/>
      <c r="Y1377" s="12"/>
      <c r="Z1377" s="12"/>
      <c r="AA1377" s="12"/>
      <c r="AB1377" s="12"/>
      <c r="AC1377" s="12"/>
      <c r="AD1377" s="12"/>
      <c r="AE1377" s="12"/>
      <c r="AF1377" s="12"/>
    </row>
    <row r="1378" spans="2:32" x14ac:dyDescent="0.35">
      <c r="B1378" s="21"/>
      <c r="D1378" s="2"/>
      <c r="E1378" s="2"/>
      <c r="F1378" s="32"/>
      <c r="G1378" s="32"/>
      <c r="H1378" s="32"/>
      <c r="I1378" s="32"/>
      <c r="J1378" s="32"/>
      <c r="K1378" s="32"/>
      <c r="L1378" s="32"/>
      <c r="M1378" s="32"/>
      <c r="N1378" s="32"/>
      <c r="O1378" s="32"/>
      <c r="P1378" s="32"/>
      <c r="Q1378" s="32"/>
      <c r="R1378" s="32"/>
      <c r="S1378" s="25"/>
      <c r="T1378" s="14"/>
      <c r="U1378" s="12"/>
      <c r="V1378" s="12"/>
      <c r="W1378" s="12"/>
      <c r="X1378" s="12"/>
      <c r="Y1378" s="12"/>
      <c r="Z1378" s="12"/>
      <c r="AA1378" s="12"/>
      <c r="AB1378" s="12"/>
      <c r="AC1378" s="12"/>
      <c r="AD1378" s="12"/>
      <c r="AE1378" s="12"/>
      <c r="AF1378" s="12"/>
    </row>
    <row r="1379" spans="2:32" x14ac:dyDescent="0.35">
      <c r="B1379" s="21"/>
      <c r="D1379" s="2"/>
      <c r="E1379" s="2"/>
      <c r="F1379" s="32"/>
      <c r="G1379" s="32"/>
      <c r="H1379" s="32"/>
      <c r="I1379" s="32"/>
      <c r="J1379" s="32"/>
      <c r="K1379" s="32"/>
      <c r="L1379" s="32"/>
      <c r="M1379" s="32"/>
      <c r="N1379" s="32"/>
      <c r="O1379" s="32"/>
      <c r="P1379" s="32"/>
      <c r="Q1379" s="32"/>
      <c r="R1379" s="32"/>
      <c r="S1379" s="25"/>
      <c r="T1379" s="14"/>
      <c r="U1379" s="12"/>
      <c r="V1379" s="12"/>
      <c r="W1379" s="12"/>
      <c r="X1379" s="12"/>
      <c r="Y1379" s="12"/>
      <c r="Z1379" s="12"/>
      <c r="AA1379" s="12"/>
      <c r="AB1379" s="12"/>
      <c r="AC1379" s="12"/>
      <c r="AD1379" s="12"/>
      <c r="AE1379" s="12"/>
      <c r="AF1379" s="12"/>
    </row>
    <row r="1380" spans="2:32" x14ac:dyDescent="0.35">
      <c r="B1380" s="21"/>
      <c r="D1380" s="2"/>
      <c r="E1380" s="2"/>
      <c r="F1380" s="32"/>
      <c r="G1380" s="32"/>
      <c r="H1380" s="32"/>
      <c r="I1380" s="32"/>
      <c r="J1380" s="32"/>
      <c r="K1380" s="32"/>
      <c r="L1380" s="32"/>
      <c r="M1380" s="32"/>
      <c r="N1380" s="32"/>
      <c r="O1380" s="32"/>
      <c r="P1380" s="32"/>
      <c r="Q1380" s="32"/>
      <c r="R1380" s="32"/>
      <c r="S1380" s="25"/>
      <c r="T1380" s="14"/>
      <c r="U1380" s="12"/>
      <c r="V1380" s="12"/>
      <c r="W1380" s="12"/>
      <c r="X1380" s="12"/>
      <c r="Y1380" s="12"/>
      <c r="Z1380" s="12"/>
      <c r="AA1380" s="12"/>
      <c r="AB1380" s="12"/>
      <c r="AC1380" s="12"/>
      <c r="AD1380" s="12"/>
      <c r="AE1380" s="12"/>
      <c r="AF1380" s="12"/>
    </row>
    <row r="1381" spans="2:32" x14ac:dyDescent="0.35">
      <c r="B1381" s="21"/>
      <c r="D1381" s="2"/>
      <c r="E1381" s="2"/>
      <c r="F1381" s="32"/>
      <c r="G1381" s="32"/>
      <c r="H1381" s="32"/>
      <c r="I1381" s="32"/>
      <c r="J1381" s="32"/>
      <c r="K1381" s="32"/>
      <c r="L1381" s="32"/>
      <c r="M1381" s="32"/>
      <c r="N1381" s="32"/>
      <c r="O1381" s="32"/>
      <c r="P1381" s="32"/>
      <c r="Q1381" s="32"/>
      <c r="R1381" s="32"/>
      <c r="S1381" s="25"/>
      <c r="T1381" s="14"/>
      <c r="U1381" s="12"/>
      <c r="V1381" s="12"/>
      <c r="W1381" s="12"/>
      <c r="X1381" s="12"/>
      <c r="Y1381" s="12"/>
      <c r="Z1381" s="12"/>
      <c r="AA1381" s="12"/>
      <c r="AB1381" s="12"/>
      <c r="AC1381" s="12"/>
      <c r="AD1381" s="12"/>
      <c r="AE1381" s="12"/>
      <c r="AF1381" s="12"/>
    </row>
    <row r="1382" spans="2:32" x14ac:dyDescent="0.35">
      <c r="B1382" s="21"/>
      <c r="D1382" s="2"/>
      <c r="E1382" s="2"/>
      <c r="F1382" s="32"/>
      <c r="G1382" s="32"/>
      <c r="H1382" s="32"/>
      <c r="I1382" s="32"/>
      <c r="J1382" s="32"/>
      <c r="K1382" s="32"/>
      <c r="L1382" s="32"/>
      <c r="M1382" s="32"/>
      <c r="N1382" s="32"/>
      <c r="O1382" s="32"/>
      <c r="P1382" s="32"/>
      <c r="Q1382" s="32"/>
      <c r="R1382" s="32"/>
      <c r="S1382" s="25"/>
      <c r="T1382" s="14"/>
      <c r="U1382" s="12"/>
      <c r="V1382" s="12"/>
      <c r="W1382" s="12"/>
      <c r="X1382" s="12"/>
      <c r="Y1382" s="12"/>
      <c r="Z1382" s="12"/>
      <c r="AA1382" s="12"/>
      <c r="AB1382" s="12"/>
      <c r="AC1382" s="12"/>
      <c r="AD1382" s="12"/>
      <c r="AE1382" s="12"/>
      <c r="AF1382" s="12"/>
    </row>
    <row r="1383" spans="2:32" x14ac:dyDescent="0.35">
      <c r="B1383" s="21"/>
      <c r="D1383" s="2"/>
      <c r="E1383" s="2"/>
      <c r="F1383" s="32"/>
      <c r="G1383" s="32"/>
      <c r="H1383" s="32"/>
      <c r="I1383" s="32"/>
      <c r="J1383" s="32"/>
      <c r="K1383" s="32"/>
      <c r="L1383" s="32"/>
      <c r="M1383" s="32"/>
      <c r="N1383" s="32"/>
      <c r="O1383" s="32"/>
      <c r="P1383" s="32"/>
      <c r="Q1383" s="32"/>
      <c r="R1383" s="32"/>
      <c r="S1383" s="25"/>
      <c r="T1383" s="14"/>
      <c r="U1383" s="12"/>
      <c r="V1383" s="12"/>
      <c r="W1383" s="12"/>
      <c r="X1383" s="12"/>
      <c r="Y1383" s="12"/>
      <c r="Z1383" s="12"/>
      <c r="AA1383" s="12"/>
      <c r="AB1383" s="12"/>
      <c r="AC1383" s="12"/>
      <c r="AD1383" s="12"/>
      <c r="AE1383" s="12"/>
      <c r="AF1383" s="12"/>
    </row>
    <row r="1384" spans="2:32" x14ac:dyDescent="0.35">
      <c r="B1384" s="21"/>
      <c r="F1384" s="33"/>
      <c r="G1384" s="33"/>
      <c r="H1384" s="33"/>
      <c r="I1384" s="33"/>
      <c r="J1384" s="33"/>
      <c r="K1384" s="33"/>
      <c r="L1384" s="33"/>
      <c r="M1384" s="33"/>
      <c r="N1384" s="33"/>
      <c r="O1384" s="33"/>
      <c r="P1384" s="33"/>
      <c r="Q1384" s="33"/>
      <c r="R1384" s="33"/>
      <c r="S1384" s="25"/>
      <c r="T1384" s="14"/>
      <c r="U1384" s="12"/>
      <c r="V1384" s="12"/>
      <c r="W1384" s="12"/>
      <c r="X1384" s="12"/>
      <c r="Y1384" s="12"/>
      <c r="Z1384" s="12"/>
      <c r="AA1384" s="12"/>
      <c r="AB1384" s="12"/>
      <c r="AC1384" s="12"/>
      <c r="AD1384" s="12"/>
      <c r="AE1384" s="12"/>
      <c r="AF1384" s="12"/>
    </row>
    <row r="1385" spans="2:32" x14ac:dyDescent="0.35">
      <c r="B1385" s="21"/>
      <c r="D1385" s="2"/>
      <c r="E1385" s="2"/>
      <c r="F1385" s="32"/>
      <c r="G1385" s="32"/>
      <c r="H1385" s="32"/>
      <c r="I1385" s="32"/>
      <c r="J1385" s="32"/>
      <c r="K1385" s="32"/>
      <c r="L1385" s="32"/>
      <c r="M1385" s="32"/>
      <c r="N1385" s="32"/>
      <c r="O1385" s="32"/>
      <c r="P1385" s="32"/>
      <c r="Q1385" s="32"/>
      <c r="R1385" s="32"/>
      <c r="S1385" s="25"/>
      <c r="T1385" s="22"/>
      <c r="U1385" s="12"/>
      <c r="V1385" s="12"/>
      <c r="W1385" s="12"/>
      <c r="X1385" s="12"/>
      <c r="Y1385" s="12"/>
      <c r="Z1385" s="12"/>
      <c r="AA1385" s="12"/>
      <c r="AB1385" s="12"/>
      <c r="AC1385" s="12"/>
      <c r="AD1385" s="12"/>
      <c r="AE1385" s="12"/>
      <c r="AF1385" s="12"/>
    </row>
    <row r="1386" spans="2:32" x14ac:dyDescent="0.35">
      <c r="B1386" s="21"/>
      <c r="D1386" s="2"/>
      <c r="E1386" s="2"/>
      <c r="F1386" s="32"/>
      <c r="G1386" s="32"/>
      <c r="H1386" s="32"/>
      <c r="I1386" s="32"/>
      <c r="J1386" s="32"/>
      <c r="K1386" s="32"/>
      <c r="L1386" s="32"/>
      <c r="M1386" s="32"/>
      <c r="N1386" s="32"/>
      <c r="O1386" s="32"/>
      <c r="P1386" s="32"/>
      <c r="Q1386" s="32"/>
      <c r="R1386" s="32"/>
      <c r="S1386" s="25"/>
      <c r="T1386" s="22"/>
      <c r="U1386" s="12"/>
      <c r="V1386" s="12"/>
      <c r="W1386" s="12"/>
      <c r="X1386" s="12"/>
      <c r="Y1386" s="12"/>
      <c r="Z1386" s="12"/>
      <c r="AA1386" s="12"/>
      <c r="AB1386" s="12"/>
      <c r="AC1386" s="12"/>
      <c r="AD1386" s="12"/>
      <c r="AE1386" s="12"/>
      <c r="AF1386" s="12"/>
    </row>
    <row r="1387" spans="2:32" x14ac:dyDescent="0.35">
      <c r="B1387" s="21"/>
      <c r="D1387" s="2"/>
      <c r="E1387" s="2"/>
      <c r="F1387" s="32"/>
      <c r="G1387" s="32"/>
      <c r="H1387" s="32"/>
      <c r="I1387" s="32"/>
      <c r="J1387" s="32"/>
      <c r="K1387" s="32"/>
      <c r="L1387" s="32"/>
      <c r="M1387" s="32"/>
      <c r="N1387" s="32"/>
      <c r="O1387" s="32"/>
      <c r="P1387" s="32"/>
      <c r="Q1387" s="32"/>
      <c r="R1387" s="32"/>
      <c r="S1387" s="25"/>
      <c r="T1387" s="22"/>
      <c r="U1387" s="12"/>
      <c r="V1387" s="12"/>
      <c r="W1387" s="12"/>
      <c r="X1387" s="12"/>
      <c r="Y1387" s="12"/>
      <c r="Z1387" s="12"/>
      <c r="AA1387" s="12"/>
      <c r="AB1387" s="12"/>
      <c r="AC1387" s="12"/>
      <c r="AD1387" s="12"/>
      <c r="AE1387" s="12"/>
      <c r="AF1387" s="12"/>
    </row>
    <row r="1388" spans="2:32" x14ac:dyDescent="0.35">
      <c r="B1388" s="21"/>
      <c r="D1388" s="2"/>
      <c r="E1388" s="2"/>
      <c r="F1388" s="32"/>
      <c r="G1388" s="32"/>
      <c r="H1388" s="32"/>
      <c r="I1388" s="32"/>
      <c r="J1388" s="32"/>
      <c r="K1388" s="32"/>
      <c r="L1388" s="32"/>
      <c r="M1388" s="32"/>
      <c r="N1388" s="32"/>
      <c r="O1388" s="32"/>
      <c r="P1388" s="32"/>
      <c r="Q1388" s="32"/>
      <c r="R1388" s="32"/>
      <c r="S1388" s="25"/>
      <c r="T1388" s="22"/>
      <c r="U1388" s="12"/>
      <c r="V1388" s="12"/>
      <c r="W1388" s="12"/>
      <c r="X1388" s="12"/>
      <c r="Y1388" s="12"/>
      <c r="Z1388" s="12"/>
      <c r="AA1388" s="12"/>
      <c r="AB1388" s="12"/>
      <c r="AC1388" s="12"/>
      <c r="AD1388" s="12"/>
      <c r="AE1388" s="12"/>
      <c r="AF1388" s="12"/>
    </row>
    <row r="1389" spans="2:32" x14ac:dyDescent="0.35">
      <c r="B1389" s="21"/>
      <c r="D1389" s="2"/>
      <c r="E1389" s="2"/>
      <c r="F1389" s="32"/>
      <c r="G1389" s="32"/>
      <c r="H1389" s="32"/>
      <c r="I1389" s="32"/>
      <c r="J1389" s="32"/>
      <c r="K1389" s="32"/>
      <c r="L1389" s="32"/>
      <c r="M1389" s="32"/>
      <c r="N1389" s="32"/>
      <c r="O1389" s="32"/>
      <c r="P1389" s="32"/>
      <c r="Q1389" s="32"/>
      <c r="R1389" s="32"/>
      <c r="S1389" s="25"/>
      <c r="T1389" s="22"/>
      <c r="U1389" s="12"/>
      <c r="V1389" s="12"/>
      <c r="W1389" s="12"/>
      <c r="X1389" s="12"/>
      <c r="Y1389" s="12"/>
      <c r="Z1389" s="12"/>
      <c r="AA1389" s="12"/>
      <c r="AB1389" s="12"/>
      <c r="AC1389" s="12"/>
      <c r="AD1389" s="12"/>
      <c r="AE1389" s="12"/>
      <c r="AF1389" s="12"/>
    </row>
    <row r="1390" spans="2:32" x14ac:dyDescent="0.35">
      <c r="B1390" s="21"/>
      <c r="D1390" s="2"/>
      <c r="E1390" s="2"/>
      <c r="F1390" s="32"/>
      <c r="G1390" s="32"/>
      <c r="H1390" s="32"/>
      <c r="I1390" s="32"/>
      <c r="J1390" s="32"/>
      <c r="K1390" s="32"/>
      <c r="L1390" s="32"/>
      <c r="M1390" s="32"/>
      <c r="N1390" s="32"/>
      <c r="O1390" s="32"/>
      <c r="P1390" s="32"/>
      <c r="Q1390" s="32"/>
      <c r="R1390" s="32"/>
      <c r="S1390" s="25"/>
      <c r="T1390" s="22"/>
      <c r="U1390" s="12"/>
      <c r="V1390" s="12"/>
      <c r="W1390" s="12"/>
      <c r="X1390" s="12"/>
      <c r="Y1390" s="12"/>
      <c r="Z1390" s="12"/>
      <c r="AA1390" s="12"/>
      <c r="AB1390" s="12"/>
      <c r="AC1390" s="12"/>
      <c r="AD1390" s="12"/>
      <c r="AE1390" s="12"/>
      <c r="AF1390" s="12"/>
    </row>
    <row r="1391" spans="2:32" x14ac:dyDescent="0.35">
      <c r="B1391" s="21"/>
      <c r="D1391" s="2"/>
      <c r="E1391" s="2"/>
      <c r="F1391" s="32"/>
      <c r="G1391" s="32"/>
      <c r="H1391" s="32"/>
      <c r="I1391" s="32"/>
      <c r="J1391" s="32"/>
      <c r="K1391" s="32"/>
      <c r="L1391" s="32"/>
      <c r="M1391" s="32"/>
      <c r="N1391" s="32"/>
      <c r="O1391" s="32"/>
      <c r="P1391" s="32"/>
      <c r="Q1391" s="32"/>
      <c r="R1391" s="32"/>
      <c r="S1391" s="25"/>
      <c r="T1391" s="22"/>
      <c r="U1391" s="12"/>
      <c r="V1391" s="12"/>
      <c r="W1391" s="12"/>
      <c r="X1391" s="12"/>
      <c r="Y1391" s="12"/>
      <c r="Z1391" s="12"/>
      <c r="AA1391" s="12"/>
      <c r="AB1391" s="12"/>
      <c r="AC1391" s="12"/>
      <c r="AD1391" s="12"/>
      <c r="AE1391" s="12"/>
      <c r="AF1391" s="12"/>
    </row>
    <row r="1392" spans="2:32" x14ac:dyDescent="0.35">
      <c r="B1392" s="21"/>
      <c r="F1392" s="33"/>
      <c r="G1392" s="33"/>
      <c r="H1392" s="33"/>
      <c r="I1392" s="33"/>
      <c r="J1392" s="33"/>
      <c r="K1392" s="33"/>
      <c r="L1392" s="33"/>
      <c r="M1392" s="33"/>
      <c r="N1392" s="33"/>
      <c r="O1392" s="33"/>
      <c r="P1392" s="33"/>
      <c r="Q1392" s="33"/>
      <c r="R1392" s="33"/>
      <c r="S1392" s="25"/>
      <c r="T1392" s="22"/>
      <c r="U1392" s="12"/>
      <c r="V1392" s="12"/>
      <c r="W1392" s="12"/>
      <c r="X1392" s="12"/>
      <c r="Y1392" s="12"/>
      <c r="Z1392" s="12"/>
      <c r="AA1392" s="12"/>
      <c r="AB1392" s="12"/>
      <c r="AC1392" s="12"/>
      <c r="AD1392" s="12"/>
      <c r="AE1392" s="12"/>
      <c r="AF1392" s="12"/>
    </row>
    <row r="1393" spans="2:32" x14ac:dyDescent="0.35">
      <c r="B1393" s="21"/>
      <c r="D1393" s="2"/>
      <c r="E1393" s="2"/>
      <c r="F1393" s="32"/>
      <c r="G1393" s="32"/>
      <c r="H1393" s="32"/>
      <c r="I1393" s="32"/>
      <c r="J1393" s="32"/>
      <c r="K1393" s="32"/>
      <c r="L1393" s="32"/>
      <c r="M1393" s="32"/>
      <c r="N1393" s="32"/>
      <c r="O1393" s="32"/>
      <c r="P1393" s="32"/>
      <c r="Q1393" s="32"/>
      <c r="R1393" s="32"/>
      <c r="S1393" s="25"/>
      <c r="T1393" s="22"/>
      <c r="U1393" s="12"/>
      <c r="V1393" s="12"/>
      <c r="W1393" s="12"/>
      <c r="X1393" s="12"/>
      <c r="Y1393" s="12"/>
      <c r="Z1393" s="12"/>
      <c r="AA1393" s="12"/>
      <c r="AB1393" s="12"/>
      <c r="AC1393" s="12"/>
      <c r="AD1393" s="12"/>
      <c r="AE1393" s="12"/>
      <c r="AF1393" s="12"/>
    </row>
    <row r="1394" spans="2:32" x14ac:dyDescent="0.35">
      <c r="B1394" s="21"/>
      <c r="D1394" s="2"/>
      <c r="E1394" s="2"/>
      <c r="F1394" s="32"/>
      <c r="G1394" s="32"/>
      <c r="H1394" s="32"/>
      <c r="I1394" s="32"/>
      <c r="J1394" s="32"/>
      <c r="K1394" s="32"/>
      <c r="L1394" s="32"/>
      <c r="M1394" s="32"/>
      <c r="N1394" s="32"/>
      <c r="O1394" s="32"/>
      <c r="P1394" s="32"/>
      <c r="Q1394" s="32"/>
      <c r="R1394" s="32"/>
      <c r="S1394" s="25"/>
      <c r="T1394" s="22"/>
      <c r="U1394" s="12"/>
      <c r="V1394" s="12"/>
      <c r="W1394" s="12"/>
      <c r="X1394" s="12"/>
      <c r="Y1394" s="12"/>
      <c r="Z1394" s="12"/>
      <c r="AA1394" s="12"/>
      <c r="AB1394" s="12"/>
      <c r="AC1394" s="12"/>
      <c r="AD1394" s="12"/>
      <c r="AE1394" s="12"/>
      <c r="AF1394" s="12"/>
    </row>
    <row r="1395" spans="2:32" x14ac:dyDescent="0.35">
      <c r="B1395" s="21"/>
      <c r="D1395" s="2"/>
      <c r="E1395" s="2"/>
      <c r="F1395" s="32"/>
      <c r="G1395" s="32"/>
      <c r="H1395" s="32"/>
      <c r="I1395" s="32"/>
      <c r="J1395" s="32"/>
      <c r="K1395" s="32"/>
      <c r="L1395" s="32"/>
      <c r="M1395" s="32"/>
      <c r="N1395" s="32"/>
      <c r="O1395" s="32"/>
      <c r="P1395" s="32"/>
      <c r="Q1395" s="32"/>
      <c r="R1395" s="32"/>
      <c r="S1395" s="25"/>
      <c r="T1395" s="22"/>
      <c r="U1395" s="12"/>
      <c r="V1395" s="12"/>
      <c r="W1395" s="12"/>
      <c r="X1395" s="12"/>
      <c r="Y1395" s="12"/>
      <c r="Z1395" s="12"/>
      <c r="AA1395" s="12"/>
      <c r="AB1395" s="12"/>
      <c r="AC1395" s="12"/>
      <c r="AD1395" s="12"/>
      <c r="AE1395" s="12"/>
      <c r="AF1395" s="12"/>
    </row>
    <row r="1396" spans="2:32" x14ac:dyDescent="0.35">
      <c r="B1396" s="21"/>
      <c r="D1396" s="2"/>
      <c r="E1396" s="2"/>
      <c r="F1396" s="32"/>
      <c r="G1396" s="32"/>
      <c r="H1396" s="32"/>
      <c r="I1396" s="32"/>
      <c r="J1396" s="32"/>
      <c r="K1396" s="32"/>
      <c r="L1396" s="32"/>
      <c r="M1396" s="32"/>
      <c r="N1396" s="32"/>
      <c r="O1396" s="32"/>
      <c r="P1396" s="32"/>
      <c r="Q1396" s="32"/>
      <c r="R1396" s="32"/>
      <c r="S1396" s="25"/>
      <c r="T1396" s="22"/>
      <c r="U1396" s="12"/>
      <c r="V1396" s="12"/>
      <c r="W1396" s="12"/>
      <c r="X1396" s="12"/>
      <c r="Y1396" s="12"/>
      <c r="Z1396" s="12"/>
      <c r="AA1396" s="12"/>
      <c r="AB1396" s="12"/>
      <c r="AC1396" s="12"/>
      <c r="AD1396" s="12"/>
      <c r="AE1396" s="12"/>
      <c r="AF1396" s="12"/>
    </row>
    <row r="1397" spans="2:32" x14ac:dyDescent="0.35">
      <c r="B1397" s="21"/>
      <c r="D1397" s="2"/>
      <c r="E1397" s="2"/>
      <c r="F1397" s="32"/>
      <c r="G1397" s="32"/>
      <c r="H1397" s="32"/>
      <c r="I1397" s="32"/>
      <c r="J1397" s="32"/>
      <c r="K1397" s="32"/>
      <c r="L1397" s="32"/>
      <c r="M1397" s="32"/>
      <c r="N1397" s="32"/>
      <c r="O1397" s="32"/>
      <c r="P1397" s="32"/>
      <c r="Q1397" s="32"/>
      <c r="R1397" s="32"/>
      <c r="S1397" s="25"/>
      <c r="T1397" s="22"/>
      <c r="U1397" s="12"/>
      <c r="V1397" s="12"/>
      <c r="W1397" s="12"/>
      <c r="X1397" s="12"/>
      <c r="Y1397" s="12"/>
      <c r="Z1397" s="12"/>
      <c r="AA1397" s="12"/>
      <c r="AB1397" s="12"/>
      <c r="AC1397" s="12"/>
      <c r="AD1397" s="12"/>
      <c r="AE1397" s="12"/>
      <c r="AF1397" s="12"/>
    </row>
    <row r="1398" spans="2:32" x14ac:dyDescent="0.35">
      <c r="B1398" s="21"/>
      <c r="D1398" s="2"/>
      <c r="E1398" s="2"/>
      <c r="F1398" s="32"/>
      <c r="G1398" s="32"/>
      <c r="H1398" s="32"/>
      <c r="I1398" s="32"/>
      <c r="J1398" s="32"/>
      <c r="K1398" s="32"/>
      <c r="L1398" s="32"/>
      <c r="M1398" s="32"/>
      <c r="N1398" s="32"/>
      <c r="O1398" s="32"/>
      <c r="P1398" s="32"/>
      <c r="Q1398" s="32"/>
      <c r="R1398" s="32"/>
      <c r="S1398" s="25"/>
      <c r="T1398" s="22"/>
      <c r="U1398" s="12"/>
      <c r="V1398" s="12"/>
      <c r="W1398" s="12"/>
      <c r="X1398" s="12"/>
      <c r="Y1398" s="12"/>
      <c r="Z1398" s="12"/>
      <c r="AA1398" s="12"/>
      <c r="AB1398" s="12"/>
      <c r="AC1398" s="12"/>
      <c r="AD1398" s="12"/>
      <c r="AE1398" s="12"/>
      <c r="AF1398" s="12"/>
    </row>
    <row r="1399" spans="2:32" x14ac:dyDescent="0.35">
      <c r="B1399" s="21"/>
      <c r="D1399" s="2"/>
      <c r="E1399" s="2"/>
      <c r="F1399" s="32"/>
      <c r="G1399" s="32"/>
      <c r="H1399" s="32"/>
      <c r="I1399" s="32"/>
      <c r="J1399" s="32"/>
      <c r="K1399" s="32"/>
      <c r="L1399" s="32"/>
      <c r="M1399" s="32"/>
      <c r="N1399" s="32"/>
      <c r="O1399" s="32"/>
      <c r="P1399" s="32"/>
      <c r="Q1399" s="32"/>
      <c r="R1399" s="32"/>
      <c r="S1399" s="25"/>
      <c r="T1399" s="22"/>
      <c r="U1399" s="12"/>
      <c r="V1399" s="12"/>
      <c r="W1399" s="12"/>
      <c r="X1399" s="12"/>
      <c r="Y1399" s="12"/>
      <c r="Z1399" s="12"/>
      <c r="AA1399" s="12"/>
      <c r="AB1399" s="12"/>
      <c r="AC1399" s="12"/>
      <c r="AD1399" s="12"/>
      <c r="AE1399" s="12"/>
      <c r="AF1399" s="12"/>
    </row>
    <row r="1400" spans="2:32" x14ac:dyDescent="0.35">
      <c r="B1400" s="21"/>
      <c r="F1400" s="33"/>
      <c r="G1400" s="33"/>
      <c r="H1400" s="33"/>
      <c r="I1400" s="33"/>
      <c r="J1400" s="33"/>
      <c r="K1400" s="33"/>
      <c r="L1400" s="33"/>
      <c r="M1400" s="33"/>
      <c r="N1400" s="33"/>
      <c r="O1400" s="33"/>
      <c r="P1400" s="33"/>
      <c r="Q1400" s="33"/>
      <c r="R1400" s="33"/>
      <c r="S1400" s="25"/>
      <c r="T1400" s="22"/>
      <c r="U1400" s="12"/>
      <c r="V1400" s="12"/>
      <c r="W1400" s="12"/>
      <c r="X1400" s="12"/>
      <c r="Y1400" s="12"/>
      <c r="Z1400" s="12"/>
      <c r="AA1400" s="12"/>
      <c r="AB1400" s="12"/>
      <c r="AC1400" s="12"/>
      <c r="AD1400" s="12"/>
      <c r="AE1400" s="12"/>
      <c r="AF1400" s="12"/>
    </row>
    <row r="1401" spans="2:32" x14ac:dyDescent="0.35">
      <c r="B1401" s="21"/>
      <c r="D1401" s="2"/>
      <c r="E1401" s="2"/>
      <c r="F1401" s="32"/>
      <c r="G1401" s="32"/>
      <c r="H1401" s="32"/>
      <c r="I1401" s="32"/>
      <c r="J1401" s="32"/>
      <c r="K1401" s="32"/>
      <c r="L1401" s="32"/>
      <c r="M1401" s="32"/>
      <c r="N1401" s="32"/>
      <c r="O1401" s="32"/>
      <c r="P1401" s="32"/>
      <c r="Q1401" s="32"/>
      <c r="R1401" s="32"/>
      <c r="S1401" s="25"/>
      <c r="T1401" s="14"/>
      <c r="U1401" s="12"/>
      <c r="V1401" s="12"/>
      <c r="W1401" s="12"/>
      <c r="X1401" s="12"/>
      <c r="Y1401" s="12"/>
      <c r="Z1401" s="12"/>
      <c r="AA1401" s="12"/>
      <c r="AB1401" s="12"/>
      <c r="AC1401" s="12"/>
      <c r="AD1401" s="12"/>
      <c r="AE1401" s="12"/>
      <c r="AF1401" s="12"/>
    </row>
    <row r="1402" spans="2:32" x14ac:dyDescent="0.35">
      <c r="B1402" s="21"/>
      <c r="D1402" s="2"/>
      <c r="E1402" s="2"/>
      <c r="F1402" s="32"/>
      <c r="G1402" s="32"/>
      <c r="H1402" s="32"/>
      <c r="I1402" s="32"/>
      <c r="J1402" s="32"/>
      <c r="K1402" s="32"/>
      <c r="L1402" s="32"/>
      <c r="M1402" s="32"/>
      <c r="N1402" s="32"/>
      <c r="O1402" s="32"/>
      <c r="P1402" s="32"/>
      <c r="Q1402" s="32"/>
      <c r="R1402" s="32"/>
      <c r="S1402" s="25"/>
      <c r="T1402" s="14"/>
      <c r="U1402" s="12"/>
      <c r="V1402" s="12"/>
      <c r="W1402" s="12"/>
      <c r="X1402" s="12"/>
      <c r="Y1402" s="12"/>
      <c r="Z1402" s="12"/>
      <c r="AA1402" s="12"/>
      <c r="AB1402" s="12"/>
      <c r="AC1402" s="12"/>
      <c r="AD1402" s="12"/>
      <c r="AE1402" s="12"/>
      <c r="AF1402" s="12"/>
    </row>
    <row r="1403" spans="2:32" x14ac:dyDescent="0.35">
      <c r="B1403" s="21"/>
      <c r="D1403" s="2"/>
      <c r="E1403" s="2"/>
      <c r="F1403" s="32"/>
      <c r="G1403" s="32"/>
      <c r="H1403" s="32"/>
      <c r="I1403" s="32"/>
      <c r="J1403" s="32"/>
      <c r="K1403" s="32"/>
      <c r="L1403" s="32"/>
      <c r="M1403" s="32"/>
      <c r="N1403" s="32"/>
      <c r="O1403" s="32"/>
      <c r="P1403" s="32"/>
      <c r="Q1403" s="32"/>
      <c r="R1403" s="32"/>
      <c r="S1403" s="25"/>
      <c r="T1403" s="14"/>
      <c r="U1403" s="12"/>
      <c r="V1403" s="12"/>
      <c r="W1403" s="12"/>
      <c r="X1403" s="12"/>
      <c r="Y1403" s="12"/>
      <c r="Z1403" s="12"/>
      <c r="AA1403" s="12"/>
      <c r="AB1403" s="12"/>
      <c r="AC1403" s="12"/>
      <c r="AD1403" s="12"/>
      <c r="AE1403" s="12"/>
      <c r="AF1403" s="12"/>
    </row>
    <row r="1404" spans="2:32" x14ac:dyDescent="0.35">
      <c r="B1404" s="21"/>
      <c r="D1404" s="2"/>
      <c r="E1404" s="2"/>
      <c r="F1404" s="32"/>
      <c r="G1404" s="32"/>
      <c r="H1404" s="32"/>
      <c r="I1404" s="32"/>
      <c r="J1404" s="32"/>
      <c r="K1404" s="32"/>
      <c r="L1404" s="32"/>
      <c r="M1404" s="32"/>
      <c r="N1404" s="32"/>
      <c r="O1404" s="32"/>
      <c r="P1404" s="32"/>
      <c r="Q1404" s="32"/>
      <c r="R1404" s="32"/>
      <c r="S1404" s="25"/>
      <c r="T1404" s="14"/>
      <c r="U1404" s="12"/>
      <c r="V1404" s="12"/>
      <c r="W1404" s="12"/>
      <c r="X1404" s="12"/>
      <c r="Y1404" s="12"/>
      <c r="Z1404" s="12"/>
      <c r="AA1404" s="12"/>
      <c r="AB1404" s="12"/>
      <c r="AC1404" s="12"/>
      <c r="AD1404" s="12"/>
      <c r="AE1404" s="12"/>
      <c r="AF1404" s="12"/>
    </row>
    <row r="1405" spans="2:32" x14ac:dyDescent="0.35">
      <c r="B1405" s="21"/>
      <c r="D1405" s="2"/>
      <c r="E1405" s="2"/>
      <c r="F1405" s="32"/>
      <c r="G1405" s="32"/>
      <c r="H1405" s="32"/>
      <c r="I1405" s="32"/>
      <c r="J1405" s="32"/>
      <c r="K1405" s="32"/>
      <c r="L1405" s="32"/>
      <c r="M1405" s="32"/>
      <c r="N1405" s="32"/>
      <c r="O1405" s="32"/>
      <c r="P1405" s="32"/>
      <c r="Q1405" s="32"/>
      <c r="R1405" s="32"/>
      <c r="S1405" s="25"/>
      <c r="T1405" s="14"/>
      <c r="U1405" s="12"/>
      <c r="V1405" s="12"/>
      <c r="W1405" s="12"/>
      <c r="X1405" s="12"/>
      <c r="Y1405" s="12"/>
      <c r="Z1405" s="12"/>
      <c r="AA1405" s="12"/>
      <c r="AB1405" s="12"/>
      <c r="AC1405" s="12"/>
      <c r="AD1405" s="12"/>
      <c r="AE1405" s="12"/>
      <c r="AF1405" s="12"/>
    </row>
    <row r="1406" spans="2:32" x14ac:dyDescent="0.35">
      <c r="B1406" s="21"/>
      <c r="D1406" s="2"/>
      <c r="E1406" s="2"/>
      <c r="F1406" s="32"/>
      <c r="G1406" s="32"/>
      <c r="H1406" s="32"/>
      <c r="I1406" s="32"/>
      <c r="J1406" s="32"/>
      <c r="K1406" s="32"/>
      <c r="L1406" s="32"/>
      <c r="M1406" s="32"/>
      <c r="N1406" s="32"/>
      <c r="O1406" s="32"/>
      <c r="P1406" s="32"/>
      <c r="Q1406" s="32"/>
      <c r="R1406" s="32"/>
      <c r="S1406" s="25"/>
      <c r="T1406" s="14"/>
      <c r="U1406" s="12"/>
      <c r="V1406" s="12"/>
      <c r="W1406" s="12"/>
      <c r="X1406" s="12"/>
      <c r="Y1406" s="12"/>
      <c r="Z1406" s="12"/>
      <c r="AA1406" s="12"/>
      <c r="AB1406" s="12"/>
      <c r="AC1406" s="12"/>
      <c r="AD1406" s="12"/>
      <c r="AE1406" s="12"/>
      <c r="AF1406" s="12"/>
    </row>
    <row r="1407" spans="2:32" x14ac:dyDescent="0.35">
      <c r="B1407" s="21"/>
      <c r="D1407" s="2"/>
      <c r="E1407" s="2"/>
      <c r="F1407" s="32"/>
      <c r="G1407" s="32"/>
      <c r="H1407" s="32"/>
      <c r="I1407" s="32"/>
      <c r="J1407" s="32"/>
      <c r="K1407" s="32"/>
      <c r="L1407" s="32"/>
      <c r="M1407" s="32"/>
      <c r="N1407" s="32"/>
      <c r="O1407" s="32"/>
      <c r="P1407" s="32"/>
      <c r="Q1407" s="32"/>
      <c r="R1407" s="32"/>
      <c r="S1407" s="25"/>
      <c r="T1407" s="14"/>
      <c r="U1407" s="12"/>
      <c r="V1407" s="12"/>
      <c r="W1407" s="12"/>
      <c r="X1407" s="12"/>
      <c r="Y1407" s="12"/>
      <c r="Z1407" s="12"/>
      <c r="AA1407" s="12"/>
      <c r="AB1407" s="12"/>
      <c r="AC1407" s="12"/>
      <c r="AD1407" s="12"/>
      <c r="AE1407" s="12"/>
      <c r="AF1407" s="12"/>
    </row>
    <row r="1408" spans="2:32" x14ac:dyDescent="0.35">
      <c r="B1408" s="21"/>
      <c r="F1408" s="33"/>
      <c r="G1408" s="33"/>
      <c r="H1408" s="33"/>
      <c r="I1408" s="33"/>
      <c r="J1408" s="33"/>
      <c r="K1408" s="33"/>
      <c r="L1408" s="33"/>
      <c r="M1408" s="33"/>
      <c r="N1408" s="33"/>
      <c r="O1408" s="33"/>
      <c r="P1408" s="33"/>
      <c r="Q1408" s="33"/>
      <c r="R1408" s="33"/>
      <c r="S1408" s="25"/>
      <c r="T1408" s="22"/>
      <c r="U1408" s="12"/>
      <c r="V1408" s="12"/>
      <c r="W1408" s="12"/>
      <c r="X1408" s="12"/>
      <c r="Y1408" s="12"/>
      <c r="Z1408" s="12"/>
      <c r="AA1408" s="12"/>
      <c r="AB1408" s="12"/>
      <c r="AC1408" s="12"/>
      <c r="AD1408" s="12"/>
      <c r="AE1408" s="12"/>
      <c r="AF1408" s="12"/>
    </row>
    <row r="1409" spans="1:32" x14ac:dyDescent="0.35">
      <c r="B1409" s="21"/>
      <c r="D1409" s="2"/>
      <c r="E1409" s="2"/>
      <c r="F1409" s="32"/>
      <c r="G1409" s="32"/>
      <c r="H1409" s="32"/>
      <c r="I1409" s="32"/>
      <c r="J1409" s="32"/>
      <c r="K1409" s="32"/>
      <c r="L1409" s="32"/>
      <c r="M1409" s="32"/>
      <c r="N1409" s="32"/>
      <c r="O1409" s="32"/>
      <c r="P1409" s="32"/>
      <c r="Q1409" s="32"/>
      <c r="R1409" s="32"/>
      <c r="S1409" s="25"/>
      <c r="T1409" s="22"/>
      <c r="U1409" s="12"/>
      <c r="V1409" s="12"/>
      <c r="W1409" s="12"/>
      <c r="X1409" s="12"/>
      <c r="Y1409" s="12"/>
      <c r="Z1409" s="12"/>
      <c r="AA1409" s="12"/>
      <c r="AB1409" s="12"/>
      <c r="AC1409" s="12"/>
      <c r="AD1409" s="12"/>
      <c r="AE1409" s="12"/>
      <c r="AF1409" s="12"/>
    </row>
    <row r="1410" spans="1:32" x14ac:dyDescent="0.35">
      <c r="B1410" s="21"/>
      <c r="D1410" s="2"/>
      <c r="E1410" s="2"/>
      <c r="F1410" s="32"/>
      <c r="G1410" s="32"/>
      <c r="H1410" s="32"/>
      <c r="I1410" s="32"/>
      <c r="J1410" s="32"/>
      <c r="K1410" s="32"/>
      <c r="L1410" s="32"/>
      <c r="M1410" s="32"/>
      <c r="N1410" s="32"/>
      <c r="O1410" s="32"/>
      <c r="P1410" s="32"/>
      <c r="Q1410" s="32"/>
      <c r="R1410" s="32"/>
      <c r="S1410" s="25"/>
      <c r="T1410" s="22"/>
      <c r="U1410" s="12"/>
      <c r="V1410" s="12"/>
      <c r="W1410" s="12"/>
      <c r="X1410" s="12"/>
      <c r="Y1410" s="12"/>
      <c r="Z1410" s="12"/>
      <c r="AA1410" s="12"/>
      <c r="AB1410" s="12"/>
      <c r="AC1410" s="12"/>
      <c r="AD1410" s="12"/>
      <c r="AE1410" s="12"/>
      <c r="AF1410" s="12"/>
    </row>
    <row r="1411" spans="1:32" x14ac:dyDescent="0.35">
      <c r="B1411" s="21"/>
      <c r="D1411" s="2"/>
      <c r="E1411" s="2"/>
      <c r="F1411" s="32"/>
      <c r="G1411" s="32"/>
      <c r="H1411" s="32"/>
      <c r="I1411" s="32"/>
      <c r="J1411" s="32"/>
      <c r="K1411" s="32"/>
      <c r="L1411" s="32"/>
      <c r="M1411" s="32"/>
      <c r="N1411" s="32"/>
      <c r="O1411" s="32"/>
      <c r="P1411" s="32"/>
      <c r="Q1411" s="32"/>
      <c r="R1411" s="32"/>
      <c r="S1411" s="25"/>
      <c r="T1411" s="22"/>
      <c r="U1411" s="12"/>
      <c r="V1411" s="12"/>
      <c r="W1411" s="12"/>
      <c r="X1411" s="12"/>
      <c r="Y1411" s="12"/>
      <c r="Z1411" s="12"/>
      <c r="AA1411" s="12"/>
      <c r="AB1411" s="12"/>
      <c r="AC1411" s="12"/>
      <c r="AD1411" s="12"/>
      <c r="AE1411" s="12"/>
      <c r="AF1411" s="12"/>
    </row>
    <row r="1412" spans="1:32" x14ac:dyDescent="0.35">
      <c r="B1412" s="21"/>
      <c r="D1412" s="2"/>
      <c r="E1412" s="2"/>
      <c r="F1412" s="32"/>
      <c r="G1412" s="32"/>
      <c r="H1412" s="32"/>
      <c r="I1412" s="32"/>
      <c r="J1412" s="32"/>
      <c r="K1412" s="32"/>
      <c r="L1412" s="32"/>
      <c r="M1412" s="32"/>
      <c r="N1412" s="32"/>
      <c r="O1412" s="32"/>
      <c r="P1412" s="32"/>
      <c r="Q1412" s="32"/>
      <c r="R1412" s="32"/>
      <c r="S1412" s="25"/>
      <c r="T1412" s="22"/>
      <c r="U1412" s="12"/>
      <c r="V1412" s="12"/>
      <c r="W1412" s="12"/>
      <c r="X1412" s="12"/>
      <c r="Y1412" s="12"/>
      <c r="Z1412" s="12"/>
      <c r="AA1412" s="12"/>
      <c r="AB1412" s="12"/>
      <c r="AC1412" s="12"/>
      <c r="AD1412" s="12"/>
      <c r="AE1412" s="12"/>
      <c r="AF1412" s="12"/>
    </row>
    <row r="1413" spans="1:32" x14ac:dyDescent="0.35">
      <c r="B1413" s="21"/>
      <c r="D1413" s="2"/>
      <c r="E1413" s="2"/>
      <c r="F1413" s="32"/>
      <c r="G1413" s="32"/>
      <c r="H1413" s="32"/>
      <c r="I1413" s="32"/>
      <c r="J1413" s="32"/>
      <c r="K1413" s="32"/>
      <c r="L1413" s="32"/>
      <c r="M1413" s="32"/>
      <c r="N1413" s="32"/>
      <c r="O1413" s="32"/>
      <c r="P1413" s="32"/>
      <c r="Q1413" s="32"/>
      <c r="R1413" s="32"/>
      <c r="S1413" s="25"/>
      <c r="T1413" s="22"/>
      <c r="U1413" s="12"/>
      <c r="V1413" s="12"/>
      <c r="W1413" s="12"/>
      <c r="X1413" s="12"/>
      <c r="Y1413" s="12"/>
      <c r="Z1413" s="12"/>
      <c r="AA1413" s="12"/>
      <c r="AB1413" s="12"/>
      <c r="AC1413" s="12"/>
      <c r="AD1413" s="12"/>
      <c r="AE1413" s="12"/>
      <c r="AF1413" s="12"/>
    </row>
    <row r="1414" spans="1:32" x14ac:dyDescent="0.35">
      <c r="B1414" s="21"/>
      <c r="D1414" s="2"/>
      <c r="E1414" s="2"/>
      <c r="F1414" s="32"/>
      <c r="G1414" s="32"/>
      <c r="H1414" s="32"/>
      <c r="I1414" s="32"/>
      <c r="J1414" s="32"/>
      <c r="K1414" s="32"/>
      <c r="L1414" s="32"/>
      <c r="M1414" s="32"/>
      <c r="N1414" s="32"/>
      <c r="O1414" s="32"/>
      <c r="P1414" s="32"/>
      <c r="Q1414" s="32"/>
      <c r="R1414" s="32"/>
      <c r="S1414" s="25"/>
      <c r="T1414" s="22"/>
      <c r="U1414" s="12"/>
      <c r="V1414" s="12"/>
      <c r="W1414" s="12"/>
      <c r="X1414" s="12"/>
      <c r="Y1414" s="12"/>
      <c r="Z1414" s="12"/>
      <c r="AA1414" s="12"/>
      <c r="AB1414" s="12"/>
      <c r="AC1414" s="12"/>
      <c r="AD1414" s="12"/>
      <c r="AE1414" s="12"/>
      <c r="AF1414" s="12"/>
    </row>
    <row r="1415" spans="1:32" x14ac:dyDescent="0.35">
      <c r="B1415" s="21"/>
      <c r="D1415" s="2"/>
      <c r="E1415" s="2"/>
      <c r="F1415" s="32"/>
      <c r="G1415" s="32"/>
      <c r="H1415" s="32"/>
      <c r="I1415" s="32"/>
      <c r="J1415" s="32"/>
      <c r="K1415" s="32"/>
      <c r="L1415" s="32"/>
      <c r="M1415" s="32"/>
      <c r="N1415" s="32"/>
      <c r="O1415" s="32"/>
      <c r="P1415" s="32"/>
      <c r="Q1415" s="32"/>
      <c r="R1415" s="32"/>
      <c r="S1415" s="25"/>
      <c r="T1415" s="22"/>
      <c r="U1415" s="12"/>
      <c r="V1415" s="12"/>
      <c r="W1415" s="12"/>
      <c r="X1415" s="12"/>
      <c r="Y1415" s="12"/>
      <c r="Z1415" s="12"/>
      <c r="AA1415" s="12"/>
      <c r="AB1415" s="12"/>
      <c r="AC1415" s="12"/>
      <c r="AD1415" s="12"/>
      <c r="AE1415" s="12"/>
      <c r="AF1415" s="12"/>
    </row>
    <row r="1416" spans="1:32" x14ac:dyDescent="0.35">
      <c r="B1416" s="21"/>
      <c r="F1416" s="33"/>
      <c r="G1416" s="33"/>
      <c r="H1416" s="33"/>
      <c r="I1416" s="33"/>
      <c r="J1416" s="33"/>
      <c r="K1416" s="33"/>
      <c r="L1416" s="33"/>
      <c r="M1416" s="33"/>
      <c r="N1416" s="33"/>
      <c r="O1416" s="33"/>
      <c r="P1416" s="33"/>
      <c r="Q1416" s="33"/>
      <c r="R1416" s="33"/>
      <c r="S1416" s="25"/>
      <c r="T1416" s="22"/>
      <c r="U1416" s="12"/>
      <c r="V1416" s="12"/>
      <c r="W1416" s="12"/>
      <c r="X1416" s="12"/>
      <c r="Y1416" s="12"/>
      <c r="Z1416" s="12"/>
      <c r="AA1416" s="12"/>
      <c r="AB1416" s="12"/>
      <c r="AC1416" s="12"/>
      <c r="AD1416" s="12"/>
      <c r="AE1416" s="12"/>
      <c r="AF1416" s="12"/>
    </row>
    <row r="1417" spans="1:32" x14ac:dyDescent="0.35">
      <c r="A1417" s="21"/>
      <c r="B1417" s="21"/>
      <c r="D1417" s="2"/>
      <c r="E1417" s="2"/>
      <c r="F1417" s="32"/>
      <c r="G1417" s="32"/>
      <c r="H1417" s="32"/>
      <c r="I1417" s="32"/>
      <c r="J1417" s="32"/>
      <c r="K1417" s="32"/>
      <c r="L1417" s="32"/>
      <c r="M1417" s="32"/>
      <c r="N1417" s="32"/>
      <c r="O1417" s="32"/>
      <c r="P1417" s="32"/>
      <c r="Q1417" s="32"/>
      <c r="R1417" s="32"/>
      <c r="S1417" s="25"/>
      <c r="T1417" s="14"/>
      <c r="U1417" s="12"/>
      <c r="V1417" s="12"/>
      <c r="W1417" s="12"/>
      <c r="X1417" s="12"/>
      <c r="Y1417" s="12"/>
      <c r="Z1417" s="12"/>
      <c r="AA1417" s="12"/>
      <c r="AB1417" s="12"/>
      <c r="AC1417" s="12"/>
      <c r="AD1417" s="12"/>
      <c r="AE1417" s="12"/>
      <c r="AF1417" s="12"/>
    </row>
    <row r="1418" spans="1:32" x14ac:dyDescent="0.35">
      <c r="A1418" s="21"/>
      <c r="B1418" s="21"/>
      <c r="D1418" s="2"/>
      <c r="E1418" s="2"/>
      <c r="F1418" s="32"/>
      <c r="G1418" s="32"/>
      <c r="H1418" s="32"/>
      <c r="I1418" s="32"/>
      <c r="J1418" s="32"/>
      <c r="K1418" s="32"/>
      <c r="L1418" s="32"/>
      <c r="M1418" s="32"/>
      <c r="N1418" s="32"/>
      <c r="O1418" s="32"/>
      <c r="P1418" s="32"/>
      <c r="Q1418" s="32"/>
      <c r="R1418" s="32"/>
      <c r="S1418" s="25"/>
      <c r="T1418" s="14"/>
      <c r="U1418" s="12"/>
      <c r="V1418" s="12"/>
      <c r="W1418" s="12"/>
      <c r="X1418" s="12"/>
      <c r="Y1418" s="12"/>
      <c r="Z1418" s="12"/>
      <c r="AA1418" s="12"/>
      <c r="AB1418" s="12"/>
      <c r="AC1418" s="12"/>
      <c r="AD1418" s="12"/>
      <c r="AE1418" s="12"/>
      <c r="AF1418" s="12"/>
    </row>
    <row r="1419" spans="1:32" x14ac:dyDescent="0.35">
      <c r="A1419" s="21"/>
      <c r="B1419" s="21"/>
      <c r="D1419" s="2"/>
      <c r="E1419" s="2"/>
      <c r="F1419" s="32"/>
      <c r="G1419" s="32"/>
      <c r="H1419" s="32"/>
      <c r="I1419" s="32"/>
      <c r="J1419" s="32"/>
      <c r="K1419" s="32"/>
      <c r="L1419" s="32"/>
      <c r="M1419" s="32"/>
      <c r="N1419" s="32"/>
      <c r="O1419" s="32"/>
      <c r="P1419" s="32"/>
      <c r="Q1419" s="32"/>
      <c r="R1419" s="32"/>
      <c r="S1419" s="25"/>
      <c r="T1419" s="14"/>
      <c r="U1419" s="12"/>
      <c r="V1419" s="12"/>
      <c r="W1419" s="12"/>
      <c r="X1419" s="12"/>
      <c r="Y1419" s="12"/>
      <c r="Z1419" s="12"/>
      <c r="AA1419" s="12"/>
      <c r="AB1419" s="12"/>
      <c r="AC1419" s="12"/>
      <c r="AD1419" s="12"/>
      <c r="AE1419" s="12"/>
      <c r="AF1419" s="12"/>
    </row>
    <row r="1420" spans="1:32" x14ac:dyDescent="0.35">
      <c r="A1420" s="21"/>
      <c r="B1420" s="21"/>
      <c r="D1420" s="2"/>
      <c r="E1420" s="2"/>
      <c r="F1420" s="32"/>
      <c r="G1420" s="32"/>
      <c r="H1420" s="32"/>
      <c r="I1420" s="32"/>
      <c r="J1420" s="32"/>
      <c r="K1420" s="32"/>
      <c r="L1420" s="32"/>
      <c r="M1420" s="32"/>
      <c r="N1420" s="32"/>
      <c r="O1420" s="32"/>
      <c r="P1420" s="32"/>
      <c r="Q1420" s="32"/>
      <c r="R1420" s="32"/>
      <c r="S1420" s="25"/>
      <c r="T1420" s="14"/>
      <c r="U1420" s="12"/>
      <c r="V1420" s="12"/>
      <c r="W1420" s="12"/>
      <c r="X1420" s="12"/>
      <c r="Y1420" s="12"/>
      <c r="Z1420" s="12"/>
      <c r="AA1420" s="12"/>
      <c r="AB1420" s="12"/>
      <c r="AC1420" s="12"/>
      <c r="AD1420" s="12"/>
      <c r="AE1420" s="12"/>
      <c r="AF1420" s="12"/>
    </row>
    <row r="1421" spans="1:32" x14ac:dyDescent="0.35">
      <c r="A1421" s="21"/>
      <c r="B1421" s="21"/>
      <c r="D1421" s="2"/>
      <c r="E1421" s="2"/>
      <c r="F1421" s="32"/>
      <c r="G1421" s="32"/>
      <c r="H1421" s="32"/>
      <c r="I1421" s="32"/>
      <c r="J1421" s="32"/>
      <c r="K1421" s="32"/>
      <c r="L1421" s="32"/>
      <c r="M1421" s="32"/>
      <c r="N1421" s="32"/>
      <c r="O1421" s="32"/>
      <c r="P1421" s="32"/>
      <c r="Q1421" s="32"/>
      <c r="R1421" s="32"/>
      <c r="S1421" s="25"/>
      <c r="T1421" s="14"/>
      <c r="U1421" s="12"/>
      <c r="V1421" s="12"/>
      <c r="W1421" s="12"/>
      <c r="X1421" s="12"/>
      <c r="Y1421" s="12"/>
      <c r="Z1421" s="12"/>
      <c r="AA1421" s="12"/>
      <c r="AB1421" s="12"/>
      <c r="AC1421" s="12"/>
      <c r="AD1421" s="12"/>
      <c r="AE1421" s="12"/>
      <c r="AF1421" s="12"/>
    </row>
    <row r="1422" spans="1:32" x14ac:dyDescent="0.35">
      <c r="A1422" s="21"/>
      <c r="B1422" s="21"/>
      <c r="D1422" s="2"/>
      <c r="E1422" s="2"/>
      <c r="F1422" s="32"/>
      <c r="G1422" s="32"/>
      <c r="H1422" s="32"/>
      <c r="I1422" s="32"/>
      <c r="J1422" s="32"/>
      <c r="K1422" s="32"/>
      <c r="L1422" s="32"/>
      <c r="M1422" s="32"/>
      <c r="N1422" s="32"/>
      <c r="O1422" s="32"/>
      <c r="P1422" s="32"/>
      <c r="Q1422" s="32"/>
      <c r="R1422" s="32"/>
      <c r="S1422" s="25"/>
      <c r="T1422" s="14"/>
      <c r="U1422" s="12"/>
      <c r="V1422" s="12"/>
      <c r="W1422" s="12"/>
      <c r="X1422" s="12"/>
      <c r="Y1422" s="12"/>
      <c r="Z1422" s="12"/>
      <c r="AA1422" s="12"/>
      <c r="AB1422" s="12"/>
      <c r="AC1422" s="12"/>
      <c r="AD1422" s="12"/>
      <c r="AE1422" s="12"/>
      <c r="AF1422" s="12"/>
    </row>
    <row r="1423" spans="1:32" x14ac:dyDescent="0.35">
      <c r="A1423" s="21"/>
      <c r="B1423" s="21"/>
      <c r="D1423" s="2"/>
      <c r="E1423" s="2"/>
      <c r="F1423" s="32"/>
      <c r="G1423" s="32"/>
      <c r="H1423" s="32"/>
      <c r="I1423" s="32"/>
      <c r="J1423" s="32"/>
      <c r="K1423" s="32"/>
      <c r="L1423" s="32"/>
      <c r="M1423" s="32"/>
      <c r="N1423" s="32"/>
      <c r="O1423" s="32"/>
      <c r="P1423" s="32"/>
      <c r="Q1423" s="32"/>
      <c r="R1423" s="32"/>
      <c r="S1423" s="25"/>
      <c r="T1423" s="14"/>
      <c r="U1423" s="12"/>
      <c r="V1423" s="12"/>
      <c r="W1423" s="12"/>
      <c r="X1423" s="12"/>
      <c r="Y1423" s="12"/>
      <c r="Z1423" s="12"/>
      <c r="AA1423" s="12"/>
      <c r="AB1423" s="12"/>
      <c r="AC1423" s="12"/>
      <c r="AD1423" s="12"/>
      <c r="AE1423" s="12"/>
      <c r="AF1423" s="12"/>
    </row>
    <row r="1424" spans="1:32" x14ac:dyDescent="0.35">
      <c r="A1424" s="21"/>
      <c r="B1424" s="21"/>
      <c r="F1424" s="33"/>
      <c r="G1424" s="33"/>
      <c r="H1424" s="33"/>
      <c r="I1424" s="33"/>
      <c r="J1424" s="33"/>
      <c r="K1424" s="33"/>
      <c r="L1424" s="33"/>
      <c r="M1424" s="33"/>
      <c r="N1424" s="33"/>
      <c r="O1424" s="33"/>
      <c r="P1424" s="33"/>
      <c r="Q1424" s="33"/>
      <c r="R1424" s="33"/>
      <c r="S1424" s="25"/>
      <c r="T1424" s="14"/>
      <c r="U1424" s="12"/>
      <c r="V1424" s="12"/>
      <c r="W1424" s="12"/>
      <c r="X1424" s="12"/>
      <c r="Y1424" s="12"/>
      <c r="Z1424" s="12"/>
      <c r="AA1424" s="12"/>
      <c r="AB1424" s="12"/>
      <c r="AC1424" s="12"/>
      <c r="AD1424" s="12"/>
      <c r="AE1424" s="12"/>
      <c r="AF1424" s="12"/>
    </row>
    <row r="1425" spans="2:32" x14ac:dyDescent="0.35">
      <c r="B1425" s="21"/>
      <c r="D1425" s="2"/>
      <c r="E1425" s="2"/>
      <c r="F1425" s="32"/>
      <c r="G1425" s="32"/>
      <c r="H1425" s="32"/>
      <c r="I1425" s="32"/>
      <c r="J1425" s="32"/>
      <c r="K1425" s="32"/>
      <c r="L1425" s="32"/>
      <c r="M1425" s="32"/>
      <c r="N1425" s="32"/>
      <c r="O1425" s="32"/>
      <c r="P1425" s="32"/>
      <c r="Q1425" s="32"/>
      <c r="R1425" s="32"/>
      <c r="S1425" s="25"/>
      <c r="T1425" s="14"/>
      <c r="U1425" s="12"/>
      <c r="V1425" s="12"/>
      <c r="W1425" s="12"/>
      <c r="X1425" s="12"/>
      <c r="Y1425" s="12"/>
      <c r="Z1425" s="12"/>
      <c r="AA1425" s="12"/>
      <c r="AB1425" s="12"/>
      <c r="AC1425" s="12"/>
      <c r="AD1425" s="12"/>
      <c r="AE1425" s="12"/>
      <c r="AF1425" s="12"/>
    </row>
    <row r="1426" spans="2:32" x14ac:dyDescent="0.35">
      <c r="B1426" s="21"/>
      <c r="D1426" s="2"/>
      <c r="E1426" s="2"/>
      <c r="F1426" s="32"/>
      <c r="G1426" s="32"/>
      <c r="H1426" s="32"/>
      <c r="I1426" s="32"/>
      <c r="J1426" s="32"/>
      <c r="K1426" s="32"/>
      <c r="L1426" s="32"/>
      <c r="M1426" s="32"/>
      <c r="N1426" s="32"/>
      <c r="O1426" s="32"/>
      <c r="P1426" s="32"/>
      <c r="Q1426" s="32"/>
      <c r="R1426" s="32"/>
      <c r="S1426" s="25"/>
      <c r="T1426" s="14"/>
      <c r="U1426" s="12"/>
      <c r="V1426" s="12"/>
      <c r="W1426" s="12"/>
      <c r="X1426" s="12"/>
      <c r="Y1426" s="12"/>
      <c r="Z1426" s="12"/>
      <c r="AA1426" s="12"/>
      <c r="AB1426" s="12"/>
      <c r="AC1426" s="12"/>
      <c r="AD1426" s="12"/>
      <c r="AE1426" s="12"/>
      <c r="AF1426" s="12"/>
    </row>
    <row r="1427" spans="2:32" x14ac:dyDescent="0.35">
      <c r="B1427" s="21"/>
      <c r="D1427" s="2"/>
      <c r="E1427" s="2"/>
      <c r="F1427" s="32"/>
      <c r="G1427" s="32"/>
      <c r="H1427" s="32"/>
      <c r="I1427" s="32"/>
      <c r="J1427" s="32"/>
      <c r="K1427" s="32"/>
      <c r="L1427" s="32"/>
      <c r="M1427" s="32"/>
      <c r="N1427" s="32"/>
      <c r="O1427" s="32"/>
      <c r="P1427" s="32"/>
      <c r="Q1427" s="32"/>
      <c r="R1427" s="32"/>
      <c r="S1427" s="25"/>
      <c r="T1427" s="14"/>
      <c r="U1427" s="12"/>
      <c r="V1427" s="12"/>
      <c r="W1427" s="12"/>
      <c r="X1427" s="12"/>
      <c r="Y1427" s="12"/>
      <c r="Z1427" s="12"/>
      <c r="AA1427" s="12"/>
      <c r="AB1427" s="12"/>
      <c r="AC1427" s="12"/>
      <c r="AD1427" s="12"/>
      <c r="AE1427" s="12"/>
      <c r="AF1427" s="12"/>
    </row>
    <row r="1428" spans="2:32" x14ac:dyDescent="0.35">
      <c r="B1428" s="21"/>
      <c r="D1428" s="2"/>
      <c r="E1428" s="2"/>
      <c r="F1428" s="32"/>
      <c r="G1428" s="32"/>
      <c r="H1428" s="32"/>
      <c r="I1428" s="32"/>
      <c r="J1428" s="32"/>
      <c r="K1428" s="32"/>
      <c r="L1428" s="32"/>
      <c r="M1428" s="32"/>
      <c r="N1428" s="32"/>
      <c r="O1428" s="32"/>
      <c r="P1428" s="32"/>
      <c r="Q1428" s="32"/>
      <c r="R1428" s="32"/>
      <c r="S1428" s="25"/>
      <c r="T1428" s="14"/>
      <c r="U1428" s="12"/>
      <c r="V1428" s="12"/>
      <c r="W1428" s="12"/>
      <c r="X1428" s="12"/>
      <c r="Y1428" s="12"/>
      <c r="Z1428" s="12"/>
      <c r="AA1428" s="12"/>
      <c r="AB1428" s="12"/>
      <c r="AC1428" s="12"/>
      <c r="AD1428" s="12"/>
      <c r="AE1428" s="12"/>
      <c r="AF1428" s="12"/>
    </row>
    <row r="1429" spans="2:32" x14ac:dyDescent="0.35">
      <c r="B1429" s="21"/>
      <c r="D1429" s="2"/>
      <c r="E1429" s="2"/>
      <c r="F1429" s="32"/>
      <c r="G1429" s="32"/>
      <c r="H1429" s="32"/>
      <c r="I1429" s="32"/>
      <c r="J1429" s="32"/>
      <c r="K1429" s="32"/>
      <c r="L1429" s="32"/>
      <c r="M1429" s="32"/>
      <c r="N1429" s="32"/>
      <c r="O1429" s="32"/>
      <c r="P1429" s="32"/>
      <c r="Q1429" s="32"/>
      <c r="R1429" s="32"/>
      <c r="S1429" s="25"/>
      <c r="T1429" s="14"/>
      <c r="U1429" s="12"/>
      <c r="V1429" s="12"/>
      <c r="W1429" s="12"/>
      <c r="X1429" s="12"/>
      <c r="Y1429" s="12"/>
      <c r="Z1429" s="12"/>
      <c r="AA1429" s="12"/>
      <c r="AB1429" s="12"/>
      <c r="AC1429" s="12"/>
      <c r="AD1429" s="12"/>
      <c r="AE1429" s="12"/>
      <c r="AF1429" s="12"/>
    </row>
    <row r="1430" spans="2:32" x14ac:dyDescent="0.35">
      <c r="B1430" s="21"/>
      <c r="D1430" s="2"/>
      <c r="E1430" s="2"/>
      <c r="F1430" s="32"/>
      <c r="G1430" s="32"/>
      <c r="H1430" s="32"/>
      <c r="I1430" s="32"/>
      <c r="J1430" s="32"/>
      <c r="K1430" s="32"/>
      <c r="L1430" s="32"/>
      <c r="M1430" s="32"/>
      <c r="N1430" s="32"/>
      <c r="O1430" s="32"/>
      <c r="P1430" s="32"/>
      <c r="Q1430" s="32"/>
      <c r="R1430" s="32"/>
      <c r="S1430" s="25"/>
      <c r="T1430" s="14"/>
      <c r="U1430" s="12"/>
      <c r="V1430" s="12"/>
      <c r="W1430" s="12"/>
      <c r="X1430" s="12"/>
      <c r="Y1430" s="12"/>
      <c r="Z1430" s="12"/>
      <c r="AA1430" s="12"/>
      <c r="AB1430" s="12"/>
      <c r="AC1430" s="12"/>
      <c r="AD1430" s="12"/>
      <c r="AE1430" s="12"/>
      <c r="AF1430" s="12"/>
    </row>
    <row r="1431" spans="2:32" x14ac:dyDescent="0.35">
      <c r="B1431" s="21"/>
      <c r="D1431" s="2"/>
      <c r="E1431" s="2"/>
      <c r="F1431" s="32"/>
      <c r="G1431" s="32"/>
      <c r="H1431" s="32"/>
      <c r="I1431" s="32"/>
      <c r="J1431" s="32"/>
      <c r="K1431" s="32"/>
      <c r="L1431" s="32"/>
      <c r="M1431" s="32"/>
      <c r="N1431" s="32"/>
      <c r="O1431" s="32"/>
      <c r="P1431" s="32"/>
      <c r="Q1431" s="32"/>
      <c r="R1431" s="32"/>
      <c r="S1431" s="25"/>
      <c r="T1431" s="14"/>
      <c r="U1431" s="12"/>
      <c r="V1431" s="12"/>
      <c r="W1431" s="12"/>
      <c r="X1431" s="12"/>
      <c r="Y1431" s="12"/>
      <c r="Z1431" s="12"/>
      <c r="AA1431" s="12"/>
      <c r="AB1431" s="12"/>
      <c r="AC1431" s="12"/>
      <c r="AD1431" s="12"/>
      <c r="AE1431" s="12"/>
      <c r="AF1431" s="12"/>
    </row>
    <row r="1432" spans="2:32" x14ac:dyDescent="0.35">
      <c r="B1432" s="21"/>
      <c r="F1432" s="33"/>
      <c r="G1432" s="33"/>
      <c r="H1432" s="33"/>
      <c r="I1432" s="33"/>
      <c r="J1432" s="33"/>
      <c r="K1432" s="33"/>
      <c r="L1432" s="33"/>
      <c r="M1432" s="33"/>
      <c r="N1432" s="33"/>
      <c r="O1432" s="33"/>
      <c r="P1432" s="33"/>
      <c r="Q1432" s="33"/>
      <c r="R1432" s="33"/>
      <c r="S1432" s="25"/>
      <c r="T1432" s="22"/>
      <c r="U1432" s="12"/>
      <c r="V1432" s="12"/>
      <c r="W1432" s="12"/>
      <c r="X1432" s="12"/>
      <c r="Y1432" s="12"/>
      <c r="Z1432" s="12"/>
      <c r="AA1432" s="12"/>
      <c r="AB1432" s="12"/>
      <c r="AC1432" s="12"/>
      <c r="AD1432" s="12"/>
      <c r="AE1432" s="12"/>
      <c r="AF1432" s="12"/>
    </row>
    <row r="1433" spans="2:32" x14ac:dyDescent="0.35">
      <c r="B1433" s="21"/>
      <c r="D1433" s="2"/>
      <c r="E1433" s="2"/>
      <c r="F1433" s="32"/>
      <c r="G1433" s="32"/>
      <c r="H1433" s="32"/>
      <c r="I1433" s="32"/>
      <c r="J1433" s="32"/>
      <c r="K1433" s="32"/>
      <c r="L1433" s="32"/>
      <c r="M1433" s="32"/>
      <c r="N1433" s="32"/>
      <c r="O1433" s="32"/>
      <c r="P1433" s="32"/>
      <c r="Q1433" s="32"/>
      <c r="R1433" s="32"/>
      <c r="S1433" s="25"/>
      <c r="T1433" s="22"/>
      <c r="U1433" s="12"/>
      <c r="V1433" s="12"/>
      <c r="W1433" s="12"/>
      <c r="X1433" s="12"/>
      <c r="Y1433" s="12"/>
      <c r="Z1433" s="12"/>
      <c r="AA1433" s="12"/>
      <c r="AB1433" s="12"/>
      <c r="AC1433" s="12"/>
      <c r="AD1433" s="12"/>
      <c r="AE1433" s="12"/>
      <c r="AF1433" s="12"/>
    </row>
    <row r="1434" spans="2:32" x14ac:dyDescent="0.35">
      <c r="B1434" s="21"/>
      <c r="D1434" s="2"/>
      <c r="E1434" s="2"/>
      <c r="F1434" s="32"/>
      <c r="G1434" s="32"/>
      <c r="H1434" s="32"/>
      <c r="I1434" s="32"/>
      <c r="J1434" s="32"/>
      <c r="K1434" s="32"/>
      <c r="L1434" s="32"/>
      <c r="M1434" s="32"/>
      <c r="N1434" s="32"/>
      <c r="O1434" s="32"/>
      <c r="P1434" s="32"/>
      <c r="Q1434" s="32"/>
      <c r="R1434" s="32"/>
      <c r="S1434" s="25"/>
      <c r="T1434" s="22"/>
      <c r="U1434" s="12"/>
      <c r="V1434" s="12"/>
      <c r="W1434" s="12"/>
      <c r="X1434" s="12"/>
      <c r="Y1434" s="12"/>
      <c r="Z1434" s="12"/>
      <c r="AA1434" s="12"/>
      <c r="AB1434" s="12"/>
      <c r="AC1434" s="12"/>
      <c r="AD1434" s="12"/>
      <c r="AE1434" s="12"/>
      <c r="AF1434" s="12"/>
    </row>
    <row r="1435" spans="2:32" x14ac:dyDescent="0.35">
      <c r="B1435" s="21"/>
      <c r="D1435" s="2"/>
      <c r="E1435" s="2"/>
      <c r="F1435" s="32"/>
      <c r="G1435" s="32"/>
      <c r="H1435" s="32"/>
      <c r="I1435" s="32"/>
      <c r="J1435" s="32"/>
      <c r="K1435" s="32"/>
      <c r="L1435" s="32"/>
      <c r="M1435" s="32"/>
      <c r="N1435" s="32"/>
      <c r="O1435" s="32"/>
      <c r="P1435" s="32"/>
      <c r="Q1435" s="32"/>
      <c r="R1435" s="32"/>
      <c r="S1435" s="25"/>
      <c r="T1435" s="22"/>
      <c r="U1435" s="12"/>
      <c r="V1435" s="12"/>
      <c r="W1435" s="12"/>
      <c r="X1435" s="12"/>
      <c r="Y1435" s="12"/>
      <c r="Z1435" s="12"/>
      <c r="AA1435" s="12"/>
      <c r="AB1435" s="12"/>
      <c r="AC1435" s="12"/>
      <c r="AD1435" s="12"/>
      <c r="AE1435" s="12"/>
      <c r="AF1435" s="12"/>
    </row>
    <row r="1436" spans="2:32" x14ac:dyDescent="0.35">
      <c r="B1436" s="21"/>
      <c r="D1436" s="2"/>
      <c r="E1436" s="2"/>
      <c r="F1436" s="32"/>
      <c r="G1436" s="32"/>
      <c r="H1436" s="32"/>
      <c r="I1436" s="32"/>
      <c r="J1436" s="32"/>
      <c r="K1436" s="32"/>
      <c r="L1436" s="32"/>
      <c r="M1436" s="32"/>
      <c r="N1436" s="32"/>
      <c r="O1436" s="32"/>
      <c r="P1436" s="32"/>
      <c r="Q1436" s="32"/>
      <c r="R1436" s="32"/>
      <c r="S1436" s="25"/>
      <c r="T1436" s="22"/>
      <c r="U1436" s="12"/>
      <c r="V1436" s="12"/>
      <c r="W1436" s="12"/>
      <c r="X1436" s="12"/>
      <c r="Y1436" s="12"/>
      <c r="Z1436" s="12"/>
      <c r="AA1436" s="12"/>
      <c r="AB1436" s="12"/>
      <c r="AC1436" s="12"/>
      <c r="AD1436" s="12"/>
      <c r="AE1436" s="12"/>
      <c r="AF1436" s="12"/>
    </row>
    <row r="1437" spans="2:32" x14ac:dyDescent="0.35">
      <c r="B1437" s="21"/>
      <c r="D1437" s="2"/>
      <c r="E1437" s="2"/>
      <c r="F1437" s="32"/>
      <c r="G1437" s="32"/>
      <c r="H1437" s="32"/>
      <c r="I1437" s="32"/>
      <c r="J1437" s="32"/>
      <c r="K1437" s="32"/>
      <c r="L1437" s="32"/>
      <c r="M1437" s="32"/>
      <c r="N1437" s="32"/>
      <c r="O1437" s="32"/>
      <c r="P1437" s="32"/>
      <c r="Q1437" s="32"/>
      <c r="R1437" s="32"/>
      <c r="S1437" s="25"/>
      <c r="T1437" s="22"/>
      <c r="U1437" s="12"/>
      <c r="V1437" s="12"/>
      <c r="W1437" s="12"/>
      <c r="X1437" s="12"/>
      <c r="Y1437" s="12"/>
      <c r="Z1437" s="12"/>
      <c r="AA1437" s="12"/>
      <c r="AB1437" s="12"/>
      <c r="AC1437" s="12"/>
      <c r="AD1437" s="12"/>
      <c r="AE1437" s="12"/>
      <c r="AF1437" s="12"/>
    </row>
    <row r="1438" spans="2:32" x14ac:dyDescent="0.35">
      <c r="B1438" s="21"/>
      <c r="D1438" s="2"/>
      <c r="E1438" s="2"/>
      <c r="F1438" s="32"/>
      <c r="G1438" s="32"/>
      <c r="H1438" s="32"/>
      <c r="I1438" s="32"/>
      <c r="J1438" s="32"/>
      <c r="K1438" s="32"/>
      <c r="L1438" s="32"/>
      <c r="M1438" s="32"/>
      <c r="N1438" s="32"/>
      <c r="O1438" s="32"/>
      <c r="P1438" s="32"/>
      <c r="Q1438" s="32"/>
      <c r="R1438" s="32"/>
      <c r="S1438" s="25"/>
      <c r="T1438" s="22"/>
      <c r="U1438" s="12"/>
      <c r="V1438" s="12"/>
      <c r="W1438" s="12"/>
      <c r="X1438" s="12"/>
      <c r="Y1438" s="12"/>
      <c r="Z1438" s="12"/>
      <c r="AA1438" s="12"/>
      <c r="AB1438" s="12"/>
      <c r="AC1438" s="12"/>
      <c r="AD1438" s="12"/>
      <c r="AE1438" s="12"/>
      <c r="AF1438" s="12"/>
    </row>
    <row r="1439" spans="2:32" x14ac:dyDescent="0.35">
      <c r="B1439" s="21"/>
      <c r="D1439" s="2"/>
      <c r="E1439" s="2"/>
      <c r="F1439" s="32"/>
      <c r="G1439" s="32"/>
      <c r="H1439" s="32"/>
      <c r="I1439" s="32"/>
      <c r="J1439" s="32"/>
      <c r="K1439" s="32"/>
      <c r="L1439" s="32"/>
      <c r="M1439" s="32"/>
      <c r="N1439" s="32"/>
      <c r="O1439" s="32"/>
      <c r="P1439" s="32"/>
      <c r="Q1439" s="32"/>
      <c r="R1439" s="32"/>
      <c r="S1439" s="25"/>
      <c r="T1439" s="22"/>
      <c r="U1439" s="12"/>
      <c r="V1439" s="12"/>
      <c r="W1439" s="12"/>
      <c r="X1439" s="12"/>
      <c r="Y1439" s="12"/>
      <c r="Z1439" s="12"/>
      <c r="AA1439" s="12"/>
      <c r="AB1439" s="12"/>
      <c r="AC1439" s="12"/>
      <c r="AD1439" s="12"/>
      <c r="AE1439" s="12"/>
      <c r="AF1439" s="12"/>
    </row>
    <row r="1440" spans="2:32" x14ac:dyDescent="0.35">
      <c r="B1440" s="21"/>
      <c r="F1440" s="33"/>
      <c r="G1440" s="33"/>
      <c r="H1440" s="33"/>
      <c r="I1440" s="33"/>
      <c r="J1440" s="33"/>
      <c r="K1440" s="33"/>
      <c r="L1440" s="33"/>
      <c r="M1440" s="33"/>
      <c r="N1440" s="33"/>
      <c r="O1440" s="33"/>
      <c r="P1440" s="33"/>
      <c r="Q1440" s="33"/>
      <c r="R1440" s="33"/>
      <c r="S1440" s="25"/>
      <c r="T1440" s="22"/>
      <c r="U1440" s="12"/>
      <c r="V1440" s="12"/>
      <c r="W1440" s="12"/>
      <c r="X1440" s="12"/>
      <c r="Y1440" s="12"/>
      <c r="Z1440" s="12"/>
      <c r="AA1440" s="12"/>
      <c r="AB1440" s="12"/>
      <c r="AC1440" s="12"/>
      <c r="AD1440" s="12"/>
      <c r="AE1440" s="12"/>
      <c r="AF1440" s="12"/>
    </row>
    <row r="1441" spans="2:32" x14ac:dyDescent="0.35">
      <c r="B1441" s="21"/>
      <c r="D1441" s="2"/>
      <c r="E1441" s="2"/>
      <c r="F1441" s="32"/>
      <c r="G1441" s="32"/>
      <c r="H1441" s="32"/>
      <c r="I1441" s="32"/>
      <c r="J1441" s="32"/>
      <c r="K1441" s="32"/>
      <c r="L1441" s="32"/>
      <c r="M1441" s="32"/>
      <c r="N1441" s="32"/>
      <c r="O1441" s="32"/>
      <c r="P1441" s="32"/>
      <c r="Q1441" s="32"/>
      <c r="R1441" s="32"/>
      <c r="S1441" s="25"/>
      <c r="T1441" s="22"/>
      <c r="U1441" s="12"/>
      <c r="V1441" s="12"/>
      <c r="W1441" s="12"/>
      <c r="X1441" s="12"/>
      <c r="Y1441" s="12"/>
      <c r="Z1441" s="12"/>
      <c r="AA1441" s="12"/>
      <c r="AB1441" s="12"/>
      <c r="AC1441" s="12"/>
      <c r="AD1441" s="12"/>
      <c r="AE1441" s="12"/>
      <c r="AF1441" s="12"/>
    </row>
    <row r="1442" spans="2:32" x14ac:dyDescent="0.35">
      <c r="B1442" s="21"/>
      <c r="D1442" s="2"/>
      <c r="E1442" s="2"/>
      <c r="F1442" s="32"/>
      <c r="G1442" s="32"/>
      <c r="H1442" s="32"/>
      <c r="I1442" s="32"/>
      <c r="J1442" s="32"/>
      <c r="K1442" s="32"/>
      <c r="L1442" s="32"/>
      <c r="M1442" s="32"/>
      <c r="N1442" s="32"/>
      <c r="O1442" s="32"/>
      <c r="P1442" s="32"/>
      <c r="Q1442" s="32"/>
      <c r="R1442" s="32"/>
      <c r="S1442" s="25"/>
      <c r="T1442" s="22"/>
      <c r="U1442" s="12"/>
      <c r="V1442" s="12"/>
      <c r="W1442" s="12"/>
      <c r="X1442" s="12"/>
      <c r="Y1442" s="12"/>
      <c r="Z1442" s="12"/>
      <c r="AA1442" s="12"/>
      <c r="AB1442" s="12"/>
      <c r="AC1442" s="12"/>
      <c r="AD1442" s="12"/>
      <c r="AE1442" s="12"/>
      <c r="AF1442" s="12"/>
    </row>
    <row r="1443" spans="2:32" x14ac:dyDescent="0.35">
      <c r="B1443" s="21"/>
      <c r="D1443" s="2"/>
      <c r="E1443" s="2"/>
      <c r="F1443" s="32"/>
      <c r="G1443" s="32"/>
      <c r="H1443" s="32"/>
      <c r="I1443" s="32"/>
      <c r="J1443" s="32"/>
      <c r="K1443" s="32"/>
      <c r="L1443" s="32"/>
      <c r="M1443" s="32"/>
      <c r="N1443" s="32"/>
      <c r="O1443" s="32"/>
      <c r="P1443" s="32"/>
      <c r="Q1443" s="32"/>
      <c r="R1443" s="32"/>
      <c r="S1443" s="25"/>
      <c r="T1443" s="22"/>
      <c r="U1443" s="12"/>
      <c r="V1443" s="12"/>
      <c r="W1443" s="12"/>
      <c r="X1443" s="12"/>
      <c r="Y1443" s="12"/>
      <c r="Z1443" s="12"/>
      <c r="AA1443" s="12"/>
      <c r="AB1443" s="12"/>
      <c r="AC1443" s="12"/>
      <c r="AD1443" s="12"/>
      <c r="AE1443" s="12"/>
      <c r="AF1443" s="12"/>
    </row>
    <row r="1444" spans="2:32" x14ac:dyDescent="0.35">
      <c r="B1444" s="21"/>
      <c r="D1444" s="2"/>
      <c r="E1444" s="2"/>
      <c r="F1444" s="32"/>
      <c r="G1444" s="32"/>
      <c r="H1444" s="32"/>
      <c r="I1444" s="32"/>
      <c r="J1444" s="32"/>
      <c r="K1444" s="32"/>
      <c r="L1444" s="32"/>
      <c r="M1444" s="32"/>
      <c r="N1444" s="32"/>
      <c r="O1444" s="32"/>
      <c r="P1444" s="32"/>
      <c r="Q1444" s="32"/>
      <c r="R1444" s="32"/>
      <c r="S1444" s="25"/>
      <c r="T1444" s="22"/>
      <c r="U1444" s="12"/>
      <c r="V1444" s="12"/>
      <c r="W1444" s="12"/>
      <c r="X1444" s="12"/>
      <c r="Y1444" s="12"/>
      <c r="Z1444" s="12"/>
      <c r="AA1444" s="12"/>
      <c r="AB1444" s="12"/>
      <c r="AC1444" s="12"/>
      <c r="AD1444" s="12"/>
      <c r="AE1444" s="12"/>
      <c r="AF1444" s="12"/>
    </row>
    <row r="1445" spans="2:32" x14ac:dyDescent="0.35">
      <c r="B1445" s="21"/>
      <c r="D1445" s="2"/>
      <c r="E1445" s="2"/>
      <c r="F1445" s="32"/>
      <c r="G1445" s="32"/>
      <c r="H1445" s="32"/>
      <c r="I1445" s="32"/>
      <c r="J1445" s="32"/>
      <c r="K1445" s="32"/>
      <c r="L1445" s="32"/>
      <c r="M1445" s="32"/>
      <c r="N1445" s="32"/>
      <c r="O1445" s="32"/>
      <c r="P1445" s="32"/>
      <c r="Q1445" s="32"/>
      <c r="R1445" s="32"/>
      <c r="S1445" s="25"/>
      <c r="T1445" s="22"/>
      <c r="U1445" s="12"/>
      <c r="V1445" s="12"/>
      <c r="W1445" s="12"/>
      <c r="X1445" s="12"/>
      <c r="Y1445" s="12"/>
      <c r="Z1445" s="12"/>
      <c r="AA1445" s="12"/>
      <c r="AB1445" s="12"/>
      <c r="AC1445" s="12"/>
      <c r="AD1445" s="12"/>
      <c r="AE1445" s="12"/>
      <c r="AF1445" s="12"/>
    </row>
    <row r="1446" spans="2:32" x14ac:dyDescent="0.35">
      <c r="B1446" s="21"/>
      <c r="D1446" s="2"/>
      <c r="E1446" s="2"/>
      <c r="F1446" s="32"/>
      <c r="G1446" s="32"/>
      <c r="H1446" s="32"/>
      <c r="I1446" s="32"/>
      <c r="J1446" s="32"/>
      <c r="K1446" s="32"/>
      <c r="L1446" s="32"/>
      <c r="M1446" s="32"/>
      <c r="N1446" s="32"/>
      <c r="O1446" s="32"/>
      <c r="P1446" s="32"/>
      <c r="Q1446" s="32"/>
      <c r="R1446" s="32"/>
      <c r="S1446" s="25"/>
      <c r="T1446" s="22"/>
      <c r="U1446" s="12"/>
      <c r="V1446" s="12"/>
      <c r="W1446" s="12"/>
      <c r="X1446" s="12"/>
      <c r="Y1446" s="12"/>
      <c r="Z1446" s="12"/>
      <c r="AA1446" s="12"/>
      <c r="AB1446" s="12"/>
      <c r="AC1446" s="12"/>
      <c r="AD1446" s="12"/>
      <c r="AE1446" s="12"/>
      <c r="AF1446" s="12"/>
    </row>
    <row r="1447" spans="2:32" x14ac:dyDescent="0.35">
      <c r="B1447" s="21"/>
      <c r="D1447" s="2"/>
      <c r="E1447" s="2"/>
      <c r="F1447" s="32"/>
      <c r="G1447" s="32"/>
      <c r="H1447" s="32"/>
      <c r="I1447" s="32"/>
      <c r="J1447" s="32"/>
      <c r="K1447" s="32"/>
      <c r="L1447" s="32"/>
      <c r="M1447" s="32"/>
      <c r="N1447" s="32"/>
      <c r="O1447" s="32"/>
      <c r="P1447" s="32"/>
      <c r="Q1447" s="32"/>
      <c r="R1447" s="32"/>
      <c r="S1447" s="25"/>
      <c r="T1447" s="22"/>
      <c r="U1447" s="12"/>
      <c r="V1447" s="12"/>
      <c r="W1447" s="12"/>
      <c r="X1447" s="12"/>
      <c r="Y1447" s="12"/>
      <c r="Z1447" s="12"/>
      <c r="AA1447" s="12"/>
      <c r="AB1447" s="12"/>
      <c r="AC1447" s="12"/>
      <c r="AD1447" s="12"/>
      <c r="AE1447" s="12"/>
      <c r="AF1447" s="12"/>
    </row>
    <row r="1448" spans="2:32" x14ac:dyDescent="0.35">
      <c r="B1448" s="21"/>
      <c r="F1448" s="33"/>
      <c r="G1448" s="33"/>
      <c r="H1448" s="33"/>
      <c r="I1448" s="33"/>
      <c r="J1448" s="33"/>
      <c r="K1448" s="33"/>
      <c r="L1448" s="33"/>
      <c r="M1448" s="33"/>
      <c r="N1448" s="33"/>
      <c r="O1448" s="33"/>
      <c r="P1448" s="33"/>
      <c r="Q1448" s="33"/>
      <c r="R1448" s="33"/>
      <c r="S1448" s="25"/>
      <c r="T1448" s="14"/>
      <c r="U1448" s="12"/>
      <c r="V1448" s="12"/>
      <c r="W1448" s="12"/>
      <c r="X1448" s="12"/>
      <c r="Y1448" s="12"/>
      <c r="Z1448" s="12"/>
      <c r="AA1448" s="12"/>
      <c r="AB1448" s="12"/>
      <c r="AC1448" s="12"/>
      <c r="AD1448" s="12"/>
      <c r="AE1448" s="12"/>
      <c r="AF1448" s="12"/>
    </row>
    <row r="1449" spans="2:32" x14ac:dyDescent="0.35">
      <c r="B1449" s="21"/>
      <c r="D1449" s="2"/>
      <c r="E1449" s="2"/>
      <c r="F1449" s="32"/>
      <c r="G1449" s="32"/>
      <c r="H1449" s="32"/>
      <c r="I1449" s="32"/>
      <c r="J1449" s="32"/>
      <c r="K1449" s="32"/>
      <c r="L1449" s="32"/>
      <c r="M1449" s="32"/>
      <c r="N1449" s="32"/>
      <c r="O1449" s="32"/>
      <c r="P1449" s="32"/>
      <c r="Q1449" s="32"/>
      <c r="R1449" s="32"/>
      <c r="S1449" s="25"/>
      <c r="T1449" s="14"/>
      <c r="U1449" s="12"/>
      <c r="V1449" s="12"/>
      <c r="W1449" s="12"/>
      <c r="X1449" s="12"/>
      <c r="Y1449" s="12"/>
      <c r="Z1449" s="12"/>
      <c r="AA1449" s="12"/>
      <c r="AB1449" s="12"/>
      <c r="AC1449" s="12"/>
      <c r="AD1449" s="12"/>
      <c r="AE1449" s="12"/>
      <c r="AF1449" s="12"/>
    </row>
    <row r="1450" spans="2:32" x14ac:dyDescent="0.35">
      <c r="B1450" s="21"/>
      <c r="D1450" s="2"/>
      <c r="E1450" s="2"/>
      <c r="F1450" s="32"/>
      <c r="G1450" s="32"/>
      <c r="H1450" s="32"/>
      <c r="I1450" s="32"/>
      <c r="J1450" s="32"/>
      <c r="K1450" s="32"/>
      <c r="L1450" s="32"/>
      <c r="M1450" s="32"/>
      <c r="N1450" s="32"/>
      <c r="O1450" s="32"/>
      <c r="P1450" s="32"/>
      <c r="Q1450" s="32"/>
      <c r="R1450" s="32"/>
      <c r="S1450" s="25"/>
      <c r="T1450" s="14"/>
      <c r="U1450" s="12"/>
      <c r="V1450" s="12"/>
      <c r="W1450" s="12"/>
      <c r="X1450" s="12"/>
      <c r="Y1450" s="12"/>
      <c r="Z1450" s="12"/>
      <c r="AA1450" s="12"/>
      <c r="AB1450" s="12"/>
      <c r="AC1450" s="12"/>
      <c r="AD1450" s="12"/>
      <c r="AE1450" s="12"/>
      <c r="AF1450" s="12"/>
    </row>
    <row r="1451" spans="2:32" x14ac:dyDescent="0.35">
      <c r="B1451" s="21"/>
      <c r="D1451" s="2"/>
      <c r="E1451" s="2"/>
      <c r="F1451" s="32"/>
      <c r="G1451" s="32"/>
      <c r="H1451" s="32"/>
      <c r="I1451" s="32"/>
      <c r="J1451" s="32"/>
      <c r="K1451" s="32"/>
      <c r="L1451" s="32"/>
      <c r="M1451" s="32"/>
      <c r="N1451" s="32"/>
      <c r="O1451" s="32"/>
      <c r="P1451" s="32"/>
      <c r="Q1451" s="32"/>
      <c r="R1451" s="32"/>
      <c r="S1451" s="25"/>
      <c r="T1451" s="14"/>
      <c r="U1451" s="12"/>
      <c r="V1451" s="12"/>
      <c r="W1451" s="12"/>
      <c r="X1451" s="12"/>
      <c r="Y1451" s="12"/>
      <c r="Z1451" s="12"/>
      <c r="AA1451" s="12"/>
      <c r="AB1451" s="12"/>
      <c r="AC1451" s="12"/>
      <c r="AD1451" s="12"/>
      <c r="AE1451" s="12"/>
      <c r="AF1451" s="12"/>
    </row>
    <row r="1452" spans="2:32" x14ac:dyDescent="0.35">
      <c r="B1452" s="21"/>
      <c r="D1452" s="2"/>
      <c r="E1452" s="2"/>
      <c r="F1452" s="32"/>
      <c r="G1452" s="32"/>
      <c r="H1452" s="32"/>
      <c r="I1452" s="32"/>
      <c r="J1452" s="32"/>
      <c r="K1452" s="32"/>
      <c r="L1452" s="32"/>
      <c r="M1452" s="32"/>
      <c r="N1452" s="32"/>
      <c r="O1452" s="32"/>
      <c r="P1452" s="32"/>
      <c r="Q1452" s="32"/>
      <c r="R1452" s="32"/>
      <c r="S1452" s="25"/>
      <c r="T1452" s="14"/>
      <c r="U1452" s="12"/>
      <c r="V1452" s="12"/>
      <c r="W1452" s="12"/>
      <c r="X1452" s="12"/>
      <c r="Y1452" s="12"/>
      <c r="Z1452" s="12"/>
      <c r="AA1452" s="12"/>
      <c r="AB1452" s="12"/>
      <c r="AC1452" s="12"/>
      <c r="AD1452" s="12"/>
      <c r="AE1452" s="12"/>
      <c r="AF1452" s="12"/>
    </row>
    <row r="1453" spans="2:32" x14ac:dyDescent="0.35">
      <c r="B1453" s="21"/>
      <c r="D1453" s="2"/>
      <c r="E1453" s="2"/>
      <c r="F1453" s="32"/>
      <c r="G1453" s="32"/>
      <c r="H1453" s="32"/>
      <c r="I1453" s="32"/>
      <c r="J1453" s="32"/>
      <c r="K1453" s="32"/>
      <c r="L1453" s="32"/>
      <c r="M1453" s="32"/>
      <c r="N1453" s="32"/>
      <c r="O1453" s="32"/>
      <c r="P1453" s="32"/>
      <c r="Q1453" s="32"/>
      <c r="R1453" s="32"/>
      <c r="S1453" s="25"/>
      <c r="T1453" s="14"/>
      <c r="U1453" s="12"/>
      <c r="V1453" s="12"/>
      <c r="W1453" s="12"/>
      <c r="X1453" s="12"/>
      <c r="Y1453" s="12"/>
      <c r="Z1453" s="12"/>
      <c r="AA1453" s="12"/>
      <c r="AB1453" s="12"/>
      <c r="AC1453" s="12"/>
      <c r="AD1453" s="12"/>
      <c r="AE1453" s="12"/>
      <c r="AF1453" s="12"/>
    </row>
    <row r="1454" spans="2:32" x14ac:dyDescent="0.35">
      <c r="B1454" s="21"/>
      <c r="D1454" s="2"/>
      <c r="E1454" s="2"/>
      <c r="F1454" s="32"/>
      <c r="G1454" s="32"/>
      <c r="H1454" s="32"/>
      <c r="I1454" s="32"/>
      <c r="J1454" s="32"/>
      <c r="K1454" s="32"/>
      <c r="L1454" s="32"/>
      <c r="M1454" s="32"/>
      <c r="N1454" s="32"/>
      <c r="O1454" s="32"/>
      <c r="P1454" s="32"/>
      <c r="Q1454" s="32"/>
      <c r="R1454" s="32"/>
      <c r="S1454" s="25"/>
      <c r="T1454" s="14"/>
      <c r="U1454" s="12"/>
      <c r="V1454" s="12"/>
      <c r="W1454" s="12"/>
      <c r="X1454" s="12"/>
      <c r="Y1454" s="12"/>
      <c r="Z1454" s="12"/>
      <c r="AA1454" s="12"/>
      <c r="AB1454" s="12"/>
      <c r="AC1454" s="12"/>
      <c r="AD1454" s="12"/>
      <c r="AE1454" s="12"/>
      <c r="AF1454" s="12"/>
    </row>
    <row r="1455" spans="2:32" x14ac:dyDescent="0.35">
      <c r="B1455" s="21"/>
      <c r="D1455" s="2"/>
      <c r="E1455" s="2"/>
      <c r="F1455" s="32"/>
      <c r="G1455" s="32"/>
      <c r="H1455" s="32"/>
      <c r="I1455" s="32"/>
      <c r="J1455" s="32"/>
      <c r="K1455" s="32"/>
      <c r="L1455" s="32"/>
      <c r="M1455" s="32"/>
      <c r="N1455" s="32"/>
      <c r="O1455" s="32"/>
      <c r="P1455" s="32"/>
      <c r="Q1455" s="32"/>
      <c r="R1455" s="32"/>
      <c r="S1455" s="25"/>
      <c r="T1455" s="14"/>
      <c r="U1455" s="12"/>
      <c r="V1455" s="12"/>
      <c r="W1455" s="12"/>
      <c r="X1455" s="12"/>
      <c r="Y1455" s="12"/>
      <c r="Z1455" s="12"/>
      <c r="AA1455" s="12"/>
      <c r="AB1455" s="12"/>
      <c r="AC1455" s="12"/>
      <c r="AD1455" s="12"/>
      <c r="AE1455" s="12"/>
      <c r="AF1455" s="12"/>
    </row>
    <row r="1456" spans="2:32" x14ac:dyDescent="0.35">
      <c r="B1456" s="21"/>
      <c r="F1456" s="33"/>
      <c r="G1456" s="33"/>
      <c r="H1456" s="33"/>
      <c r="I1456" s="33"/>
      <c r="J1456" s="33"/>
      <c r="K1456" s="33"/>
      <c r="L1456" s="33"/>
      <c r="M1456" s="33"/>
      <c r="N1456" s="33"/>
      <c r="O1456" s="33"/>
      <c r="P1456" s="33"/>
      <c r="Q1456" s="33"/>
      <c r="R1456" s="33"/>
      <c r="S1456" s="25"/>
      <c r="T1456" s="14"/>
      <c r="U1456" s="12"/>
      <c r="V1456" s="12"/>
      <c r="W1456" s="12"/>
      <c r="X1456" s="12"/>
      <c r="Y1456" s="12"/>
      <c r="Z1456" s="12"/>
      <c r="AA1456" s="12"/>
      <c r="AB1456" s="12"/>
      <c r="AC1456" s="12"/>
      <c r="AD1456" s="12"/>
      <c r="AE1456" s="12"/>
      <c r="AF1456" s="12"/>
    </row>
    <row r="1457" spans="1:32" x14ac:dyDescent="0.35">
      <c r="A1457" s="21"/>
      <c r="B1457" s="21"/>
      <c r="D1457" s="2"/>
      <c r="E1457" s="2"/>
      <c r="F1457" s="32"/>
      <c r="G1457" s="32"/>
      <c r="H1457" s="32"/>
      <c r="I1457" s="32"/>
      <c r="J1457" s="32"/>
      <c r="K1457" s="32"/>
      <c r="L1457" s="32"/>
      <c r="M1457" s="32"/>
      <c r="N1457" s="32"/>
      <c r="O1457" s="32"/>
      <c r="P1457" s="32"/>
      <c r="Q1457" s="32"/>
      <c r="R1457" s="32"/>
      <c r="S1457" s="25"/>
      <c r="T1457" s="14"/>
      <c r="U1457" s="12"/>
      <c r="V1457" s="12"/>
      <c r="W1457" s="12"/>
      <c r="X1457" s="12"/>
      <c r="Y1457" s="12"/>
      <c r="Z1457" s="12"/>
      <c r="AA1457" s="12"/>
      <c r="AB1457" s="12"/>
      <c r="AC1457" s="12"/>
      <c r="AD1457" s="12"/>
      <c r="AE1457" s="12"/>
      <c r="AF1457" s="12"/>
    </row>
    <row r="1458" spans="1:32" x14ac:dyDescent="0.35">
      <c r="A1458" s="21"/>
      <c r="B1458" s="21"/>
      <c r="D1458" s="2"/>
      <c r="E1458" s="2"/>
      <c r="F1458" s="32"/>
      <c r="G1458" s="32"/>
      <c r="H1458" s="32"/>
      <c r="I1458" s="32"/>
      <c r="J1458" s="32"/>
      <c r="K1458" s="32"/>
      <c r="L1458" s="32"/>
      <c r="M1458" s="32"/>
      <c r="N1458" s="32"/>
      <c r="O1458" s="32"/>
      <c r="P1458" s="32"/>
      <c r="Q1458" s="32"/>
      <c r="R1458" s="32"/>
      <c r="S1458" s="25"/>
      <c r="T1458" s="22"/>
      <c r="U1458" s="12"/>
      <c r="V1458" s="12"/>
      <c r="W1458" s="12"/>
      <c r="X1458" s="12"/>
      <c r="Y1458" s="12"/>
      <c r="Z1458" s="12"/>
      <c r="AA1458" s="12"/>
      <c r="AB1458" s="12"/>
      <c r="AC1458" s="12"/>
      <c r="AD1458" s="12"/>
      <c r="AE1458" s="12"/>
      <c r="AF1458" s="12"/>
    </row>
    <row r="1459" spans="1:32" x14ac:dyDescent="0.35">
      <c r="A1459" s="21"/>
      <c r="B1459" s="21"/>
      <c r="D1459" s="2"/>
      <c r="E1459" s="2"/>
      <c r="F1459" s="32"/>
      <c r="G1459" s="32"/>
      <c r="H1459" s="32"/>
      <c r="I1459" s="32"/>
      <c r="J1459" s="32"/>
      <c r="K1459" s="32"/>
      <c r="L1459" s="32"/>
      <c r="M1459" s="32"/>
      <c r="N1459" s="32"/>
      <c r="O1459" s="32"/>
      <c r="P1459" s="32"/>
      <c r="Q1459" s="32"/>
      <c r="R1459" s="32"/>
      <c r="S1459" s="25"/>
      <c r="T1459" s="22"/>
      <c r="U1459" s="12"/>
      <c r="V1459" s="12"/>
      <c r="W1459" s="12"/>
      <c r="X1459" s="12"/>
      <c r="Y1459" s="12"/>
      <c r="Z1459" s="12"/>
      <c r="AA1459" s="12"/>
      <c r="AB1459" s="12"/>
      <c r="AC1459" s="12"/>
      <c r="AD1459" s="12"/>
      <c r="AE1459" s="12"/>
      <c r="AF1459" s="12"/>
    </row>
    <row r="1460" spans="1:32" x14ac:dyDescent="0.35">
      <c r="A1460" s="21"/>
      <c r="B1460" s="21"/>
      <c r="D1460" s="2"/>
      <c r="E1460" s="2"/>
      <c r="F1460" s="32"/>
      <c r="G1460" s="32"/>
      <c r="H1460" s="32"/>
      <c r="I1460" s="32"/>
      <c r="J1460" s="32"/>
      <c r="K1460" s="32"/>
      <c r="L1460" s="32"/>
      <c r="M1460" s="32"/>
      <c r="N1460" s="32"/>
      <c r="O1460" s="32"/>
      <c r="P1460" s="32"/>
      <c r="Q1460" s="32"/>
      <c r="R1460" s="32"/>
      <c r="S1460" s="25"/>
      <c r="T1460" s="22"/>
      <c r="U1460" s="12"/>
      <c r="V1460" s="12"/>
      <c r="W1460" s="12"/>
      <c r="X1460" s="12"/>
      <c r="Y1460" s="12"/>
      <c r="Z1460" s="12"/>
      <c r="AA1460" s="12"/>
      <c r="AB1460" s="12"/>
      <c r="AC1460" s="12"/>
      <c r="AD1460" s="12"/>
      <c r="AE1460" s="12"/>
      <c r="AF1460" s="12"/>
    </row>
    <row r="1461" spans="1:32" x14ac:dyDescent="0.35">
      <c r="A1461" s="21"/>
      <c r="B1461" s="21"/>
      <c r="D1461" s="2"/>
      <c r="E1461" s="2"/>
      <c r="F1461" s="32"/>
      <c r="G1461" s="32"/>
      <c r="H1461" s="32"/>
      <c r="I1461" s="32"/>
      <c r="J1461" s="32"/>
      <c r="K1461" s="32"/>
      <c r="L1461" s="32"/>
      <c r="M1461" s="32"/>
      <c r="N1461" s="32"/>
      <c r="O1461" s="32"/>
      <c r="P1461" s="32"/>
      <c r="Q1461" s="32"/>
      <c r="R1461" s="32"/>
      <c r="S1461" s="25"/>
      <c r="T1461" s="22"/>
      <c r="U1461" s="12"/>
      <c r="V1461" s="12"/>
      <c r="W1461" s="12"/>
      <c r="X1461" s="12"/>
      <c r="Y1461" s="12"/>
      <c r="Z1461" s="12"/>
      <c r="AA1461" s="12"/>
      <c r="AB1461" s="12"/>
      <c r="AC1461" s="12"/>
      <c r="AD1461" s="12"/>
      <c r="AE1461" s="12"/>
      <c r="AF1461" s="12"/>
    </row>
    <row r="1462" spans="1:32" x14ac:dyDescent="0.35">
      <c r="A1462" s="21"/>
      <c r="B1462" s="21"/>
      <c r="D1462" s="2"/>
      <c r="E1462" s="2"/>
      <c r="F1462" s="32"/>
      <c r="G1462" s="32"/>
      <c r="H1462" s="32"/>
      <c r="I1462" s="32"/>
      <c r="J1462" s="32"/>
      <c r="K1462" s="32"/>
      <c r="L1462" s="32"/>
      <c r="M1462" s="32"/>
      <c r="N1462" s="32"/>
      <c r="O1462" s="32"/>
      <c r="P1462" s="32"/>
      <c r="Q1462" s="32"/>
      <c r="R1462" s="32"/>
      <c r="S1462" s="25"/>
      <c r="T1462" s="22"/>
      <c r="U1462" s="12"/>
      <c r="V1462" s="12"/>
      <c r="W1462" s="12"/>
      <c r="X1462" s="12"/>
      <c r="Y1462" s="12"/>
      <c r="Z1462" s="12"/>
      <c r="AA1462" s="12"/>
      <c r="AB1462" s="12"/>
      <c r="AC1462" s="12"/>
      <c r="AD1462" s="12"/>
      <c r="AE1462" s="12"/>
      <c r="AF1462" s="12"/>
    </row>
    <row r="1463" spans="1:32" x14ac:dyDescent="0.35">
      <c r="A1463" s="21"/>
      <c r="B1463" s="21"/>
      <c r="D1463" s="2"/>
      <c r="E1463" s="2"/>
      <c r="F1463" s="32"/>
      <c r="G1463" s="32"/>
      <c r="H1463" s="32"/>
      <c r="I1463" s="32"/>
      <c r="J1463" s="32"/>
      <c r="K1463" s="32"/>
      <c r="L1463" s="32"/>
      <c r="M1463" s="32"/>
      <c r="N1463" s="32"/>
      <c r="O1463" s="32"/>
      <c r="P1463" s="32"/>
      <c r="Q1463" s="32"/>
      <c r="R1463" s="32"/>
      <c r="S1463" s="25"/>
      <c r="T1463" s="22"/>
      <c r="U1463" s="12"/>
      <c r="V1463" s="12"/>
      <c r="W1463" s="12"/>
      <c r="X1463" s="12"/>
      <c r="Y1463" s="12"/>
      <c r="Z1463" s="12"/>
      <c r="AA1463" s="12"/>
      <c r="AB1463" s="12"/>
      <c r="AC1463" s="12"/>
      <c r="AD1463" s="12"/>
      <c r="AE1463" s="12"/>
      <c r="AF1463" s="12"/>
    </row>
    <row r="1464" spans="1:32" x14ac:dyDescent="0.35">
      <c r="A1464" s="21"/>
      <c r="B1464" s="21"/>
      <c r="F1464" s="33"/>
      <c r="G1464" s="33"/>
      <c r="H1464" s="33"/>
      <c r="I1464" s="33"/>
      <c r="J1464" s="33"/>
      <c r="K1464" s="33"/>
      <c r="L1464" s="33"/>
      <c r="M1464" s="33"/>
      <c r="N1464" s="33"/>
      <c r="O1464" s="33"/>
      <c r="P1464" s="33"/>
      <c r="Q1464" s="33"/>
      <c r="R1464" s="33"/>
      <c r="S1464" s="25"/>
      <c r="T1464" s="22"/>
      <c r="U1464" s="12"/>
      <c r="V1464" s="12"/>
      <c r="W1464" s="12"/>
      <c r="X1464" s="12"/>
      <c r="Y1464" s="12"/>
      <c r="Z1464" s="12"/>
      <c r="AA1464" s="12"/>
      <c r="AB1464" s="12"/>
      <c r="AC1464" s="12"/>
      <c r="AD1464" s="12"/>
      <c r="AE1464" s="12"/>
      <c r="AF1464" s="12"/>
    </row>
    <row r="1465" spans="1:32" x14ac:dyDescent="0.35">
      <c r="B1465" s="21"/>
      <c r="D1465" s="2"/>
      <c r="E1465" s="2"/>
      <c r="F1465" s="32"/>
      <c r="G1465" s="32"/>
      <c r="H1465" s="32"/>
      <c r="I1465" s="32"/>
      <c r="J1465" s="32"/>
      <c r="K1465" s="32"/>
      <c r="L1465" s="32"/>
      <c r="M1465" s="32"/>
      <c r="N1465" s="32"/>
      <c r="O1465" s="32"/>
      <c r="P1465" s="32"/>
      <c r="Q1465" s="32"/>
      <c r="R1465" s="32"/>
      <c r="S1465" s="25"/>
      <c r="T1465" s="22"/>
      <c r="U1465" s="12"/>
      <c r="V1465" s="12"/>
      <c r="W1465" s="12"/>
      <c r="X1465" s="12"/>
      <c r="Y1465" s="12"/>
      <c r="Z1465" s="12"/>
      <c r="AA1465" s="12"/>
      <c r="AB1465" s="12"/>
      <c r="AC1465" s="12"/>
      <c r="AD1465" s="12"/>
      <c r="AE1465" s="12"/>
      <c r="AF1465" s="12"/>
    </row>
    <row r="1466" spans="1:32" x14ac:dyDescent="0.35">
      <c r="B1466" s="21"/>
      <c r="D1466" s="2"/>
      <c r="E1466" s="2"/>
      <c r="F1466" s="32"/>
      <c r="G1466" s="32"/>
      <c r="H1466" s="32"/>
      <c r="I1466" s="32"/>
      <c r="J1466" s="32"/>
      <c r="K1466" s="32"/>
      <c r="L1466" s="32"/>
      <c r="M1466" s="32"/>
      <c r="N1466" s="32"/>
      <c r="O1466" s="32"/>
      <c r="P1466" s="32"/>
      <c r="Q1466" s="32"/>
      <c r="R1466" s="32"/>
      <c r="S1466" s="25"/>
      <c r="T1466" s="22"/>
      <c r="U1466" s="12"/>
      <c r="V1466" s="12"/>
      <c r="W1466" s="12"/>
      <c r="X1466" s="12"/>
      <c r="Y1466" s="12"/>
      <c r="Z1466" s="12"/>
      <c r="AA1466" s="12"/>
      <c r="AB1466" s="12"/>
      <c r="AC1466" s="12"/>
      <c r="AD1466" s="12"/>
      <c r="AE1466" s="12"/>
      <c r="AF1466" s="12"/>
    </row>
    <row r="1467" spans="1:32" x14ac:dyDescent="0.35">
      <c r="B1467" s="21"/>
      <c r="D1467" s="2"/>
      <c r="E1467" s="2"/>
      <c r="F1467" s="32"/>
      <c r="G1467" s="32"/>
      <c r="H1467" s="32"/>
      <c r="I1467" s="32"/>
      <c r="J1467" s="32"/>
      <c r="K1467" s="32"/>
      <c r="L1467" s="32"/>
      <c r="M1467" s="32"/>
      <c r="N1467" s="32"/>
      <c r="O1467" s="32"/>
      <c r="P1467" s="32"/>
      <c r="Q1467" s="32"/>
      <c r="R1467" s="32"/>
      <c r="S1467" s="25"/>
      <c r="T1467" s="14"/>
      <c r="U1467" s="12"/>
      <c r="V1467" s="12"/>
      <c r="W1467" s="12"/>
      <c r="X1467" s="12"/>
      <c r="Y1467" s="12"/>
      <c r="Z1467" s="12"/>
      <c r="AA1467" s="12"/>
      <c r="AB1467" s="12"/>
      <c r="AC1467" s="12"/>
      <c r="AD1467" s="12"/>
      <c r="AE1467" s="12"/>
      <c r="AF1467" s="12"/>
    </row>
    <row r="1468" spans="1:32" x14ac:dyDescent="0.35">
      <c r="B1468" s="21"/>
      <c r="D1468" s="2"/>
      <c r="E1468" s="2"/>
      <c r="F1468" s="32"/>
      <c r="G1468" s="32"/>
      <c r="H1468" s="32"/>
      <c r="I1468" s="32"/>
      <c r="J1468" s="32"/>
      <c r="K1468" s="32"/>
      <c r="L1468" s="32"/>
      <c r="M1468" s="32"/>
      <c r="N1468" s="32"/>
      <c r="O1468" s="32"/>
      <c r="P1468" s="32"/>
      <c r="Q1468" s="32"/>
      <c r="R1468" s="32"/>
      <c r="S1468" s="25"/>
      <c r="T1468" s="14"/>
      <c r="U1468" s="12"/>
      <c r="V1468" s="12"/>
      <c r="W1468" s="12"/>
      <c r="X1468" s="12"/>
      <c r="Y1468" s="12"/>
      <c r="Z1468" s="12"/>
      <c r="AA1468" s="12"/>
      <c r="AB1468" s="12"/>
      <c r="AC1468" s="12"/>
      <c r="AD1468" s="12"/>
      <c r="AE1468" s="12"/>
      <c r="AF1468" s="12"/>
    </row>
    <row r="1469" spans="1:32" x14ac:dyDescent="0.35">
      <c r="B1469" s="21"/>
      <c r="D1469" s="2"/>
      <c r="E1469" s="2"/>
      <c r="F1469" s="32"/>
      <c r="G1469" s="32"/>
      <c r="H1469" s="32"/>
      <c r="I1469" s="32"/>
      <c r="J1469" s="32"/>
      <c r="K1469" s="32"/>
      <c r="L1469" s="32"/>
      <c r="M1469" s="32"/>
      <c r="N1469" s="32"/>
      <c r="O1469" s="32"/>
      <c r="P1469" s="32"/>
      <c r="Q1469" s="32"/>
      <c r="R1469" s="32"/>
      <c r="S1469" s="25"/>
      <c r="T1469" s="14"/>
      <c r="U1469" s="12"/>
      <c r="V1469" s="12"/>
      <c r="W1469" s="12"/>
      <c r="X1469" s="12"/>
      <c r="Y1469" s="12"/>
      <c r="Z1469" s="12"/>
      <c r="AA1469" s="12"/>
      <c r="AB1469" s="12"/>
      <c r="AC1469" s="12"/>
      <c r="AD1469" s="12"/>
      <c r="AE1469" s="12"/>
      <c r="AF1469" s="12"/>
    </row>
    <row r="1470" spans="1:32" x14ac:dyDescent="0.35">
      <c r="B1470" s="21"/>
      <c r="D1470" s="2"/>
      <c r="E1470" s="2"/>
      <c r="F1470" s="32"/>
      <c r="G1470" s="32"/>
      <c r="H1470" s="32"/>
      <c r="I1470" s="32"/>
      <c r="J1470" s="32"/>
      <c r="K1470" s="32"/>
      <c r="L1470" s="32"/>
      <c r="M1470" s="32"/>
      <c r="N1470" s="32"/>
      <c r="O1470" s="32"/>
      <c r="P1470" s="32"/>
      <c r="Q1470" s="32"/>
      <c r="R1470" s="32"/>
      <c r="S1470" s="25"/>
      <c r="T1470" s="14"/>
      <c r="U1470" s="12"/>
      <c r="V1470" s="12"/>
      <c r="W1470" s="12"/>
      <c r="X1470" s="12"/>
      <c r="Y1470" s="12"/>
      <c r="Z1470" s="12"/>
      <c r="AA1470" s="12"/>
      <c r="AB1470" s="12"/>
      <c r="AC1470" s="12"/>
      <c r="AD1470" s="12"/>
      <c r="AE1470" s="12"/>
      <c r="AF1470" s="12"/>
    </row>
    <row r="1471" spans="1:32" x14ac:dyDescent="0.35">
      <c r="B1471" s="21"/>
      <c r="D1471" s="2"/>
      <c r="E1471" s="2"/>
      <c r="F1471" s="32"/>
      <c r="G1471" s="32"/>
      <c r="H1471" s="32"/>
      <c r="I1471" s="32"/>
      <c r="J1471" s="32"/>
      <c r="K1471" s="32"/>
      <c r="L1471" s="32"/>
      <c r="M1471" s="32"/>
      <c r="N1471" s="32"/>
      <c r="O1471" s="32"/>
      <c r="P1471" s="32"/>
      <c r="Q1471" s="32"/>
      <c r="R1471" s="32"/>
      <c r="S1471" s="25"/>
      <c r="T1471" s="14"/>
      <c r="U1471" s="12"/>
      <c r="V1471" s="12"/>
      <c r="W1471" s="12"/>
      <c r="X1471" s="12"/>
      <c r="Y1471" s="12"/>
      <c r="Z1471" s="12"/>
      <c r="AA1471" s="12"/>
      <c r="AB1471" s="12"/>
      <c r="AC1471" s="12"/>
      <c r="AD1471" s="12"/>
      <c r="AE1471" s="12"/>
      <c r="AF1471" s="12"/>
    </row>
    <row r="1472" spans="1:32" x14ac:dyDescent="0.35">
      <c r="B1472" s="21"/>
      <c r="F1472" s="33"/>
      <c r="G1472" s="33"/>
      <c r="H1472" s="33"/>
      <c r="I1472" s="33"/>
      <c r="J1472" s="33"/>
      <c r="K1472" s="33"/>
      <c r="L1472" s="33"/>
      <c r="M1472" s="33"/>
      <c r="N1472" s="33"/>
      <c r="O1472" s="33"/>
      <c r="P1472" s="33"/>
      <c r="Q1472" s="33"/>
      <c r="R1472" s="33"/>
      <c r="S1472" s="25"/>
      <c r="T1472" s="14"/>
      <c r="U1472" s="12"/>
      <c r="V1472" s="12"/>
      <c r="W1472" s="12"/>
      <c r="X1472" s="12"/>
      <c r="Y1472" s="12"/>
      <c r="Z1472" s="12"/>
      <c r="AA1472" s="12"/>
      <c r="AB1472" s="12"/>
      <c r="AC1472" s="12"/>
      <c r="AD1472" s="12"/>
      <c r="AE1472" s="12"/>
      <c r="AF1472" s="12"/>
    </row>
    <row r="1473" spans="2:32" x14ac:dyDescent="0.35">
      <c r="B1473" s="21"/>
      <c r="D1473" s="2"/>
      <c r="E1473" s="2"/>
      <c r="F1473" s="32"/>
      <c r="G1473" s="32"/>
      <c r="H1473" s="32"/>
      <c r="I1473" s="32"/>
      <c r="J1473" s="32"/>
      <c r="K1473" s="32"/>
      <c r="L1473" s="32"/>
      <c r="M1473" s="32"/>
      <c r="N1473" s="32"/>
      <c r="O1473" s="32"/>
      <c r="P1473" s="32"/>
      <c r="Q1473" s="32"/>
      <c r="R1473" s="32"/>
      <c r="S1473" s="25"/>
      <c r="T1473" s="14"/>
      <c r="U1473" s="12"/>
      <c r="V1473" s="12"/>
      <c r="W1473" s="12"/>
      <c r="X1473" s="12"/>
      <c r="Y1473" s="12"/>
      <c r="Z1473" s="12"/>
      <c r="AA1473" s="12"/>
      <c r="AB1473" s="12"/>
      <c r="AC1473" s="12"/>
      <c r="AD1473" s="12"/>
      <c r="AE1473" s="12"/>
      <c r="AF1473" s="12"/>
    </row>
    <row r="1474" spans="2:32" x14ac:dyDescent="0.35">
      <c r="B1474" s="21"/>
      <c r="D1474" s="2"/>
      <c r="E1474" s="2"/>
      <c r="F1474" s="32"/>
      <c r="G1474" s="32"/>
      <c r="H1474" s="32"/>
      <c r="I1474" s="32"/>
      <c r="J1474" s="32"/>
      <c r="K1474" s="32"/>
      <c r="L1474" s="32"/>
      <c r="M1474" s="32"/>
      <c r="N1474" s="32"/>
      <c r="O1474" s="32"/>
      <c r="P1474" s="32"/>
      <c r="Q1474" s="32"/>
      <c r="R1474" s="32"/>
      <c r="S1474" s="25"/>
      <c r="T1474" s="14"/>
      <c r="U1474" s="12"/>
      <c r="V1474" s="12"/>
      <c r="W1474" s="12"/>
      <c r="X1474" s="12"/>
      <c r="Y1474" s="12"/>
      <c r="Z1474" s="12"/>
      <c r="AA1474" s="12"/>
      <c r="AB1474" s="12"/>
      <c r="AC1474" s="12"/>
      <c r="AD1474" s="12"/>
      <c r="AE1474" s="12"/>
      <c r="AF1474" s="12"/>
    </row>
    <row r="1475" spans="2:32" x14ac:dyDescent="0.35">
      <c r="B1475" s="21"/>
      <c r="D1475" s="2"/>
      <c r="E1475" s="2"/>
      <c r="F1475" s="32"/>
      <c r="G1475" s="32"/>
      <c r="H1475" s="32"/>
      <c r="I1475" s="32"/>
      <c r="J1475" s="32"/>
      <c r="K1475" s="32"/>
      <c r="L1475" s="32"/>
      <c r="M1475" s="32"/>
      <c r="N1475" s="32"/>
      <c r="O1475" s="32"/>
      <c r="P1475" s="32"/>
      <c r="Q1475" s="32"/>
      <c r="R1475" s="32"/>
      <c r="S1475" s="25"/>
      <c r="T1475" s="14"/>
      <c r="U1475" s="12"/>
      <c r="V1475" s="12"/>
      <c r="W1475" s="12"/>
      <c r="X1475" s="12"/>
      <c r="Y1475" s="12"/>
      <c r="Z1475" s="12"/>
      <c r="AA1475" s="12"/>
      <c r="AB1475" s="12"/>
      <c r="AC1475" s="12"/>
      <c r="AD1475" s="12"/>
      <c r="AE1475" s="12"/>
      <c r="AF1475" s="12"/>
    </row>
    <row r="1476" spans="2:32" x14ac:dyDescent="0.35">
      <c r="B1476" s="21"/>
      <c r="D1476" s="2"/>
      <c r="E1476" s="2"/>
      <c r="F1476" s="32"/>
      <c r="G1476" s="32"/>
      <c r="H1476" s="32"/>
      <c r="I1476" s="32"/>
      <c r="J1476" s="32"/>
      <c r="K1476" s="32"/>
      <c r="L1476" s="32"/>
      <c r="M1476" s="32"/>
      <c r="N1476" s="32"/>
      <c r="O1476" s="32"/>
      <c r="P1476" s="32"/>
      <c r="Q1476" s="32"/>
      <c r="R1476" s="32"/>
      <c r="S1476" s="25"/>
      <c r="T1476" s="14"/>
      <c r="U1476" s="12"/>
      <c r="V1476" s="12"/>
      <c r="W1476" s="12"/>
      <c r="X1476" s="12"/>
      <c r="Y1476" s="12"/>
      <c r="Z1476" s="12"/>
      <c r="AA1476" s="12"/>
      <c r="AB1476" s="12"/>
      <c r="AC1476" s="12"/>
      <c r="AD1476" s="12"/>
      <c r="AE1476" s="12"/>
      <c r="AF1476" s="12"/>
    </row>
    <row r="1477" spans="2:32" x14ac:dyDescent="0.35">
      <c r="B1477" s="21"/>
      <c r="D1477" s="2"/>
      <c r="E1477" s="2"/>
      <c r="F1477" s="32"/>
      <c r="G1477" s="32"/>
      <c r="H1477" s="32"/>
      <c r="I1477" s="32"/>
      <c r="J1477" s="32"/>
      <c r="K1477" s="32"/>
      <c r="L1477" s="32"/>
      <c r="M1477" s="32"/>
      <c r="N1477" s="32"/>
      <c r="O1477" s="32"/>
      <c r="P1477" s="32"/>
      <c r="Q1477" s="32"/>
      <c r="R1477" s="32"/>
      <c r="S1477" s="25"/>
      <c r="T1477" s="14"/>
      <c r="U1477" s="12"/>
      <c r="V1477" s="12"/>
      <c r="W1477" s="12"/>
      <c r="X1477" s="12"/>
      <c r="Y1477" s="12"/>
      <c r="Z1477" s="12"/>
      <c r="AA1477" s="12"/>
      <c r="AB1477" s="12"/>
      <c r="AC1477" s="12"/>
      <c r="AD1477" s="12"/>
      <c r="AE1477" s="12"/>
      <c r="AF1477" s="12"/>
    </row>
    <row r="1478" spans="2:32" x14ac:dyDescent="0.35">
      <c r="B1478" s="21"/>
      <c r="D1478" s="2"/>
      <c r="E1478" s="2"/>
      <c r="F1478" s="32"/>
      <c r="G1478" s="32"/>
      <c r="H1478" s="32"/>
      <c r="I1478" s="32"/>
      <c r="J1478" s="32"/>
      <c r="K1478" s="32"/>
      <c r="L1478" s="32"/>
      <c r="M1478" s="32"/>
      <c r="N1478" s="32"/>
      <c r="O1478" s="32"/>
      <c r="P1478" s="32"/>
      <c r="Q1478" s="32"/>
      <c r="R1478" s="32"/>
      <c r="S1478" s="25"/>
      <c r="T1478" s="14"/>
      <c r="U1478" s="12"/>
      <c r="V1478" s="12"/>
      <c r="W1478" s="12"/>
      <c r="X1478" s="12"/>
      <c r="Y1478" s="12"/>
      <c r="Z1478" s="12"/>
      <c r="AA1478" s="12"/>
      <c r="AB1478" s="12"/>
      <c r="AC1478" s="12"/>
      <c r="AD1478" s="12"/>
      <c r="AE1478" s="12"/>
      <c r="AF1478" s="12"/>
    </row>
    <row r="1479" spans="2:32" x14ac:dyDescent="0.35">
      <c r="B1479" s="21"/>
      <c r="D1479" s="2"/>
      <c r="E1479" s="2"/>
      <c r="F1479" s="32"/>
      <c r="G1479" s="32"/>
      <c r="H1479" s="32"/>
      <c r="I1479" s="32"/>
      <c r="J1479" s="32"/>
      <c r="K1479" s="32"/>
      <c r="L1479" s="32"/>
      <c r="M1479" s="32"/>
      <c r="N1479" s="32"/>
      <c r="O1479" s="32"/>
      <c r="P1479" s="32"/>
      <c r="Q1479" s="32"/>
      <c r="R1479" s="32"/>
      <c r="S1479" s="25"/>
      <c r="T1479" s="14"/>
      <c r="U1479" s="12"/>
      <c r="V1479" s="12"/>
      <c r="W1479" s="12"/>
      <c r="X1479" s="12"/>
      <c r="Y1479" s="12"/>
      <c r="Z1479" s="12"/>
      <c r="AA1479" s="12"/>
      <c r="AB1479" s="12"/>
      <c r="AC1479" s="12"/>
      <c r="AD1479" s="12"/>
      <c r="AE1479" s="12"/>
      <c r="AF1479" s="12"/>
    </row>
    <row r="1480" spans="2:32" x14ac:dyDescent="0.35">
      <c r="B1480" s="21"/>
      <c r="F1480" s="33"/>
      <c r="G1480" s="33"/>
      <c r="H1480" s="33"/>
      <c r="I1480" s="33"/>
      <c r="J1480" s="33"/>
      <c r="K1480" s="33"/>
      <c r="L1480" s="33"/>
      <c r="M1480" s="33"/>
      <c r="N1480" s="33"/>
      <c r="O1480" s="33"/>
      <c r="P1480" s="33"/>
      <c r="Q1480" s="33"/>
      <c r="R1480" s="33"/>
      <c r="S1480" s="25"/>
      <c r="T1480" s="14"/>
      <c r="U1480" s="12"/>
      <c r="V1480" s="12"/>
      <c r="W1480" s="12"/>
      <c r="X1480" s="12"/>
      <c r="Y1480" s="12"/>
      <c r="Z1480" s="12"/>
      <c r="AA1480" s="12"/>
      <c r="AB1480" s="12"/>
      <c r="AC1480" s="12"/>
      <c r="AD1480" s="12"/>
      <c r="AE1480" s="12"/>
      <c r="AF1480" s="12"/>
    </row>
    <row r="1481" spans="2:32" x14ac:dyDescent="0.35">
      <c r="B1481" s="21"/>
      <c r="D1481" s="2"/>
      <c r="E1481" s="2"/>
      <c r="F1481" s="32"/>
      <c r="G1481" s="32"/>
      <c r="H1481" s="32"/>
      <c r="I1481" s="32"/>
      <c r="J1481" s="32"/>
      <c r="K1481" s="32"/>
      <c r="L1481" s="32"/>
      <c r="M1481" s="32"/>
      <c r="N1481" s="32"/>
      <c r="O1481" s="32"/>
      <c r="P1481" s="32"/>
      <c r="Q1481" s="32"/>
      <c r="R1481" s="32"/>
      <c r="S1481" s="25"/>
      <c r="T1481" s="14"/>
      <c r="U1481" s="12"/>
      <c r="V1481" s="12"/>
      <c r="W1481" s="12"/>
      <c r="X1481" s="12"/>
      <c r="Y1481" s="12"/>
      <c r="Z1481" s="12"/>
      <c r="AA1481" s="12"/>
      <c r="AB1481" s="12"/>
      <c r="AC1481" s="12"/>
      <c r="AD1481" s="12"/>
      <c r="AE1481" s="12"/>
      <c r="AF1481" s="12"/>
    </row>
    <row r="1482" spans="2:32" x14ac:dyDescent="0.35">
      <c r="B1482" s="21"/>
      <c r="D1482" s="2"/>
      <c r="E1482" s="2"/>
      <c r="F1482" s="32"/>
      <c r="G1482" s="32"/>
      <c r="H1482" s="32"/>
      <c r="I1482" s="32"/>
      <c r="J1482" s="32"/>
      <c r="K1482" s="32"/>
      <c r="L1482" s="32"/>
      <c r="M1482" s="32"/>
      <c r="N1482" s="32"/>
      <c r="O1482" s="32"/>
      <c r="P1482" s="32"/>
      <c r="Q1482" s="32"/>
      <c r="R1482" s="32"/>
      <c r="S1482" s="25"/>
      <c r="T1482" s="22"/>
      <c r="U1482" s="12"/>
      <c r="V1482" s="12"/>
      <c r="W1482" s="12"/>
      <c r="X1482" s="12"/>
      <c r="Y1482" s="12"/>
      <c r="Z1482" s="12"/>
      <c r="AA1482" s="12"/>
      <c r="AB1482" s="12"/>
      <c r="AC1482" s="12"/>
      <c r="AD1482" s="12"/>
      <c r="AE1482" s="12"/>
      <c r="AF1482" s="12"/>
    </row>
    <row r="1483" spans="2:32" x14ac:dyDescent="0.35">
      <c r="B1483" s="21"/>
      <c r="D1483" s="2"/>
      <c r="E1483" s="2"/>
      <c r="F1483" s="32"/>
      <c r="G1483" s="32"/>
      <c r="H1483" s="32"/>
      <c r="I1483" s="32"/>
      <c r="J1483" s="32"/>
      <c r="K1483" s="32"/>
      <c r="L1483" s="32"/>
      <c r="M1483" s="32"/>
      <c r="N1483" s="32"/>
      <c r="O1483" s="32"/>
      <c r="P1483" s="32"/>
      <c r="Q1483" s="32"/>
      <c r="R1483" s="32"/>
      <c r="S1483" s="25"/>
      <c r="T1483" s="22"/>
      <c r="U1483" s="12"/>
      <c r="V1483" s="12"/>
      <c r="W1483" s="12"/>
      <c r="X1483" s="12"/>
      <c r="Y1483" s="12"/>
      <c r="Z1483" s="12"/>
      <c r="AA1483" s="12"/>
      <c r="AB1483" s="12"/>
      <c r="AC1483" s="12"/>
      <c r="AD1483" s="12"/>
      <c r="AE1483" s="12"/>
      <c r="AF1483" s="12"/>
    </row>
    <row r="1484" spans="2:32" x14ac:dyDescent="0.35">
      <c r="B1484" s="21"/>
      <c r="D1484" s="2"/>
      <c r="E1484" s="2"/>
      <c r="F1484" s="32"/>
      <c r="G1484" s="32"/>
      <c r="H1484" s="32"/>
      <c r="I1484" s="32"/>
      <c r="J1484" s="32"/>
      <c r="K1484" s="32"/>
      <c r="L1484" s="32"/>
      <c r="M1484" s="32"/>
      <c r="N1484" s="32"/>
      <c r="O1484" s="32"/>
      <c r="P1484" s="32"/>
      <c r="Q1484" s="32"/>
      <c r="R1484" s="32"/>
      <c r="S1484" s="25"/>
      <c r="T1484" s="22"/>
      <c r="U1484" s="12"/>
      <c r="V1484" s="12"/>
      <c r="W1484" s="12"/>
      <c r="X1484" s="12"/>
      <c r="Y1484" s="12"/>
      <c r="Z1484" s="12"/>
      <c r="AA1484" s="12"/>
      <c r="AB1484" s="12"/>
      <c r="AC1484" s="12"/>
      <c r="AD1484" s="12"/>
      <c r="AE1484" s="12"/>
      <c r="AF1484" s="12"/>
    </row>
    <row r="1485" spans="2:32" x14ac:dyDescent="0.35">
      <c r="B1485" s="21"/>
      <c r="D1485" s="2"/>
      <c r="E1485" s="2"/>
      <c r="F1485" s="32"/>
      <c r="G1485" s="32"/>
      <c r="H1485" s="32"/>
      <c r="I1485" s="32"/>
      <c r="J1485" s="32"/>
      <c r="K1485" s="32"/>
      <c r="L1485" s="32"/>
      <c r="M1485" s="32"/>
      <c r="N1485" s="32"/>
      <c r="O1485" s="32"/>
      <c r="P1485" s="32"/>
      <c r="Q1485" s="32"/>
      <c r="R1485" s="32"/>
      <c r="S1485" s="25"/>
      <c r="T1485" s="22"/>
      <c r="U1485" s="12"/>
      <c r="V1485" s="12"/>
      <c r="W1485" s="12"/>
      <c r="X1485" s="12"/>
      <c r="Y1485" s="12"/>
      <c r="Z1485" s="12"/>
      <c r="AA1485" s="12"/>
      <c r="AB1485" s="12"/>
      <c r="AC1485" s="12"/>
      <c r="AD1485" s="12"/>
      <c r="AE1485" s="12"/>
      <c r="AF1485" s="12"/>
    </row>
    <row r="1486" spans="2:32" x14ac:dyDescent="0.35">
      <c r="B1486" s="21"/>
      <c r="D1486" s="2"/>
      <c r="E1486" s="2"/>
      <c r="F1486" s="32"/>
      <c r="G1486" s="32"/>
      <c r="H1486" s="32"/>
      <c r="I1486" s="32"/>
      <c r="J1486" s="32"/>
      <c r="K1486" s="32"/>
      <c r="L1486" s="32"/>
      <c r="M1486" s="32"/>
      <c r="N1486" s="32"/>
      <c r="O1486" s="32"/>
      <c r="P1486" s="32"/>
      <c r="Q1486" s="32"/>
      <c r="R1486" s="32"/>
      <c r="S1486" s="25"/>
      <c r="T1486" s="22"/>
      <c r="U1486" s="12"/>
      <c r="V1486" s="12"/>
      <c r="W1486" s="12"/>
      <c r="X1486" s="12"/>
      <c r="Y1486" s="12"/>
      <c r="Z1486" s="12"/>
      <c r="AA1486" s="12"/>
      <c r="AB1486" s="12"/>
      <c r="AC1486" s="12"/>
      <c r="AD1486" s="12"/>
      <c r="AE1486" s="12"/>
      <c r="AF1486" s="12"/>
    </row>
    <row r="1487" spans="2:32" x14ac:dyDescent="0.35">
      <c r="B1487" s="21"/>
      <c r="D1487" s="2"/>
      <c r="E1487" s="2"/>
      <c r="F1487" s="32"/>
      <c r="G1487" s="32"/>
      <c r="H1487" s="32"/>
      <c r="I1487" s="32"/>
      <c r="J1487" s="32"/>
      <c r="K1487" s="32"/>
      <c r="L1487" s="32"/>
      <c r="M1487" s="32"/>
      <c r="N1487" s="32"/>
      <c r="O1487" s="32"/>
      <c r="P1487" s="32"/>
      <c r="Q1487" s="32"/>
      <c r="R1487" s="32"/>
      <c r="S1487" s="25"/>
      <c r="T1487" s="22"/>
      <c r="U1487" s="12"/>
      <c r="V1487" s="12"/>
      <c r="W1487" s="12"/>
      <c r="X1487" s="12"/>
      <c r="Y1487" s="12"/>
      <c r="Z1487" s="12"/>
      <c r="AA1487" s="12"/>
      <c r="AB1487" s="12"/>
      <c r="AC1487" s="12"/>
      <c r="AD1487" s="12"/>
      <c r="AE1487" s="12"/>
      <c r="AF1487" s="12"/>
    </row>
    <row r="1488" spans="2:32" x14ac:dyDescent="0.35">
      <c r="B1488" s="21"/>
      <c r="F1488" s="33"/>
      <c r="G1488" s="33"/>
      <c r="H1488" s="33"/>
      <c r="I1488" s="33"/>
      <c r="J1488" s="33"/>
      <c r="K1488" s="33"/>
      <c r="L1488" s="33"/>
      <c r="M1488" s="33"/>
      <c r="N1488" s="33"/>
      <c r="O1488" s="33"/>
      <c r="P1488" s="33"/>
      <c r="Q1488" s="33"/>
      <c r="R1488" s="33"/>
      <c r="S1488" s="25"/>
      <c r="T1488" s="22"/>
      <c r="U1488" s="12"/>
      <c r="V1488" s="12"/>
      <c r="W1488" s="12"/>
      <c r="X1488" s="12"/>
      <c r="Y1488" s="12"/>
      <c r="Z1488" s="12"/>
      <c r="AA1488" s="12"/>
      <c r="AB1488" s="12"/>
      <c r="AC1488" s="12"/>
      <c r="AD1488" s="12"/>
      <c r="AE1488" s="12"/>
      <c r="AF1488" s="12"/>
    </row>
    <row r="1489" spans="1:32" x14ac:dyDescent="0.35">
      <c r="A1489" s="21"/>
      <c r="B1489" s="23"/>
      <c r="C1489" s="26"/>
      <c r="D1489" s="27"/>
      <c r="E1489" s="27"/>
      <c r="F1489" s="28"/>
      <c r="G1489" s="25"/>
      <c r="H1489" s="25"/>
      <c r="I1489" s="25"/>
      <c r="J1489" s="25"/>
      <c r="K1489" s="25"/>
      <c r="L1489" s="25"/>
      <c r="M1489" s="25"/>
      <c r="N1489" s="25"/>
      <c r="O1489" s="25"/>
      <c r="P1489" s="25"/>
      <c r="Q1489" s="25"/>
      <c r="R1489" s="25"/>
      <c r="S1489" s="25"/>
      <c r="T1489" s="22"/>
      <c r="U1489" s="12"/>
      <c r="V1489" s="12"/>
      <c r="W1489" s="12"/>
      <c r="X1489" s="12"/>
      <c r="Y1489" s="12"/>
      <c r="Z1489" s="12"/>
      <c r="AA1489" s="12"/>
      <c r="AB1489" s="12"/>
      <c r="AC1489" s="12"/>
      <c r="AD1489" s="12"/>
      <c r="AE1489" s="12"/>
      <c r="AF1489" s="12"/>
    </row>
    <row r="1490" spans="1:32" x14ac:dyDescent="0.35">
      <c r="A1490" s="21"/>
      <c r="B1490" s="23"/>
      <c r="C1490" s="26"/>
      <c r="D1490" s="27"/>
      <c r="E1490" s="27"/>
      <c r="F1490" s="28"/>
      <c r="G1490" s="25"/>
      <c r="H1490" s="25"/>
      <c r="I1490" s="25"/>
      <c r="J1490" s="25"/>
      <c r="K1490" s="25"/>
      <c r="L1490" s="25"/>
      <c r="M1490" s="25"/>
      <c r="N1490" s="25"/>
      <c r="O1490" s="25"/>
      <c r="P1490" s="25"/>
      <c r="Q1490" s="25"/>
      <c r="R1490" s="25"/>
      <c r="S1490" s="25"/>
      <c r="T1490" s="22"/>
      <c r="U1490" s="12"/>
      <c r="V1490" s="12"/>
      <c r="W1490" s="12"/>
      <c r="X1490" s="12"/>
      <c r="Y1490" s="12"/>
      <c r="Z1490" s="12"/>
      <c r="AA1490" s="12"/>
      <c r="AB1490" s="12"/>
      <c r="AC1490" s="12"/>
      <c r="AD1490" s="12"/>
      <c r="AE1490" s="12"/>
      <c r="AF1490" s="12"/>
    </row>
    <row r="1491" spans="1:32" x14ac:dyDescent="0.35">
      <c r="A1491" s="21"/>
      <c r="B1491" s="23"/>
      <c r="C1491" s="26"/>
      <c r="D1491" s="27"/>
      <c r="E1491" s="27"/>
      <c r="F1491" s="28"/>
      <c r="G1491" s="25"/>
      <c r="H1491" s="25"/>
      <c r="I1491" s="25"/>
      <c r="J1491" s="25"/>
      <c r="K1491" s="25"/>
      <c r="L1491" s="25"/>
      <c r="M1491" s="25"/>
      <c r="N1491" s="25"/>
      <c r="O1491" s="25"/>
      <c r="P1491" s="25"/>
      <c r="Q1491" s="25"/>
      <c r="R1491" s="25"/>
      <c r="S1491" s="25"/>
      <c r="T1491" s="22"/>
      <c r="U1491" s="12"/>
      <c r="V1491" s="12"/>
      <c r="W1491" s="12"/>
      <c r="X1491" s="12"/>
      <c r="Y1491" s="12"/>
      <c r="Z1491" s="12"/>
      <c r="AA1491" s="12"/>
      <c r="AB1491" s="12"/>
      <c r="AC1491" s="12"/>
      <c r="AD1491" s="12"/>
      <c r="AE1491" s="12"/>
      <c r="AF1491" s="12"/>
    </row>
    <row r="1492" spans="1:32" x14ac:dyDescent="0.35">
      <c r="A1492" s="21"/>
      <c r="B1492" s="23"/>
      <c r="C1492" s="26"/>
      <c r="D1492" s="27"/>
      <c r="E1492" s="27"/>
      <c r="F1492" s="28"/>
      <c r="G1492" s="25"/>
      <c r="H1492" s="25"/>
      <c r="I1492" s="25"/>
      <c r="J1492" s="25"/>
      <c r="K1492" s="25"/>
      <c r="L1492" s="25"/>
      <c r="M1492" s="25"/>
      <c r="N1492" s="25"/>
      <c r="O1492" s="25"/>
      <c r="P1492" s="25"/>
      <c r="Q1492" s="25"/>
      <c r="R1492" s="25"/>
      <c r="S1492" s="25"/>
      <c r="T1492" s="22"/>
      <c r="U1492" s="12"/>
      <c r="V1492" s="12"/>
      <c r="W1492" s="12"/>
      <c r="X1492" s="12"/>
      <c r="Y1492" s="12"/>
      <c r="Z1492" s="12"/>
      <c r="AA1492" s="12"/>
      <c r="AB1492" s="12"/>
      <c r="AC1492" s="12"/>
      <c r="AD1492" s="12"/>
      <c r="AE1492" s="12"/>
      <c r="AF1492" s="12"/>
    </row>
    <row r="1493" spans="1:32" x14ac:dyDescent="0.35">
      <c r="A1493" s="21"/>
      <c r="B1493" s="23"/>
      <c r="C1493" s="26"/>
      <c r="D1493" s="27"/>
      <c r="E1493" s="27"/>
      <c r="F1493" s="28"/>
      <c r="G1493" s="25"/>
      <c r="H1493" s="25"/>
      <c r="I1493" s="25"/>
      <c r="J1493" s="25"/>
      <c r="K1493" s="25"/>
      <c r="L1493" s="25"/>
      <c r="M1493" s="25"/>
      <c r="N1493" s="25"/>
      <c r="O1493" s="25"/>
      <c r="P1493" s="25"/>
      <c r="Q1493" s="25"/>
      <c r="R1493" s="25"/>
      <c r="S1493" s="25"/>
      <c r="T1493" s="22"/>
      <c r="U1493" s="12"/>
      <c r="V1493" s="12"/>
      <c r="W1493" s="12"/>
      <c r="X1493" s="12"/>
      <c r="Y1493" s="12"/>
      <c r="Z1493" s="12"/>
      <c r="AA1493" s="12"/>
      <c r="AB1493" s="12"/>
      <c r="AC1493" s="12"/>
      <c r="AD1493" s="12"/>
      <c r="AE1493" s="12"/>
      <c r="AF1493" s="12"/>
    </row>
    <row r="1494" spans="1:32" x14ac:dyDescent="0.35">
      <c r="A1494" s="21"/>
      <c r="B1494" s="23"/>
      <c r="C1494" s="26"/>
      <c r="D1494" s="27"/>
      <c r="E1494" s="27"/>
      <c r="F1494" s="28"/>
      <c r="G1494" s="25"/>
      <c r="H1494" s="25"/>
      <c r="I1494" s="25"/>
      <c r="J1494" s="25"/>
      <c r="K1494" s="25"/>
      <c r="L1494" s="25"/>
      <c r="M1494" s="25"/>
      <c r="N1494" s="25"/>
      <c r="O1494" s="25"/>
      <c r="P1494" s="25"/>
      <c r="Q1494" s="25"/>
      <c r="R1494" s="25"/>
      <c r="S1494" s="25"/>
      <c r="T1494" s="22"/>
      <c r="U1494" s="12"/>
      <c r="V1494" s="12"/>
      <c r="W1494" s="12"/>
      <c r="X1494" s="12"/>
      <c r="Y1494" s="12"/>
      <c r="Z1494" s="12"/>
      <c r="AA1494" s="12"/>
      <c r="AB1494" s="12"/>
      <c r="AC1494" s="12"/>
      <c r="AD1494" s="12"/>
      <c r="AE1494" s="12"/>
      <c r="AF1494" s="12"/>
    </row>
    <row r="1495" spans="1:32" x14ac:dyDescent="0.35">
      <c r="A1495" s="21"/>
      <c r="B1495" s="23"/>
      <c r="C1495" s="26"/>
      <c r="D1495" s="27"/>
      <c r="E1495" s="27"/>
      <c r="F1495" s="28"/>
      <c r="G1495" s="25"/>
      <c r="H1495" s="25"/>
      <c r="I1495" s="25"/>
      <c r="J1495" s="25"/>
      <c r="K1495" s="25"/>
      <c r="L1495" s="25"/>
      <c r="M1495" s="25"/>
      <c r="N1495" s="25"/>
      <c r="O1495" s="25"/>
      <c r="P1495" s="25"/>
      <c r="Q1495" s="25"/>
      <c r="R1495" s="25"/>
      <c r="S1495" s="25"/>
      <c r="T1495" s="22"/>
      <c r="U1495" s="12"/>
      <c r="V1495" s="12"/>
      <c r="W1495" s="12"/>
      <c r="X1495" s="12"/>
      <c r="Y1495" s="12"/>
      <c r="Z1495" s="12"/>
      <c r="AA1495" s="12"/>
      <c r="AB1495" s="12"/>
      <c r="AC1495" s="12"/>
      <c r="AD1495" s="12"/>
      <c r="AE1495" s="12"/>
      <c r="AF1495" s="12"/>
    </row>
    <row r="1496" spans="1:32" x14ac:dyDescent="0.35">
      <c r="A1496" s="21"/>
      <c r="B1496" s="23"/>
      <c r="C1496" s="26"/>
      <c r="D1496" s="27"/>
      <c r="E1496" s="27"/>
      <c r="F1496" s="28"/>
      <c r="G1496" s="25"/>
      <c r="H1496" s="25"/>
      <c r="I1496" s="25"/>
      <c r="J1496" s="25"/>
      <c r="K1496" s="25"/>
      <c r="L1496" s="25"/>
      <c r="M1496" s="25"/>
      <c r="N1496" s="25"/>
      <c r="O1496" s="25"/>
      <c r="P1496" s="25"/>
      <c r="Q1496" s="25"/>
      <c r="R1496" s="25"/>
      <c r="S1496" s="25"/>
      <c r="T1496" s="22"/>
      <c r="U1496" s="12"/>
      <c r="V1496" s="12"/>
      <c r="W1496" s="12"/>
      <c r="X1496" s="12"/>
      <c r="Y1496" s="12"/>
      <c r="Z1496" s="12"/>
      <c r="AA1496" s="12"/>
      <c r="AB1496" s="12"/>
      <c r="AC1496" s="12"/>
      <c r="AD1496" s="12"/>
      <c r="AE1496" s="12"/>
      <c r="AF1496" s="12"/>
    </row>
    <row r="1497" spans="1:32" x14ac:dyDescent="0.35">
      <c r="A1497" s="21"/>
      <c r="B1497" s="23"/>
      <c r="C1497" s="26"/>
      <c r="D1497" s="27"/>
      <c r="E1497" s="27"/>
      <c r="F1497" s="28"/>
      <c r="G1497" s="25"/>
      <c r="H1497" s="25"/>
      <c r="I1497" s="25"/>
      <c r="J1497" s="25"/>
      <c r="K1497" s="25"/>
      <c r="L1497" s="25"/>
      <c r="M1497" s="25"/>
      <c r="N1497" s="25"/>
      <c r="O1497" s="25"/>
      <c r="P1497" s="25"/>
      <c r="Q1497" s="25"/>
      <c r="R1497" s="25"/>
      <c r="S1497" s="25"/>
      <c r="T1497" s="22"/>
      <c r="U1497" s="12"/>
      <c r="V1497" s="12"/>
      <c r="W1497" s="12"/>
      <c r="X1497" s="12"/>
      <c r="Y1497" s="12"/>
      <c r="Z1497" s="12"/>
      <c r="AA1497" s="12"/>
      <c r="AB1497" s="12"/>
      <c r="AC1497" s="12"/>
      <c r="AD1497" s="12"/>
      <c r="AE1497" s="12"/>
      <c r="AF1497" s="12"/>
    </row>
    <row r="1498" spans="1:32" x14ac:dyDescent="0.35">
      <c r="A1498" s="21"/>
      <c r="B1498" s="23"/>
      <c r="C1498" s="26"/>
      <c r="D1498" s="27"/>
      <c r="E1498" s="27"/>
      <c r="F1498" s="28"/>
      <c r="G1498" s="25"/>
      <c r="H1498" s="25"/>
      <c r="I1498" s="25"/>
      <c r="J1498" s="25"/>
      <c r="K1498" s="25"/>
      <c r="L1498" s="25"/>
      <c r="M1498" s="25"/>
      <c r="N1498" s="25"/>
      <c r="O1498" s="25"/>
      <c r="P1498" s="25"/>
      <c r="Q1498" s="25"/>
      <c r="R1498" s="25"/>
      <c r="S1498" s="25"/>
      <c r="T1498" s="14"/>
      <c r="U1498" s="12"/>
      <c r="V1498" s="12"/>
      <c r="W1498" s="12"/>
      <c r="X1498" s="12"/>
      <c r="Y1498" s="12"/>
      <c r="Z1498" s="12"/>
      <c r="AA1498" s="12"/>
      <c r="AB1498" s="12"/>
      <c r="AC1498" s="12"/>
      <c r="AD1498" s="12"/>
      <c r="AE1498" s="12"/>
      <c r="AF1498" s="12"/>
    </row>
    <row r="1499" spans="1:32" x14ac:dyDescent="0.35">
      <c r="A1499" s="21"/>
      <c r="B1499" s="23"/>
      <c r="C1499" s="26"/>
      <c r="D1499" s="27"/>
      <c r="E1499" s="27"/>
      <c r="F1499" s="28"/>
      <c r="G1499" s="25"/>
      <c r="H1499" s="25"/>
      <c r="I1499" s="25"/>
      <c r="J1499" s="25"/>
      <c r="K1499" s="25"/>
      <c r="L1499" s="25"/>
      <c r="M1499" s="25"/>
      <c r="N1499" s="25"/>
      <c r="O1499" s="25"/>
      <c r="P1499" s="25"/>
      <c r="Q1499" s="25"/>
      <c r="R1499" s="25"/>
      <c r="S1499" s="25"/>
      <c r="T1499" s="14"/>
      <c r="U1499" s="12"/>
      <c r="V1499" s="12"/>
      <c r="W1499" s="12"/>
      <c r="X1499" s="12"/>
      <c r="Y1499" s="12"/>
      <c r="Z1499" s="12"/>
      <c r="AA1499" s="12"/>
      <c r="AB1499" s="12"/>
      <c r="AC1499" s="12"/>
      <c r="AD1499" s="12"/>
      <c r="AE1499" s="12"/>
      <c r="AF1499" s="12"/>
    </row>
    <row r="1500" spans="1:32" x14ac:dyDescent="0.35">
      <c r="A1500" s="21"/>
      <c r="B1500" s="23"/>
      <c r="C1500" s="26"/>
      <c r="D1500" s="27"/>
      <c r="E1500" s="27"/>
      <c r="F1500" s="28"/>
      <c r="G1500" s="25"/>
      <c r="H1500" s="25"/>
      <c r="I1500" s="25"/>
      <c r="J1500" s="25"/>
      <c r="K1500" s="25"/>
      <c r="L1500" s="25"/>
      <c r="M1500" s="25"/>
      <c r="N1500" s="25"/>
      <c r="O1500" s="25"/>
      <c r="P1500" s="25"/>
      <c r="Q1500" s="25"/>
      <c r="R1500" s="25"/>
      <c r="S1500" s="25"/>
      <c r="T1500" s="14"/>
      <c r="U1500" s="12"/>
      <c r="V1500" s="12"/>
      <c r="W1500" s="12"/>
      <c r="X1500" s="12"/>
      <c r="Y1500" s="12"/>
      <c r="Z1500" s="12"/>
      <c r="AA1500" s="12"/>
      <c r="AB1500" s="12"/>
      <c r="AC1500" s="12"/>
      <c r="AD1500" s="12"/>
      <c r="AE1500" s="12"/>
      <c r="AF1500" s="12"/>
    </row>
    <row r="1501" spans="1:32" x14ac:dyDescent="0.35">
      <c r="A1501" s="21"/>
      <c r="B1501" s="23"/>
      <c r="C1501" s="26"/>
      <c r="D1501" s="27"/>
      <c r="E1501" s="27"/>
      <c r="F1501" s="28"/>
      <c r="G1501" s="25"/>
      <c r="H1501" s="25"/>
      <c r="I1501" s="25"/>
      <c r="J1501" s="25"/>
      <c r="K1501" s="25"/>
      <c r="L1501" s="25"/>
      <c r="M1501" s="25"/>
      <c r="N1501" s="25"/>
      <c r="O1501" s="25"/>
      <c r="P1501" s="25"/>
      <c r="Q1501" s="25"/>
      <c r="R1501" s="25"/>
      <c r="S1501" s="25"/>
      <c r="T1501" s="14"/>
      <c r="U1501" s="12"/>
      <c r="V1501" s="12"/>
      <c r="W1501" s="12"/>
      <c r="X1501" s="12"/>
      <c r="Y1501" s="12"/>
      <c r="Z1501" s="12"/>
      <c r="AA1501" s="12"/>
      <c r="AB1501" s="12"/>
      <c r="AC1501" s="12"/>
      <c r="AD1501" s="12"/>
      <c r="AE1501" s="12"/>
      <c r="AF1501" s="12"/>
    </row>
    <row r="1502" spans="1:32" x14ac:dyDescent="0.35">
      <c r="A1502" s="21"/>
      <c r="B1502" s="23"/>
      <c r="C1502" s="26"/>
      <c r="D1502" s="27"/>
      <c r="E1502" s="27"/>
      <c r="F1502" s="28"/>
      <c r="G1502" s="25"/>
      <c r="H1502" s="25"/>
      <c r="I1502" s="25"/>
      <c r="J1502" s="25"/>
      <c r="K1502" s="25"/>
      <c r="L1502" s="25"/>
      <c r="M1502" s="25"/>
      <c r="N1502" s="25"/>
      <c r="O1502" s="25"/>
      <c r="P1502" s="25"/>
      <c r="Q1502" s="25"/>
      <c r="R1502" s="25"/>
      <c r="S1502" s="25"/>
      <c r="T1502" s="14"/>
      <c r="U1502" s="12"/>
      <c r="V1502" s="12"/>
      <c r="W1502" s="12"/>
      <c r="X1502" s="12"/>
      <c r="Y1502" s="12"/>
      <c r="Z1502" s="12"/>
      <c r="AA1502" s="12"/>
      <c r="AB1502" s="12"/>
      <c r="AC1502" s="12"/>
      <c r="AD1502" s="12"/>
      <c r="AE1502" s="12"/>
      <c r="AF1502" s="12"/>
    </row>
    <row r="1503" spans="1:32" x14ac:dyDescent="0.35">
      <c r="A1503" s="21"/>
      <c r="B1503" s="23"/>
      <c r="C1503" s="26"/>
      <c r="D1503" s="27"/>
      <c r="E1503" s="27"/>
      <c r="F1503" s="28"/>
      <c r="G1503" s="25"/>
      <c r="H1503" s="25"/>
      <c r="I1503" s="25"/>
      <c r="J1503" s="25"/>
      <c r="K1503" s="25"/>
      <c r="L1503" s="25"/>
      <c r="M1503" s="25"/>
      <c r="N1503" s="25"/>
      <c r="O1503" s="25"/>
      <c r="P1503" s="25"/>
      <c r="Q1503" s="25"/>
      <c r="R1503" s="25"/>
      <c r="S1503" s="25"/>
      <c r="T1503" s="14"/>
      <c r="U1503" s="12"/>
      <c r="V1503" s="12"/>
      <c r="W1503" s="12"/>
      <c r="X1503" s="12"/>
      <c r="Y1503" s="12"/>
      <c r="Z1503" s="12"/>
      <c r="AA1503" s="12"/>
      <c r="AB1503" s="12"/>
      <c r="AC1503" s="12"/>
      <c r="AD1503" s="12"/>
      <c r="AE1503" s="12"/>
      <c r="AF1503" s="12"/>
    </row>
    <row r="1504" spans="1:32" x14ac:dyDescent="0.35">
      <c r="A1504" s="21"/>
      <c r="B1504" s="23"/>
      <c r="C1504" s="26"/>
      <c r="D1504" s="27"/>
      <c r="E1504" s="27"/>
      <c r="F1504" s="28"/>
      <c r="G1504" s="25"/>
      <c r="H1504" s="25"/>
      <c r="I1504" s="25"/>
      <c r="J1504" s="25"/>
      <c r="K1504" s="25"/>
      <c r="L1504" s="25"/>
      <c r="M1504" s="25"/>
      <c r="N1504" s="25"/>
      <c r="O1504" s="25"/>
      <c r="P1504" s="25"/>
      <c r="Q1504" s="25"/>
      <c r="R1504" s="25"/>
      <c r="S1504" s="25"/>
      <c r="T1504" s="14"/>
      <c r="U1504" s="12"/>
      <c r="V1504" s="12"/>
      <c r="W1504" s="12"/>
      <c r="X1504" s="12"/>
      <c r="Y1504" s="12"/>
      <c r="Z1504" s="12"/>
      <c r="AA1504" s="12"/>
      <c r="AB1504" s="12"/>
      <c r="AC1504" s="12"/>
      <c r="AD1504" s="12"/>
      <c r="AE1504" s="12"/>
      <c r="AF1504" s="12"/>
    </row>
    <row r="1505" spans="1:32" x14ac:dyDescent="0.35">
      <c r="A1505" s="21"/>
      <c r="B1505" s="23"/>
      <c r="C1505" s="26"/>
      <c r="D1505" s="27"/>
      <c r="E1505" s="27"/>
      <c r="F1505" s="28"/>
      <c r="G1505" s="25"/>
      <c r="H1505" s="25"/>
      <c r="I1505" s="25"/>
      <c r="J1505" s="25"/>
      <c r="K1505" s="25"/>
      <c r="L1505" s="25"/>
      <c r="M1505" s="25"/>
      <c r="N1505" s="25"/>
      <c r="O1505" s="25"/>
      <c r="P1505" s="25"/>
      <c r="Q1505" s="25"/>
      <c r="R1505" s="25"/>
      <c r="S1505" s="25"/>
      <c r="T1505" s="22"/>
      <c r="U1505" s="12"/>
      <c r="V1505" s="12"/>
      <c r="W1505" s="12"/>
      <c r="X1505" s="12"/>
      <c r="Y1505" s="12"/>
      <c r="Z1505" s="12"/>
      <c r="AA1505" s="12"/>
      <c r="AB1505" s="12"/>
      <c r="AC1505" s="12"/>
      <c r="AD1505" s="12"/>
      <c r="AE1505" s="12"/>
      <c r="AF1505" s="12"/>
    </row>
    <row r="1506" spans="1:32" x14ac:dyDescent="0.35">
      <c r="A1506" s="21"/>
      <c r="B1506" s="23"/>
      <c r="C1506" s="26"/>
      <c r="D1506" s="27"/>
      <c r="E1506" s="27"/>
      <c r="F1506" s="28"/>
      <c r="G1506" s="25"/>
      <c r="H1506" s="25"/>
      <c r="I1506" s="25"/>
      <c r="J1506" s="25"/>
      <c r="K1506" s="25"/>
      <c r="L1506" s="25"/>
      <c r="M1506" s="25"/>
      <c r="N1506" s="25"/>
      <c r="O1506" s="25"/>
      <c r="P1506" s="25"/>
      <c r="Q1506" s="25"/>
      <c r="R1506" s="25"/>
      <c r="S1506" s="25"/>
      <c r="T1506" s="22"/>
      <c r="U1506" s="12"/>
      <c r="V1506" s="12"/>
      <c r="W1506" s="12"/>
      <c r="X1506" s="12"/>
      <c r="Y1506" s="12"/>
      <c r="Z1506" s="12"/>
      <c r="AA1506" s="12"/>
      <c r="AB1506" s="12"/>
      <c r="AC1506" s="12"/>
      <c r="AD1506" s="12"/>
      <c r="AE1506" s="12"/>
      <c r="AF1506" s="12"/>
    </row>
    <row r="1507" spans="1:32" x14ac:dyDescent="0.35">
      <c r="A1507" s="21"/>
      <c r="B1507" s="23"/>
      <c r="C1507" s="26"/>
      <c r="D1507" s="27"/>
      <c r="E1507" s="27"/>
      <c r="F1507" s="28"/>
      <c r="G1507" s="25"/>
      <c r="H1507" s="25"/>
      <c r="I1507" s="25"/>
      <c r="J1507" s="25"/>
      <c r="K1507" s="25"/>
      <c r="L1507" s="25"/>
      <c r="M1507" s="25"/>
      <c r="N1507" s="25"/>
      <c r="O1507" s="25"/>
      <c r="P1507" s="25"/>
      <c r="Q1507" s="25"/>
      <c r="R1507" s="25"/>
      <c r="S1507" s="25"/>
      <c r="T1507" s="22"/>
      <c r="U1507" s="12"/>
      <c r="V1507" s="12"/>
      <c r="W1507" s="12"/>
      <c r="X1507" s="12"/>
      <c r="Y1507" s="12"/>
      <c r="Z1507" s="12"/>
      <c r="AA1507" s="12"/>
      <c r="AB1507" s="12"/>
      <c r="AC1507" s="12"/>
      <c r="AD1507" s="12"/>
      <c r="AE1507" s="12"/>
      <c r="AF1507" s="12"/>
    </row>
    <row r="1508" spans="1:32" x14ac:dyDescent="0.35">
      <c r="A1508" s="21"/>
      <c r="B1508" s="23"/>
      <c r="C1508" s="26"/>
      <c r="D1508" s="27"/>
      <c r="E1508" s="27"/>
      <c r="F1508" s="28"/>
      <c r="G1508" s="25"/>
      <c r="H1508" s="25"/>
      <c r="I1508" s="25"/>
      <c r="J1508" s="25"/>
      <c r="K1508" s="25"/>
      <c r="L1508" s="25"/>
      <c r="M1508" s="25"/>
      <c r="N1508" s="25"/>
      <c r="O1508" s="25"/>
      <c r="P1508" s="25"/>
      <c r="Q1508" s="25"/>
      <c r="R1508" s="25"/>
      <c r="S1508" s="25"/>
      <c r="T1508" s="22"/>
      <c r="U1508" s="12"/>
      <c r="V1508" s="12"/>
      <c r="W1508" s="12"/>
      <c r="X1508" s="12"/>
      <c r="Y1508" s="12"/>
      <c r="Z1508" s="12"/>
      <c r="AA1508" s="12"/>
      <c r="AB1508" s="12"/>
      <c r="AC1508" s="12"/>
      <c r="AD1508" s="12"/>
      <c r="AE1508" s="12"/>
      <c r="AF1508" s="12"/>
    </row>
    <row r="1509" spans="1:32" x14ac:dyDescent="0.35">
      <c r="A1509" s="21"/>
      <c r="B1509" s="23"/>
      <c r="C1509" s="26"/>
      <c r="D1509" s="27"/>
      <c r="E1509" s="27"/>
      <c r="F1509" s="28"/>
      <c r="G1509" s="25"/>
      <c r="H1509" s="25"/>
      <c r="I1509" s="25"/>
      <c r="J1509" s="25"/>
      <c r="K1509" s="25"/>
      <c r="L1509" s="25"/>
      <c r="M1509" s="25"/>
      <c r="N1509" s="25"/>
      <c r="O1509" s="25"/>
      <c r="P1509" s="25"/>
      <c r="Q1509" s="25"/>
      <c r="R1509" s="25"/>
      <c r="S1509" s="25"/>
      <c r="T1509" s="22"/>
      <c r="U1509" s="12"/>
      <c r="V1509" s="12"/>
      <c r="W1509" s="12"/>
      <c r="X1509" s="12"/>
      <c r="Y1509" s="12"/>
      <c r="Z1509" s="12"/>
      <c r="AA1509" s="12"/>
      <c r="AB1509" s="12"/>
      <c r="AC1509" s="12"/>
      <c r="AD1509" s="12"/>
      <c r="AE1509" s="12"/>
      <c r="AF1509" s="12"/>
    </row>
    <row r="1510" spans="1:32" x14ac:dyDescent="0.35">
      <c r="A1510" s="21"/>
      <c r="B1510" s="23"/>
      <c r="C1510" s="26"/>
      <c r="D1510" s="27"/>
      <c r="E1510" s="27"/>
      <c r="F1510" s="28"/>
      <c r="G1510" s="25"/>
      <c r="H1510" s="25"/>
      <c r="I1510" s="25"/>
      <c r="J1510" s="25"/>
      <c r="K1510" s="25"/>
      <c r="L1510" s="25"/>
      <c r="M1510" s="25"/>
      <c r="N1510" s="25"/>
      <c r="O1510" s="25"/>
      <c r="P1510" s="25"/>
      <c r="Q1510" s="25"/>
      <c r="R1510" s="25"/>
      <c r="S1510" s="25"/>
      <c r="T1510" s="22"/>
      <c r="U1510" s="12"/>
      <c r="V1510" s="12"/>
      <c r="W1510" s="12"/>
      <c r="X1510" s="12"/>
      <c r="Y1510" s="12"/>
      <c r="Z1510" s="12"/>
      <c r="AA1510" s="12"/>
      <c r="AB1510" s="12"/>
      <c r="AC1510" s="12"/>
      <c r="AD1510" s="12"/>
      <c r="AE1510" s="12"/>
      <c r="AF1510" s="12"/>
    </row>
    <row r="1511" spans="1:32" x14ac:dyDescent="0.35">
      <c r="A1511" s="21"/>
      <c r="B1511" s="23"/>
      <c r="C1511" s="26"/>
      <c r="D1511" s="27"/>
      <c r="E1511" s="27"/>
      <c r="F1511" s="28"/>
      <c r="G1511" s="25"/>
      <c r="H1511" s="25"/>
      <c r="I1511" s="25"/>
      <c r="J1511" s="25"/>
      <c r="K1511" s="25"/>
      <c r="L1511" s="25"/>
      <c r="M1511" s="25"/>
      <c r="N1511" s="25"/>
      <c r="O1511" s="25"/>
      <c r="P1511" s="25"/>
      <c r="Q1511" s="25"/>
      <c r="R1511" s="25"/>
      <c r="S1511" s="25"/>
      <c r="T1511" s="22"/>
      <c r="U1511" s="12"/>
      <c r="V1511" s="12"/>
      <c r="W1511" s="12"/>
      <c r="X1511" s="12"/>
      <c r="Y1511" s="12"/>
      <c r="Z1511" s="12"/>
      <c r="AA1511" s="12"/>
      <c r="AB1511" s="12"/>
      <c r="AC1511" s="12"/>
      <c r="AD1511" s="12"/>
      <c r="AE1511" s="12"/>
      <c r="AF1511" s="12"/>
    </row>
    <row r="1512" spans="1:32" x14ac:dyDescent="0.35">
      <c r="A1512" s="21"/>
      <c r="B1512" s="23"/>
      <c r="C1512" s="26"/>
      <c r="D1512" s="27"/>
      <c r="E1512" s="27"/>
      <c r="F1512" s="28"/>
      <c r="G1512" s="25"/>
      <c r="H1512" s="25"/>
      <c r="I1512" s="25"/>
      <c r="J1512" s="25"/>
      <c r="K1512" s="25"/>
      <c r="L1512" s="25"/>
      <c r="M1512" s="25"/>
      <c r="N1512" s="25"/>
      <c r="O1512" s="25"/>
      <c r="P1512" s="25"/>
      <c r="Q1512" s="25"/>
      <c r="R1512" s="25"/>
      <c r="S1512" s="25"/>
      <c r="T1512" s="22"/>
      <c r="U1512" s="12"/>
      <c r="V1512" s="12"/>
      <c r="W1512" s="12"/>
      <c r="X1512" s="12"/>
      <c r="Y1512" s="12"/>
      <c r="Z1512" s="12"/>
      <c r="AA1512" s="12"/>
      <c r="AB1512" s="12"/>
      <c r="AC1512" s="12"/>
      <c r="AD1512" s="12"/>
      <c r="AE1512" s="12"/>
      <c r="AF1512" s="12"/>
    </row>
    <row r="1513" spans="1:32" x14ac:dyDescent="0.35">
      <c r="A1513" s="21"/>
      <c r="B1513" s="23"/>
      <c r="C1513" s="26"/>
      <c r="D1513" s="27"/>
      <c r="E1513" s="27"/>
      <c r="F1513" s="28"/>
      <c r="G1513" s="25"/>
      <c r="H1513" s="25"/>
      <c r="I1513" s="25"/>
      <c r="J1513" s="25"/>
      <c r="K1513" s="25"/>
      <c r="L1513" s="25"/>
      <c r="M1513" s="25"/>
      <c r="N1513" s="25"/>
      <c r="O1513" s="25"/>
      <c r="P1513" s="25"/>
      <c r="Q1513" s="25"/>
      <c r="R1513" s="25"/>
      <c r="S1513" s="25"/>
      <c r="T1513" s="22"/>
      <c r="U1513" s="12"/>
      <c r="V1513" s="12"/>
      <c r="W1513" s="12"/>
      <c r="X1513" s="12"/>
      <c r="Y1513" s="12"/>
      <c r="Z1513" s="12"/>
      <c r="AA1513" s="12"/>
      <c r="AB1513" s="12"/>
      <c r="AC1513" s="12"/>
      <c r="AD1513" s="12"/>
      <c r="AE1513" s="12"/>
      <c r="AF1513" s="12"/>
    </row>
    <row r="1514" spans="1:32" x14ac:dyDescent="0.35">
      <c r="A1514" s="21"/>
      <c r="B1514" s="23"/>
      <c r="C1514" s="26"/>
      <c r="D1514" s="27"/>
      <c r="E1514" s="27"/>
      <c r="F1514" s="28"/>
      <c r="G1514" s="25"/>
      <c r="H1514" s="25"/>
      <c r="I1514" s="25"/>
      <c r="J1514" s="25"/>
      <c r="K1514" s="25"/>
      <c r="L1514" s="25"/>
      <c r="M1514" s="25"/>
      <c r="N1514" s="25"/>
      <c r="O1514" s="25"/>
      <c r="P1514" s="25"/>
      <c r="Q1514" s="25"/>
      <c r="R1514" s="25"/>
      <c r="S1514" s="25"/>
      <c r="T1514" s="14"/>
      <c r="U1514" s="12"/>
      <c r="V1514" s="12"/>
      <c r="W1514" s="12"/>
      <c r="X1514" s="12"/>
      <c r="Y1514" s="12"/>
      <c r="Z1514" s="12"/>
      <c r="AA1514" s="12"/>
      <c r="AB1514" s="12"/>
      <c r="AC1514" s="12"/>
      <c r="AD1514" s="12"/>
      <c r="AE1514" s="12"/>
      <c r="AF1514" s="12"/>
    </row>
    <row r="1515" spans="1:32" x14ac:dyDescent="0.35">
      <c r="A1515" s="21"/>
      <c r="B1515" s="23"/>
      <c r="C1515" s="26"/>
      <c r="D1515" s="27"/>
      <c r="E1515" s="27"/>
      <c r="F1515" s="28"/>
      <c r="G1515" s="25"/>
      <c r="H1515" s="25"/>
      <c r="I1515" s="25"/>
      <c r="J1515" s="25"/>
      <c r="K1515" s="25"/>
      <c r="L1515" s="25"/>
      <c r="M1515" s="25"/>
      <c r="N1515" s="25"/>
      <c r="O1515" s="25"/>
      <c r="P1515" s="25"/>
      <c r="Q1515" s="25"/>
      <c r="R1515" s="25"/>
      <c r="S1515" s="25"/>
      <c r="T1515" s="14"/>
      <c r="U1515" s="12"/>
      <c r="V1515" s="12"/>
      <c r="W1515" s="12"/>
      <c r="X1515" s="12"/>
      <c r="Y1515" s="12"/>
      <c r="Z1515" s="12"/>
      <c r="AA1515" s="12"/>
      <c r="AB1515" s="12"/>
      <c r="AC1515" s="12"/>
      <c r="AD1515" s="12"/>
      <c r="AE1515" s="12"/>
      <c r="AF1515" s="12"/>
    </row>
    <row r="1516" spans="1:32" x14ac:dyDescent="0.35">
      <c r="A1516" s="21"/>
      <c r="B1516" s="23"/>
      <c r="C1516" s="26"/>
      <c r="D1516" s="27"/>
      <c r="E1516" s="27"/>
      <c r="F1516" s="28"/>
      <c r="G1516" s="25"/>
      <c r="H1516" s="25"/>
      <c r="I1516" s="25"/>
      <c r="J1516" s="25"/>
      <c r="K1516" s="25"/>
      <c r="L1516" s="25"/>
      <c r="M1516" s="25"/>
      <c r="N1516" s="25"/>
      <c r="O1516" s="25"/>
      <c r="P1516" s="25"/>
      <c r="Q1516" s="25"/>
      <c r="R1516" s="25"/>
      <c r="S1516" s="25"/>
      <c r="T1516" s="14"/>
      <c r="U1516" s="12"/>
      <c r="V1516" s="12"/>
      <c r="W1516" s="12"/>
      <c r="X1516" s="12"/>
      <c r="Y1516" s="12"/>
      <c r="Z1516" s="12"/>
      <c r="AA1516" s="12"/>
      <c r="AB1516" s="12"/>
      <c r="AC1516" s="12"/>
      <c r="AD1516" s="12"/>
      <c r="AE1516" s="12"/>
      <c r="AF1516" s="12"/>
    </row>
    <row r="1517" spans="1:32" x14ac:dyDescent="0.35">
      <c r="A1517" s="21"/>
      <c r="B1517" s="23"/>
      <c r="C1517" s="26"/>
      <c r="D1517" s="27"/>
      <c r="E1517" s="27"/>
      <c r="F1517" s="28"/>
      <c r="G1517" s="25"/>
      <c r="H1517" s="25"/>
      <c r="I1517" s="25"/>
      <c r="J1517" s="25"/>
      <c r="K1517" s="25"/>
      <c r="L1517" s="25"/>
      <c r="M1517" s="25"/>
      <c r="N1517" s="25"/>
      <c r="O1517" s="25"/>
      <c r="P1517" s="25"/>
      <c r="Q1517" s="25"/>
      <c r="R1517" s="25"/>
      <c r="S1517" s="25"/>
      <c r="T1517" s="14"/>
      <c r="U1517" s="12"/>
      <c r="V1517" s="12"/>
      <c r="W1517" s="12"/>
      <c r="X1517" s="12"/>
      <c r="Y1517" s="12"/>
      <c r="Z1517" s="12"/>
      <c r="AA1517" s="12"/>
      <c r="AB1517" s="12"/>
      <c r="AC1517" s="12"/>
      <c r="AD1517" s="12"/>
      <c r="AE1517" s="12"/>
      <c r="AF1517" s="12"/>
    </row>
    <row r="1518" spans="1:32" x14ac:dyDescent="0.35">
      <c r="A1518" s="21"/>
      <c r="B1518" s="23"/>
      <c r="C1518" s="26"/>
      <c r="D1518" s="27"/>
      <c r="E1518" s="27"/>
      <c r="F1518" s="28"/>
      <c r="G1518" s="25"/>
      <c r="H1518" s="25"/>
      <c r="I1518" s="25"/>
      <c r="J1518" s="25"/>
      <c r="K1518" s="25"/>
      <c r="L1518" s="25"/>
      <c r="M1518" s="25"/>
      <c r="N1518" s="25"/>
      <c r="O1518" s="25"/>
      <c r="P1518" s="25"/>
      <c r="Q1518" s="25"/>
      <c r="R1518" s="25"/>
      <c r="S1518" s="25"/>
      <c r="T1518" s="14"/>
      <c r="U1518" s="12"/>
      <c r="V1518" s="12"/>
      <c r="W1518" s="12"/>
      <c r="X1518" s="12"/>
      <c r="Y1518" s="12"/>
      <c r="Z1518" s="12"/>
      <c r="AA1518" s="12"/>
      <c r="AB1518" s="12"/>
      <c r="AC1518" s="12"/>
      <c r="AD1518" s="12"/>
      <c r="AE1518" s="12"/>
      <c r="AF1518" s="12"/>
    </row>
    <row r="1519" spans="1:32" x14ac:dyDescent="0.35">
      <c r="A1519" s="21"/>
      <c r="B1519" s="23"/>
      <c r="C1519" s="26"/>
      <c r="D1519" s="27"/>
      <c r="E1519" s="27"/>
      <c r="F1519" s="28"/>
      <c r="G1519" s="25"/>
      <c r="H1519" s="25"/>
      <c r="I1519" s="25"/>
      <c r="J1519" s="25"/>
      <c r="K1519" s="25"/>
      <c r="L1519" s="25"/>
      <c r="M1519" s="25"/>
      <c r="N1519" s="25"/>
      <c r="O1519" s="25"/>
      <c r="P1519" s="25"/>
      <c r="Q1519" s="25"/>
      <c r="R1519" s="25"/>
      <c r="S1519" s="25"/>
      <c r="T1519" s="14"/>
      <c r="U1519" s="12"/>
      <c r="V1519" s="12"/>
      <c r="W1519" s="12"/>
      <c r="X1519" s="12"/>
      <c r="Y1519" s="12"/>
      <c r="Z1519" s="12"/>
      <c r="AA1519" s="12"/>
      <c r="AB1519" s="12"/>
      <c r="AC1519" s="12"/>
      <c r="AD1519" s="12"/>
      <c r="AE1519" s="12"/>
      <c r="AF1519" s="12"/>
    </row>
    <row r="1520" spans="1:32" x14ac:dyDescent="0.35">
      <c r="A1520" s="21"/>
      <c r="B1520" s="23"/>
      <c r="C1520" s="26"/>
      <c r="D1520" s="27"/>
      <c r="E1520" s="27"/>
      <c r="F1520" s="28"/>
      <c r="G1520" s="25"/>
      <c r="H1520" s="25"/>
      <c r="I1520" s="25"/>
      <c r="J1520" s="25"/>
      <c r="K1520" s="25"/>
      <c r="L1520" s="25"/>
      <c r="M1520" s="25"/>
      <c r="N1520" s="25"/>
      <c r="O1520" s="25"/>
      <c r="P1520" s="25"/>
      <c r="Q1520" s="25"/>
      <c r="R1520" s="25"/>
      <c r="S1520" s="25"/>
      <c r="T1520" s="14"/>
      <c r="U1520" s="12"/>
      <c r="V1520" s="12"/>
      <c r="W1520" s="12"/>
      <c r="X1520" s="12"/>
      <c r="Y1520" s="12"/>
      <c r="Z1520" s="12"/>
      <c r="AA1520" s="12"/>
      <c r="AB1520" s="12"/>
      <c r="AC1520" s="12"/>
      <c r="AD1520" s="12"/>
      <c r="AE1520" s="12"/>
      <c r="AF1520" s="12"/>
    </row>
    <row r="1521" spans="1:32" x14ac:dyDescent="0.35">
      <c r="A1521" s="21"/>
      <c r="B1521" s="23"/>
      <c r="C1521" s="26"/>
      <c r="D1521" s="27"/>
      <c r="E1521" s="27"/>
      <c r="F1521" s="28"/>
      <c r="G1521" s="25"/>
      <c r="H1521" s="25"/>
      <c r="I1521" s="25"/>
      <c r="J1521" s="25"/>
      <c r="K1521" s="25"/>
      <c r="L1521" s="25"/>
      <c r="M1521" s="25"/>
      <c r="N1521" s="25"/>
      <c r="O1521" s="25"/>
      <c r="P1521" s="25"/>
      <c r="Q1521" s="25"/>
      <c r="R1521" s="25"/>
      <c r="S1521" s="25"/>
      <c r="T1521" s="14"/>
      <c r="U1521" s="12"/>
      <c r="V1521" s="12"/>
      <c r="W1521" s="12"/>
      <c r="X1521" s="12"/>
      <c r="Y1521" s="12"/>
      <c r="Z1521" s="12"/>
      <c r="AA1521" s="12"/>
      <c r="AB1521" s="12"/>
      <c r="AC1521" s="12"/>
      <c r="AD1521" s="12"/>
      <c r="AE1521" s="12"/>
      <c r="AF1521" s="12"/>
    </row>
    <row r="1522" spans="1:32" x14ac:dyDescent="0.35">
      <c r="A1522" s="21"/>
      <c r="B1522" s="23"/>
      <c r="C1522" s="26"/>
      <c r="D1522" s="27"/>
      <c r="E1522" s="27"/>
      <c r="F1522" s="28"/>
      <c r="G1522" s="25"/>
      <c r="H1522" s="25"/>
      <c r="I1522" s="25"/>
      <c r="J1522" s="25"/>
      <c r="K1522" s="25"/>
      <c r="L1522" s="25"/>
      <c r="M1522" s="25"/>
      <c r="N1522" s="25"/>
      <c r="O1522" s="25"/>
      <c r="P1522" s="25"/>
      <c r="Q1522" s="25"/>
      <c r="R1522" s="25"/>
      <c r="S1522" s="25"/>
      <c r="T1522" s="14"/>
      <c r="U1522" s="12"/>
      <c r="V1522" s="12"/>
      <c r="W1522" s="12"/>
      <c r="X1522" s="12"/>
      <c r="Y1522" s="12"/>
      <c r="Z1522" s="12"/>
      <c r="AA1522" s="12"/>
      <c r="AB1522" s="12"/>
      <c r="AC1522" s="12"/>
      <c r="AD1522" s="12"/>
      <c r="AE1522" s="12"/>
      <c r="AF1522" s="12"/>
    </row>
    <row r="1523" spans="1:32" x14ac:dyDescent="0.35">
      <c r="A1523" s="21"/>
      <c r="B1523" s="23"/>
      <c r="C1523" s="26"/>
      <c r="D1523" s="27"/>
      <c r="E1523" s="27"/>
      <c r="F1523" s="28"/>
      <c r="G1523" s="25"/>
      <c r="H1523" s="25"/>
      <c r="I1523" s="25"/>
      <c r="J1523" s="25"/>
      <c r="K1523" s="25"/>
      <c r="L1523" s="25"/>
      <c r="M1523" s="25"/>
      <c r="N1523" s="25"/>
      <c r="O1523" s="25"/>
      <c r="P1523" s="25"/>
      <c r="Q1523" s="25"/>
      <c r="R1523" s="25"/>
      <c r="S1523" s="25"/>
      <c r="T1523" s="14"/>
      <c r="U1523" s="12"/>
      <c r="V1523" s="12"/>
      <c r="W1523" s="12"/>
      <c r="X1523" s="12"/>
      <c r="Y1523" s="12"/>
      <c r="Z1523" s="12"/>
      <c r="AA1523" s="12"/>
      <c r="AB1523" s="12"/>
      <c r="AC1523" s="12"/>
      <c r="AD1523" s="12"/>
      <c r="AE1523" s="12"/>
      <c r="AF1523" s="12"/>
    </row>
    <row r="1524" spans="1:32" x14ac:dyDescent="0.35">
      <c r="A1524" s="21"/>
      <c r="B1524" s="23"/>
      <c r="C1524" s="26"/>
      <c r="D1524" s="27"/>
      <c r="E1524" s="27"/>
      <c r="F1524" s="28"/>
      <c r="G1524" s="25"/>
      <c r="H1524" s="25"/>
      <c r="I1524" s="25"/>
      <c r="J1524" s="25"/>
      <c r="K1524" s="25"/>
      <c r="L1524" s="25"/>
      <c r="M1524" s="25"/>
      <c r="N1524" s="25"/>
      <c r="O1524" s="25"/>
      <c r="P1524" s="25"/>
      <c r="Q1524" s="25"/>
      <c r="R1524" s="25"/>
      <c r="S1524" s="25"/>
      <c r="T1524" s="14"/>
      <c r="U1524" s="12"/>
      <c r="V1524" s="12"/>
      <c r="W1524" s="12"/>
      <c r="X1524" s="12"/>
      <c r="Y1524" s="12"/>
      <c r="Z1524" s="12"/>
      <c r="AA1524" s="12"/>
      <c r="AB1524" s="12"/>
      <c r="AC1524" s="12"/>
      <c r="AD1524" s="12"/>
      <c r="AE1524" s="12"/>
      <c r="AF1524" s="12"/>
    </row>
    <row r="1525" spans="1:32" x14ac:dyDescent="0.35">
      <c r="A1525" s="21"/>
      <c r="B1525" s="23"/>
      <c r="C1525" s="26"/>
      <c r="D1525" s="27"/>
      <c r="E1525" s="27"/>
      <c r="F1525" s="28"/>
      <c r="G1525" s="25"/>
      <c r="H1525" s="25"/>
      <c r="I1525" s="25"/>
      <c r="J1525" s="25"/>
      <c r="K1525" s="25"/>
      <c r="L1525" s="25"/>
      <c r="M1525" s="25"/>
      <c r="N1525" s="25"/>
      <c r="O1525" s="25"/>
      <c r="P1525" s="25"/>
      <c r="Q1525" s="25"/>
      <c r="R1525" s="25"/>
      <c r="S1525" s="25"/>
      <c r="T1525" s="14"/>
      <c r="U1525" s="12"/>
      <c r="V1525" s="12"/>
      <c r="W1525" s="12"/>
      <c r="X1525" s="12"/>
      <c r="Y1525" s="12"/>
      <c r="Z1525" s="12"/>
      <c r="AA1525" s="12"/>
      <c r="AB1525" s="12"/>
      <c r="AC1525" s="12"/>
      <c r="AD1525" s="12"/>
      <c r="AE1525" s="12"/>
      <c r="AF1525" s="12"/>
    </row>
    <row r="1526" spans="1:32" x14ac:dyDescent="0.35">
      <c r="A1526" s="21"/>
      <c r="B1526" s="23"/>
      <c r="C1526" s="26"/>
      <c r="D1526" s="27"/>
      <c r="E1526" s="27"/>
      <c r="F1526" s="28"/>
      <c r="G1526" s="25"/>
      <c r="H1526" s="25"/>
      <c r="I1526" s="25"/>
      <c r="J1526" s="25"/>
      <c r="K1526" s="25"/>
      <c r="L1526" s="25"/>
      <c r="M1526" s="25"/>
      <c r="N1526" s="25"/>
      <c r="O1526" s="25"/>
      <c r="P1526" s="25"/>
      <c r="Q1526" s="25"/>
      <c r="R1526" s="25"/>
      <c r="S1526" s="25"/>
      <c r="T1526" s="14"/>
      <c r="U1526" s="12"/>
      <c r="V1526" s="12"/>
      <c r="W1526" s="12"/>
      <c r="X1526" s="12"/>
      <c r="Y1526" s="12"/>
      <c r="Z1526" s="12"/>
      <c r="AA1526" s="12"/>
      <c r="AB1526" s="12"/>
      <c r="AC1526" s="12"/>
      <c r="AD1526" s="12"/>
      <c r="AE1526" s="12"/>
      <c r="AF1526" s="12"/>
    </row>
    <row r="1527" spans="1:32" x14ac:dyDescent="0.35">
      <c r="A1527" s="21"/>
      <c r="B1527" s="23"/>
      <c r="C1527" s="26"/>
      <c r="D1527" s="27"/>
      <c r="E1527" s="27"/>
      <c r="F1527" s="28"/>
      <c r="G1527" s="25"/>
      <c r="H1527" s="25"/>
      <c r="I1527" s="25"/>
      <c r="J1527" s="25"/>
      <c r="K1527" s="25"/>
      <c r="L1527" s="25"/>
      <c r="M1527" s="25"/>
      <c r="N1527" s="25"/>
      <c r="O1527" s="25"/>
      <c r="P1527" s="25"/>
      <c r="Q1527" s="25"/>
      <c r="R1527" s="25"/>
      <c r="S1527" s="25"/>
      <c r="T1527" s="14"/>
      <c r="U1527" s="12"/>
      <c r="V1527" s="12"/>
      <c r="W1527" s="12"/>
      <c r="X1527" s="12"/>
      <c r="Y1527" s="12"/>
      <c r="Z1527" s="12"/>
      <c r="AA1527" s="12"/>
      <c r="AB1527" s="12"/>
      <c r="AC1527" s="12"/>
      <c r="AD1527" s="12"/>
      <c r="AE1527" s="12"/>
      <c r="AF1527" s="12"/>
    </row>
    <row r="1528" spans="1:32" x14ac:dyDescent="0.35">
      <c r="A1528" s="21"/>
      <c r="B1528" s="23"/>
      <c r="C1528" s="26"/>
      <c r="D1528" s="27"/>
      <c r="E1528" s="27"/>
      <c r="F1528" s="28"/>
      <c r="G1528" s="25"/>
      <c r="H1528" s="25"/>
      <c r="I1528" s="25"/>
      <c r="J1528" s="25"/>
      <c r="K1528" s="25"/>
      <c r="L1528" s="25"/>
      <c r="M1528" s="25"/>
      <c r="N1528" s="25"/>
      <c r="O1528" s="25"/>
      <c r="P1528" s="25"/>
      <c r="Q1528" s="25"/>
      <c r="R1528" s="25"/>
      <c r="S1528" s="25"/>
      <c r="T1528" s="14"/>
      <c r="U1528" s="12"/>
      <c r="V1528" s="12"/>
      <c r="W1528" s="12"/>
      <c r="X1528" s="12"/>
      <c r="Y1528" s="12"/>
      <c r="Z1528" s="12"/>
      <c r="AA1528" s="12"/>
      <c r="AB1528" s="12"/>
      <c r="AC1528" s="12"/>
      <c r="AD1528" s="12"/>
      <c r="AE1528" s="12"/>
      <c r="AF1528" s="12"/>
    </row>
    <row r="1529" spans="1:32" x14ac:dyDescent="0.35">
      <c r="A1529" s="21"/>
      <c r="B1529" s="23"/>
      <c r="C1529" s="26"/>
      <c r="D1529" s="27"/>
      <c r="E1529" s="27"/>
      <c r="F1529" s="28"/>
      <c r="G1529" s="25"/>
      <c r="H1529" s="25"/>
      <c r="I1529" s="25"/>
      <c r="J1529" s="25"/>
      <c r="K1529" s="25"/>
      <c r="L1529" s="25"/>
      <c r="M1529" s="25"/>
      <c r="N1529" s="25"/>
      <c r="O1529" s="25"/>
      <c r="P1529" s="25"/>
      <c r="Q1529" s="25"/>
      <c r="R1529" s="25"/>
      <c r="S1529" s="25"/>
      <c r="T1529" s="22"/>
      <c r="U1529" s="12"/>
      <c r="V1529" s="12"/>
      <c r="W1529" s="12"/>
      <c r="X1529" s="12"/>
      <c r="Y1529" s="12"/>
      <c r="Z1529" s="12"/>
      <c r="AA1529" s="12"/>
      <c r="AB1529" s="12"/>
      <c r="AC1529" s="12"/>
      <c r="AD1529" s="12"/>
      <c r="AE1529" s="12"/>
      <c r="AF1529" s="12"/>
    </row>
    <row r="1530" spans="1:32" x14ac:dyDescent="0.35">
      <c r="A1530" s="21"/>
      <c r="B1530" s="23"/>
      <c r="C1530" s="26"/>
      <c r="D1530" s="27"/>
      <c r="E1530" s="27"/>
      <c r="F1530" s="28"/>
      <c r="G1530" s="25"/>
      <c r="H1530" s="25"/>
      <c r="I1530" s="25"/>
      <c r="J1530" s="25"/>
      <c r="K1530" s="25"/>
      <c r="L1530" s="25"/>
      <c r="M1530" s="25"/>
      <c r="N1530" s="25"/>
      <c r="O1530" s="25"/>
      <c r="P1530" s="25"/>
      <c r="Q1530" s="25"/>
      <c r="R1530" s="25"/>
      <c r="S1530" s="25"/>
      <c r="T1530" s="22"/>
      <c r="U1530" s="12"/>
      <c r="V1530" s="12"/>
      <c r="W1530" s="12"/>
      <c r="X1530" s="12"/>
      <c r="Y1530" s="12"/>
      <c r="Z1530" s="12"/>
      <c r="AA1530" s="12"/>
      <c r="AB1530" s="12"/>
      <c r="AC1530" s="12"/>
      <c r="AD1530" s="12"/>
      <c r="AE1530" s="12"/>
      <c r="AF1530" s="12"/>
    </row>
    <row r="1531" spans="1:32" x14ac:dyDescent="0.35">
      <c r="A1531" s="21"/>
      <c r="B1531" s="23"/>
      <c r="C1531" s="26"/>
      <c r="D1531" s="27"/>
      <c r="E1531" s="27"/>
      <c r="F1531" s="28"/>
      <c r="G1531" s="25"/>
      <c r="H1531" s="25"/>
      <c r="I1531" s="25"/>
      <c r="J1531" s="25"/>
      <c r="K1531" s="25"/>
      <c r="L1531" s="25"/>
      <c r="M1531" s="25"/>
      <c r="N1531" s="25"/>
      <c r="O1531" s="25"/>
      <c r="P1531" s="25"/>
      <c r="Q1531" s="25"/>
      <c r="R1531" s="25"/>
      <c r="S1531" s="25"/>
      <c r="T1531" s="22"/>
      <c r="U1531" s="12"/>
      <c r="V1531" s="12"/>
      <c r="W1531" s="12"/>
      <c r="X1531" s="12"/>
      <c r="Y1531" s="12"/>
      <c r="Z1531" s="12"/>
      <c r="AA1531" s="12"/>
      <c r="AB1531" s="12"/>
      <c r="AC1531" s="12"/>
      <c r="AD1531" s="12"/>
      <c r="AE1531" s="12"/>
      <c r="AF1531" s="12"/>
    </row>
    <row r="1532" spans="1:32" x14ac:dyDescent="0.35">
      <c r="A1532" s="21"/>
      <c r="B1532" s="23"/>
      <c r="C1532" s="26"/>
      <c r="D1532" s="27"/>
      <c r="E1532" s="27"/>
      <c r="F1532" s="28"/>
      <c r="G1532" s="25"/>
      <c r="H1532" s="25"/>
      <c r="I1532" s="25"/>
      <c r="J1532" s="25"/>
      <c r="K1532" s="25"/>
      <c r="L1532" s="25"/>
      <c r="M1532" s="25"/>
      <c r="N1532" s="25"/>
      <c r="O1532" s="25"/>
      <c r="P1532" s="25"/>
      <c r="Q1532" s="25"/>
      <c r="R1532" s="25"/>
      <c r="S1532" s="25"/>
      <c r="T1532" s="22"/>
      <c r="U1532" s="12"/>
      <c r="V1532" s="12"/>
      <c r="W1532" s="12"/>
      <c r="X1532" s="12"/>
      <c r="Y1532" s="12"/>
      <c r="Z1532" s="12"/>
      <c r="AA1532" s="12"/>
      <c r="AB1532" s="12"/>
      <c r="AC1532" s="12"/>
      <c r="AD1532" s="12"/>
      <c r="AE1532" s="12"/>
      <c r="AF1532" s="12"/>
    </row>
    <row r="1533" spans="1:32" x14ac:dyDescent="0.35">
      <c r="A1533" s="21"/>
      <c r="B1533" s="23"/>
      <c r="C1533" s="26"/>
      <c r="D1533" s="27"/>
      <c r="E1533" s="27"/>
      <c r="F1533" s="28"/>
      <c r="G1533" s="25"/>
      <c r="H1533" s="25"/>
      <c r="I1533" s="25"/>
      <c r="J1533" s="25"/>
      <c r="K1533" s="25"/>
      <c r="L1533" s="25"/>
      <c r="M1533" s="25"/>
      <c r="N1533" s="25"/>
      <c r="O1533" s="25"/>
      <c r="P1533" s="25"/>
      <c r="Q1533" s="25"/>
      <c r="R1533" s="25"/>
      <c r="S1533" s="25"/>
      <c r="T1533" s="22"/>
      <c r="U1533" s="12"/>
      <c r="V1533" s="12"/>
      <c r="W1533" s="12"/>
      <c r="X1533" s="12"/>
      <c r="Y1533" s="12"/>
      <c r="Z1533" s="12"/>
      <c r="AA1533" s="12"/>
      <c r="AB1533" s="12"/>
      <c r="AC1533" s="12"/>
      <c r="AD1533" s="12"/>
      <c r="AE1533" s="12"/>
      <c r="AF1533" s="12"/>
    </row>
    <row r="1534" spans="1:32" x14ac:dyDescent="0.35">
      <c r="A1534" s="21"/>
      <c r="B1534" s="23"/>
      <c r="C1534" s="26"/>
      <c r="D1534" s="27"/>
      <c r="E1534" s="27"/>
      <c r="F1534" s="28"/>
      <c r="G1534" s="25"/>
      <c r="H1534" s="25"/>
      <c r="I1534" s="25"/>
      <c r="J1534" s="25"/>
      <c r="K1534" s="25"/>
      <c r="L1534" s="25"/>
      <c r="M1534" s="25"/>
      <c r="N1534" s="25"/>
      <c r="O1534" s="25"/>
      <c r="P1534" s="25"/>
      <c r="Q1534" s="25"/>
      <c r="R1534" s="25"/>
      <c r="S1534" s="25"/>
      <c r="T1534" s="22"/>
      <c r="U1534" s="12"/>
      <c r="V1534" s="12"/>
      <c r="W1534" s="12"/>
      <c r="X1534" s="12"/>
      <c r="Y1534" s="12"/>
      <c r="Z1534" s="12"/>
      <c r="AA1534" s="12"/>
      <c r="AB1534" s="12"/>
      <c r="AC1534" s="12"/>
      <c r="AD1534" s="12"/>
      <c r="AE1534" s="12"/>
      <c r="AF1534" s="12"/>
    </row>
    <row r="1535" spans="1:32" x14ac:dyDescent="0.35">
      <c r="A1535" s="21"/>
      <c r="B1535" s="23"/>
      <c r="C1535" s="26"/>
      <c r="D1535" s="27"/>
      <c r="E1535" s="27"/>
      <c r="F1535" s="28"/>
      <c r="G1535" s="25"/>
      <c r="H1535" s="25"/>
      <c r="I1535" s="25"/>
      <c r="J1535" s="25"/>
      <c r="K1535" s="25"/>
      <c r="L1535" s="25"/>
      <c r="M1535" s="25"/>
      <c r="N1535" s="25"/>
      <c r="O1535" s="25"/>
      <c r="P1535" s="25"/>
      <c r="Q1535" s="25"/>
      <c r="R1535" s="25"/>
      <c r="S1535" s="25"/>
      <c r="T1535" s="22"/>
      <c r="U1535" s="12"/>
      <c r="V1535" s="12"/>
      <c r="W1535" s="12"/>
      <c r="X1535" s="12"/>
      <c r="Y1535" s="12"/>
      <c r="Z1535" s="12"/>
      <c r="AA1535" s="12"/>
      <c r="AB1535" s="12"/>
      <c r="AC1535" s="12"/>
      <c r="AD1535" s="12"/>
      <c r="AE1535" s="12"/>
      <c r="AF1535" s="12"/>
    </row>
    <row r="1536" spans="1:32" x14ac:dyDescent="0.35">
      <c r="A1536" s="21"/>
      <c r="B1536" s="23"/>
      <c r="C1536" s="26"/>
      <c r="D1536" s="27"/>
      <c r="E1536" s="27"/>
      <c r="F1536" s="28"/>
      <c r="G1536" s="25"/>
      <c r="H1536" s="25"/>
      <c r="I1536" s="25"/>
      <c r="J1536" s="25"/>
      <c r="K1536" s="25"/>
      <c r="L1536" s="25"/>
      <c r="M1536" s="25"/>
      <c r="N1536" s="25"/>
      <c r="O1536" s="25"/>
      <c r="P1536" s="25"/>
      <c r="Q1536" s="25"/>
      <c r="R1536" s="25"/>
      <c r="S1536" s="25"/>
      <c r="T1536" s="22"/>
      <c r="U1536" s="12"/>
      <c r="V1536" s="12"/>
      <c r="W1536" s="12"/>
      <c r="X1536" s="12"/>
      <c r="Y1536" s="12"/>
      <c r="Z1536" s="12"/>
      <c r="AA1536" s="12"/>
      <c r="AB1536" s="12"/>
      <c r="AC1536" s="12"/>
      <c r="AD1536" s="12"/>
      <c r="AE1536" s="12"/>
      <c r="AF1536" s="12"/>
    </row>
    <row r="1537" spans="1:32" x14ac:dyDescent="0.35">
      <c r="A1537" s="21"/>
      <c r="B1537" s="23"/>
      <c r="C1537" s="26"/>
      <c r="D1537" s="27"/>
      <c r="E1537" s="27"/>
      <c r="F1537" s="28"/>
      <c r="G1537" s="25"/>
      <c r="H1537" s="25"/>
      <c r="I1537" s="25"/>
      <c r="J1537" s="25"/>
      <c r="K1537" s="25"/>
      <c r="L1537" s="25"/>
      <c r="M1537" s="25"/>
      <c r="N1537" s="25"/>
      <c r="O1537" s="25"/>
      <c r="P1537" s="25"/>
      <c r="Q1537" s="25"/>
      <c r="R1537" s="25"/>
      <c r="S1537" s="25"/>
      <c r="T1537" s="22"/>
      <c r="U1537" s="12"/>
      <c r="V1537" s="12"/>
      <c r="W1537" s="12"/>
      <c r="X1537" s="12"/>
      <c r="Y1537" s="12"/>
      <c r="Z1537" s="12"/>
      <c r="AA1537" s="12"/>
      <c r="AB1537" s="12"/>
      <c r="AC1537" s="12"/>
      <c r="AD1537" s="12"/>
      <c r="AE1537" s="12"/>
      <c r="AF1537" s="12"/>
    </row>
    <row r="1538" spans="1:32" x14ac:dyDescent="0.35">
      <c r="A1538" s="21"/>
      <c r="B1538" s="23"/>
      <c r="C1538" s="26"/>
      <c r="D1538" s="27"/>
      <c r="E1538" s="27"/>
      <c r="F1538" s="28"/>
      <c r="G1538" s="25"/>
      <c r="H1538" s="25"/>
      <c r="I1538" s="25"/>
      <c r="J1538" s="25"/>
      <c r="K1538" s="25"/>
      <c r="L1538" s="25"/>
      <c r="M1538" s="25"/>
      <c r="N1538" s="25"/>
      <c r="O1538" s="25"/>
      <c r="P1538" s="25"/>
      <c r="Q1538" s="25"/>
      <c r="R1538" s="25"/>
      <c r="S1538" s="25"/>
      <c r="T1538" s="22"/>
      <c r="U1538" s="12"/>
      <c r="V1538" s="12"/>
      <c r="W1538" s="12"/>
      <c r="X1538" s="12"/>
      <c r="Y1538" s="12"/>
      <c r="Z1538" s="12"/>
      <c r="AA1538" s="12"/>
      <c r="AB1538" s="12"/>
      <c r="AC1538" s="12"/>
      <c r="AD1538" s="12"/>
      <c r="AE1538" s="12"/>
      <c r="AF1538" s="12"/>
    </row>
    <row r="1539" spans="1:32" x14ac:dyDescent="0.35">
      <c r="A1539" s="21"/>
      <c r="B1539" s="23"/>
      <c r="C1539" s="26"/>
      <c r="D1539" s="27"/>
      <c r="E1539" s="27"/>
      <c r="F1539" s="28"/>
      <c r="G1539" s="25"/>
      <c r="H1539" s="25"/>
      <c r="I1539" s="25"/>
      <c r="J1539" s="25"/>
      <c r="K1539" s="25"/>
      <c r="L1539" s="25"/>
      <c r="M1539" s="25"/>
      <c r="N1539" s="25"/>
      <c r="O1539" s="25"/>
      <c r="P1539" s="25"/>
      <c r="Q1539" s="25"/>
      <c r="R1539" s="25"/>
      <c r="S1539" s="25"/>
      <c r="T1539" s="22"/>
      <c r="U1539" s="12"/>
      <c r="V1539" s="12"/>
      <c r="W1539" s="12"/>
      <c r="X1539" s="12"/>
      <c r="Y1539" s="12"/>
      <c r="Z1539" s="12"/>
      <c r="AA1539" s="12"/>
      <c r="AB1539" s="12"/>
      <c r="AC1539" s="12"/>
      <c r="AD1539" s="12"/>
      <c r="AE1539" s="12"/>
      <c r="AF1539" s="12"/>
    </row>
    <row r="1540" spans="1:32" x14ac:dyDescent="0.35">
      <c r="A1540" s="21"/>
      <c r="B1540" s="23"/>
      <c r="C1540" s="26"/>
      <c r="D1540" s="27"/>
      <c r="E1540" s="27"/>
      <c r="F1540" s="28"/>
      <c r="G1540" s="25"/>
      <c r="H1540" s="25"/>
      <c r="I1540" s="25"/>
      <c r="J1540" s="25"/>
      <c r="K1540" s="25"/>
      <c r="L1540" s="25"/>
      <c r="M1540" s="25"/>
      <c r="N1540" s="25"/>
      <c r="O1540" s="25"/>
      <c r="P1540" s="25"/>
      <c r="Q1540" s="25"/>
      <c r="R1540" s="25"/>
      <c r="S1540" s="25"/>
      <c r="T1540" s="22"/>
      <c r="U1540" s="12"/>
      <c r="V1540" s="12"/>
      <c r="W1540" s="12"/>
      <c r="X1540" s="12"/>
      <c r="Y1540" s="12"/>
      <c r="Z1540" s="12"/>
      <c r="AA1540" s="12"/>
      <c r="AB1540" s="12"/>
      <c r="AC1540" s="12"/>
      <c r="AD1540" s="12"/>
      <c r="AE1540" s="12"/>
      <c r="AF1540" s="12"/>
    </row>
    <row r="1541" spans="1:32" x14ac:dyDescent="0.35">
      <c r="A1541" s="21"/>
      <c r="B1541" s="23"/>
      <c r="C1541" s="26"/>
      <c r="D1541" s="27"/>
      <c r="E1541" s="27"/>
      <c r="F1541" s="28"/>
      <c r="G1541" s="25"/>
      <c r="H1541" s="25"/>
      <c r="I1541" s="25"/>
      <c r="J1541" s="25"/>
      <c r="K1541" s="25"/>
      <c r="L1541" s="25"/>
      <c r="M1541" s="25"/>
      <c r="N1541" s="25"/>
      <c r="O1541" s="25"/>
      <c r="P1541" s="25"/>
      <c r="Q1541" s="25"/>
      <c r="R1541" s="25"/>
      <c r="S1541" s="25"/>
      <c r="T1541" s="22"/>
      <c r="U1541" s="12"/>
      <c r="V1541" s="12"/>
      <c r="W1541" s="12"/>
      <c r="X1541" s="12"/>
      <c r="Y1541" s="12"/>
      <c r="Z1541" s="12"/>
      <c r="AA1541" s="12"/>
      <c r="AB1541" s="12"/>
      <c r="AC1541" s="12"/>
      <c r="AD1541" s="12"/>
      <c r="AE1541" s="12"/>
      <c r="AF1541" s="12"/>
    </row>
    <row r="1542" spans="1:32" x14ac:dyDescent="0.35">
      <c r="A1542" s="21"/>
      <c r="B1542" s="23"/>
      <c r="C1542" s="26"/>
      <c r="D1542" s="27"/>
      <c r="E1542" s="27"/>
      <c r="F1542" s="28"/>
      <c r="G1542" s="25"/>
      <c r="H1542" s="25"/>
      <c r="I1542" s="25"/>
      <c r="J1542" s="25"/>
      <c r="K1542" s="25"/>
      <c r="L1542" s="25"/>
      <c r="M1542" s="25"/>
      <c r="N1542" s="25"/>
      <c r="O1542" s="25"/>
      <c r="P1542" s="25"/>
      <c r="Q1542" s="25"/>
      <c r="R1542" s="25"/>
      <c r="S1542" s="25"/>
      <c r="T1542" s="22"/>
      <c r="U1542" s="12"/>
      <c r="V1542" s="12"/>
      <c r="W1542" s="12"/>
      <c r="X1542" s="12"/>
      <c r="Y1542" s="12"/>
      <c r="Z1542" s="12"/>
      <c r="AA1542" s="12"/>
      <c r="AB1542" s="12"/>
      <c r="AC1542" s="12"/>
      <c r="AD1542" s="12"/>
      <c r="AE1542" s="12"/>
      <c r="AF1542" s="12"/>
    </row>
    <row r="1543" spans="1:32" x14ac:dyDescent="0.35">
      <c r="A1543" s="21"/>
      <c r="B1543" s="23"/>
      <c r="C1543" s="26"/>
      <c r="D1543" s="27"/>
      <c r="E1543" s="27"/>
      <c r="F1543" s="28"/>
      <c r="G1543" s="25"/>
      <c r="H1543" s="25"/>
      <c r="I1543" s="25"/>
      <c r="J1543" s="25"/>
      <c r="K1543" s="25"/>
      <c r="L1543" s="25"/>
      <c r="M1543" s="25"/>
      <c r="N1543" s="25"/>
      <c r="O1543" s="25"/>
      <c r="P1543" s="25"/>
      <c r="Q1543" s="25"/>
      <c r="R1543" s="25"/>
      <c r="S1543" s="25"/>
      <c r="T1543" s="22"/>
      <c r="U1543" s="12"/>
      <c r="V1543" s="12"/>
      <c r="W1543" s="12"/>
      <c r="X1543" s="12"/>
      <c r="Y1543" s="12"/>
      <c r="Z1543" s="12"/>
      <c r="AA1543" s="12"/>
      <c r="AB1543" s="12"/>
      <c r="AC1543" s="12"/>
      <c r="AD1543" s="12"/>
      <c r="AE1543" s="12"/>
      <c r="AF1543" s="12"/>
    </row>
    <row r="1544" spans="1:32" x14ac:dyDescent="0.35">
      <c r="A1544" s="21"/>
      <c r="B1544" s="23"/>
      <c r="C1544" s="26"/>
      <c r="D1544" s="27"/>
      <c r="E1544" s="27"/>
      <c r="F1544" s="28"/>
      <c r="G1544" s="25"/>
      <c r="H1544" s="25"/>
      <c r="I1544" s="25"/>
      <c r="J1544" s="25"/>
      <c r="K1544" s="25"/>
      <c r="L1544" s="25"/>
      <c r="M1544" s="25"/>
      <c r="N1544" s="25"/>
      <c r="O1544" s="25"/>
      <c r="P1544" s="25"/>
      <c r="Q1544" s="25"/>
      <c r="R1544" s="25"/>
      <c r="S1544" s="25"/>
      <c r="T1544" s="22"/>
      <c r="U1544" s="12"/>
      <c r="V1544" s="12"/>
      <c r="W1544" s="12"/>
      <c r="X1544" s="12"/>
      <c r="Y1544" s="12"/>
      <c r="Z1544" s="12"/>
      <c r="AA1544" s="12"/>
      <c r="AB1544" s="12"/>
      <c r="AC1544" s="12"/>
      <c r="AD1544" s="12"/>
      <c r="AE1544" s="12"/>
      <c r="AF1544" s="12"/>
    </row>
    <row r="1545" spans="1:32" x14ac:dyDescent="0.35">
      <c r="A1545" s="21"/>
      <c r="B1545" s="23"/>
      <c r="C1545" s="26"/>
      <c r="D1545" s="27"/>
      <c r="E1545" s="27"/>
      <c r="F1545" s="28"/>
      <c r="G1545" s="25"/>
      <c r="H1545" s="25"/>
      <c r="I1545" s="25"/>
      <c r="J1545" s="25"/>
      <c r="K1545" s="25"/>
      <c r="L1545" s="25"/>
      <c r="M1545" s="25"/>
      <c r="N1545" s="25"/>
      <c r="O1545" s="25"/>
      <c r="P1545" s="25"/>
      <c r="Q1545" s="25"/>
      <c r="R1545" s="25"/>
      <c r="S1545" s="25"/>
      <c r="T1545" s="14"/>
      <c r="U1545" s="12"/>
      <c r="V1545" s="12"/>
      <c r="W1545" s="12"/>
      <c r="X1545" s="12"/>
      <c r="Y1545" s="12"/>
      <c r="Z1545" s="12"/>
      <c r="AA1545" s="12"/>
      <c r="AB1545" s="12"/>
      <c r="AC1545" s="12"/>
      <c r="AD1545" s="12"/>
      <c r="AE1545" s="12"/>
      <c r="AF1545" s="12"/>
    </row>
    <row r="1546" spans="1:32" x14ac:dyDescent="0.35">
      <c r="A1546" s="21"/>
      <c r="B1546" s="23"/>
      <c r="C1546" s="26"/>
      <c r="D1546" s="27"/>
      <c r="E1546" s="27"/>
      <c r="F1546" s="28"/>
      <c r="G1546" s="25"/>
      <c r="H1546" s="25"/>
      <c r="I1546" s="25"/>
      <c r="J1546" s="25"/>
      <c r="K1546" s="25"/>
      <c r="L1546" s="25"/>
      <c r="M1546" s="25"/>
      <c r="N1546" s="25"/>
      <c r="O1546" s="25"/>
      <c r="P1546" s="25"/>
      <c r="Q1546" s="25"/>
      <c r="R1546" s="25"/>
      <c r="S1546" s="25"/>
      <c r="T1546" s="14"/>
      <c r="U1546" s="12"/>
      <c r="V1546" s="12"/>
      <c r="W1546" s="12"/>
      <c r="X1546" s="12"/>
      <c r="Y1546" s="12"/>
      <c r="Z1546" s="12"/>
      <c r="AA1546" s="12"/>
      <c r="AB1546" s="12"/>
      <c r="AC1546" s="12"/>
      <c r="AD1546" s="12"/>
      <c r="AE1546" s="12"/>
      <c r="AF1546" s="12"/>
    </row>
    <row r="1547" spans="1:32" x14ac:dyDescent="0.35">
      <c r="A1547" s="21"/>
      <c r="B1547" s="23"/>
      <c r="C1547" s="26"/>
      <c r="D1547" s="27"/>
      <c r="E1547" s="27"/>
      <c r="F1547" s="28"/>
      <c r="G1547" s="25"/>
      <c r="H1547" s="25"/>
      <c r="I1547" s="25"/>
      <c r="J1547" s="25"/>
      <c r="K1547" s="25"/>
      <c r="L1547" s="25"/>
      <c r="M1547" s="25"/>
      <c r="N1547" s="25"/>
      <c r="O1547" s="25"/>
      <c r="P1547" s="25"/>
      <c r="Q1547" s="25"/>
      <c r="R1547" s="25"/>
      <c r="S1547" s="25"/>
      <c r="T1547" s="14"/>
      <c r="U1547" s="12"/>
      <c r="V1547" s="12"/>
      <c r="W1547" s="12"/>
      <c r="X1547" s="12"/>
      <c r="Y1547" s="12"/>
      <c r="Z1547" s="12"/>
      <c r="AA1547" s="12"/>
      <c r="AB1547" s="12"/>
      <c r="AC1547" s="12"/>
      <c r="AD1547" s="12"/>
      <c r="AE1547" s="12"/>
      <c r="AF1547" s="12"/>
    </row>
    <row r="1548" spans="1:32" x14ac:dyDescent="0.35">
      <c r="A1548" s="21"/>
      <c r="B1548" s="23"/>
      <c r="C1548" s="26"/>
      <c r="D1548" s="27"/>
      <c r="E1548" s="27"/>
      <c r="F1548" s="28"/>
      <c r="G1548" s="25"/>
      <c r="H1548" s="25"/>
      <c r="I1548" s="25"/>
      <c r="J1548" s="25"/>
      <c r="K1548" s="25"/>
      <c r="L1548" s="25"/>
      <c r="M1548" s="25"/>
      <c r="N1548" s="25"/>
      <c r="O1548" s="25"/>
      <c r="P1548" s="25"/>
      <c r="Q1548" s="25"/>
      <c r="R1548" s="25"/>
      <c r="S1548" s="25"/>
      <c r="T1548" s="14"/>
      <c r="U1548" s="12"/>
      <c r="V1548" s="12"/>
      <c r="W1548" s="12"/>
      <c r="X1548" s="12"/>
      <c r="Y1548" s="12"/>
      <c r="Z1548" s="12"/>
      <c r="AA1548" s="12"/>
      <c r="AB1548" s="12"/>
      <c r="AC1548" s="12"/>
      <c r="AD1548" s="12"/>
      <c r="AE1548" s="12"/>
      <c r="AF1548" s="12"/>
    </row>
    <row r="1549" spans="1:32" x14ac:dyDescent="0.35">
      <c r="A1549" s="21"/>
      <c r="B1549" s="23"/>
      <c r="C1549" s="26"/>
      <c r="D1549" s="27"/>
      <c r="E1549" s="27"/>
      <c r="F1549" s="28"/>
      <c r="G1549" s="25"/>
      <c r="H1549" s="25"/>
      <c r="I1549" s="25"/>
      <c r="J1549" s="25"/>
      <c r="K1549" s="25"/>
      <c r="L1549" s="25"/>
      <c r="M1549" s="25"/>
      <c r="N1549" s="25"/>
      <c r="O1549" s="25"/>
      <c r="P1549" s="25"/>
      <c r="Q1549" s="25"/>
      <c r="R1549" s="25"/>
      <c r="S1549" s="25"/>
      <c r="T1549" s="14"/>
      <c r="U1549" s="12"/>
      <c r="V1549" s="12"/>
      <c r="W1549" s="12"/>
      <c r="X1549" s="12"/>
      <c r="Y1549" s="12"/>
      <c r="Z1549" s="12"/>
      <c r="AA1549" s="12"/>
      <c r="AB1549" s="12"/>
      <c r="AC1549" s="12"/>
      <c r="AD1549" s="12"/>
      <c r="AE1549" s="12"/>
      <c r="AF1549" s="12"/>
    </row>
    <row r="1550" spans="1:32" x14ac:dyDescent="0.35">
      <c r="A1550" s="21"/>
      <c r="B1550" s="23"/>
      <c r="C1550" s="26"/>
      <c r="D1550" s="27"/>
      <c r="E1550" s="27"/>
      <c r="F1550" s="28"/>
      <c r="G1550" s="25"/>
      <c r="H1550" s="25"/>
      <c r="I1550" s="25"/>
      <c r="J1550" s="25"/>
      <c r="K1550" s="25"/>
      <c r="L1550" s="25"/>
      <c r="M1550" s="25"/>
      <c r="N1550" s="25"/>
      <c r="O1550" s="25"/>
      <c r="P1550" s="25"/>
      <c r="Q1550" s="25"/>
      <c r="R1550" s="25"/>
      <c r="S1550" s="25"/>
      <c r="T1550" s="14"/>
      <c r="U1550" s="12"/>
      <c r="V1550" s="12"/>
      <c r="W1550" s="12"/>
      <c r="X1550" s="12"/>
      <c r="Y1550" s="12"/>
      <c r="Z1550" s="12"/>
      <c r="AA1550" s="12"/>
      <c r="AB1550" s="12"/>
      <c r="AC1550" s="12"/>
      <c r="AD1550" s="12"/>
      <c r="AE1550" s="12"/>
      <c r="AF1550" s="12"/>
    </row>
    <row r="1551" spans="1:32" x14ac:dyDescent="0.35">
      <c r="A1551" s="21"/>
      <c r="B1551" s="23"/>
      <c r="C1551" s="26"/>
      <c r="D1551" s="27"/>
      <c r="E1551" s="27"/>
      <c r="F1551" s="28"/>
      <c r="G1551" s="25"/>
      <c r="H1551" s="25"/>
      <c r="I1551" s="25"/>
      <c r="J1551" s="25"/>
      <c r="K1551" s="25"/>
      <c r="L1551" s="25"/>
      <c r="M1551" s="25"/>
      <c r="N1551" s="25"/>
      <c r="O1551" s="25"/>
      <c r="P1551" s="25"/>
      <c r="Q1551" s="25"/>
      <c r="R1551" s="25"/>
      <c r="S1551" s="25"/>
      <c r="T1551" s="14"/>
      <c r="U1551" s="12"/>
      <c r="V1551" s="12"/>
      <c r="W1551" s="12"/>
      <c r="X1551" s="12"/>
      <c r="Y1551" s="12"/>
      <c r="Z1551" s="12"/>
      <c r="AA1551" s="12"/>
      <c r="AB1551" s="12"/>
      <c r="AC1551" s="12"/>
      <c r="AD1551" s="12"/>
      <c r="AE1551" s="12"/>
      <c r="AF1551" s="12"/>
    </row>
    <row r="1552" spans="1:32" x14ac:dyDescent="0.35">
      <c r="A1552" s="21"/>
      <c r="B1552" s="23"/>
      <c r="C1552" s="26"/>
      <c r="D1552" s="27"/>
      <c r="E1552" s="27"/>
      <c r="F1552" s="28"/>
      <c r="G1552" s="25"/>
      <c r="H1552" s="25"/>
      <c r="I1552" s="25"/>
      <c r="J1552" s="25"/>
      <c r="K1552" s="25"/>
      <c r="L1552" s="25"/>
      <c r="M1552" s="25"/>
      <c r="N1552" s="25"/>
      <c r="O1552" s="25"/>
      <c r="P1552" s="25"/>
      <c r="Q1552" s="25"/>
      <c r="R1552" s="25"/>
      <c r="S1552" s="25"/>
      <c r="T1552" s="22"/>
      <c r="U1552" s="12"/>
      <c r="V1552" s="12"/>
      <c r="W1552" s="12"/>
      <c r="X1552" s="12"/>
      <c r="Y1552" s="12"/>
      <c r="Z1552" s="12"/>
      <c r="AA1552" s="12"/>
      <c r="AB1552" s="12"/>
      <c r="AC1552" s="12"/>
      <c r="AD1552" s="12"/>
      <c r="AE1552" s="12"/>
      <c r="AF1552" s="12"/>
    </row>
    <row r="1553" spans="1:32" x14ac:dyDescent="0.35">
      <c r="A1553" s="21"/>
      <c r="B1553" s="23"/>
      <c r="C1553" s="26"/>
      <c r="D1553" s="27"/>
      <c r="E1553" s="27"/>
      <c r="F1553" s="28"/>
      <c r="G1553" s="25"/>
      <c r="H1553" s="25"/>
      <c r="I1553" s="25"/>
      <c r="J1553" s="25"/>
      <c r="K1553" s="25"/>
      <c r="L1553" s="25"/>
      <c r="M1553" s="25"/>
      <c r="N1553" s="25"/>
      <c r="O1553" s="25"/>
      <c r="P1553" s="25"/>
      <c r="Q1553" s="25"/>
      <c r="R1553" s="25"/>
      <c r="S1553" s="25"/>
      <c r="T1553" s="22"/>
      <c r="U1553" s="12"/>
      <c r="V1553" s="12"/>
      <c r="W1553" s="12"/>
      <c r="X1553" s="12"/>
      <c r="Y1553" s="12"/>
      <c r="Z1553" s="12"/>
      <c r="AA1553" s="12"/>
      <c r="AB1553" s="12"/>
      <c r="AC1553" s="12"/>
      <c r="AD1553" s="12"/>
      <c r="AE1553" s="12"/>
      <c r="AF1553" s="12"/>
    </row>
    <row r="1554" spans="1:32" x14ac:dyDescent="0.35">
      <c r="A1554" s="21"/>
      <c r="B1554" s="23"/>
      <c r="C1554" s="26"/>
      <c r="D1554" s="27"/>
      <c r="E1554" s="27"/>
      <c r="F1554" s="28"/>
      <c r="G1554" s="25"/>
      <c r="H1554" s="25"/>
      <c r="I1554" s="25"/>
      <c r="J1554" s="25"/>
      <c r="K1554" s="25"/>
      <c r="L1554" s="25"/>
      <c r="M1554" s="25"/>
      <c r="N1554" s="25"/>
      <c r="O1554" s="25"/>
      <c r="P1554" s="25"/>
      <c r="Q1554" s="25"/>
      <c r="R1554" s="25"/>
      <c r="S1554" s="25"/>
      <c r="T1554" s="22"/>
      <c r="U1554" s="12"/>
      <c r="V1554" s="12"/>
      <c r="W1554" s="12"/>
      <c r="X1554" s="12"/>
      <c r="Y1554" s="12"/>
      <c r="Z1554" s="12"/>
      <c r="AA1554" s="12"/>
      <c r="AB1554" s="12"/>
      <c r="AC1554" s="12"/>
      <c r="AD1554" s="12"/>
      <c r="AE1554" s="12"/>
      <c r="AF1554" s="12"/>
    </row>
    <row r="1555" spans="1:32" x14ac:dyDescent="0.35">
      <c r="A1555" s="21"/>
      <c r="B1555" s="23"/>
      <c r="C1555" s="26"/>
      <c r="D1555" s="27"/>
      <c r="E1555" s="27"/>
      <c r="F1555" s="28"/>
      <c r="G1555" s="25"/>
      <c r="H1555" s="25"/>
      <c r="I1555" s="25"/>
      <c r="J1555" s="25"/>
      <c r="K1555" s="25"/>
      <c r="L1555" s="25"/>
      <c r="M1555" s="25"/>
      <c r="N1555" s="25"/>
      <c r="O1555" s="25"/>
      <c r="P1555" s="25"/>
      <c r="Q1555" s="25"/>
      <c r="R1555" s="25"/>
      <c r="S1555" s="25"/>
      <c r="T1555" s="22"/>
      <c r="U1555" s="12"/>
      <c r="V1555" s="12"/>
      <c r="W1555" s="12"/>
      <c r="X1555" s="12"/>
      <c r="Y1555" s="12"/>
      <c r="Z1555" s="12"/>
      <c r="AA1555" s="12"/>
      <c r="AB1555" s="12"/>
      <c r="AC1555" s="12"/>
      <c r="AD1555" s="12"/>
      <c r="AE1555" s="12"/>
      <c r="AF1555" s="12"/>
    </row>
    <row r="1556" spans="1:32" x14ac:dyDescent="0.35">
      <c r="A1556" s="21"/>
      <c r="B1556" s="23"/>
      <c r="C1556" s="26"/>
      <c r="D1556" s="27"/>
      <c r="E1556" s="27"/>
      <c r="F1556" s="28"/>
      <c r="G1556" s="25"/>
      <c r="H1556" s="25"/>
      <c r="I1556" s="25"/>
      <c r="J1556" s="25"/>
      <c r="K1556" s="25"/>
      <c r="L1556" s="25"/>
      <c r="M1556" s="25"/>
      <c r="N1556" s="25"/>
      <c r="O1556" s="25"/>
      <c r="P1556" s="25"/>
      <c r="Q1556" s="25"/>
      <c r="R1556" s="25"/>
      <c r="S1556" s="25"/>
      <c r="T1556" s="22"/>
      <c r="U1556" s="12"/>
      <c r="V1556" s="12"/>
      <c r="W1556" s="12"/>
      <c r="X1556" s="12"/>
      <c r="Y1556" s="12"/>
      <c r="Z1556" s="12"/>
      <c r="AA1556" s="12"/>
      <c r="AB1556" s="12"/>
      <c r="AC1556" s="12"/>
      <c r="AD1556" s="12"/>
      <c r="AE1556" s="12"/>
      <c r="AF1556" s="12"/>
    </row>
    <row r="1557" spans="1:32" x14ac:dyDescent="0.35">
      <c r="A1557" s="21"/>
      <c r="B1557" s="23"/>
      <c r="C1557" s="26"/>
      <c r="D1557" s="27"/>
      <c r="E1557" s="27"/>
      <c r="F1557" s="28"/>
      <c r="G1557" s="25"/>
      <c r="H1557" s="25"/>
      <c r="I1557" s="25"/>
      <c r="J1557" s="25"/>
      <c r="K1557" s="25"/>
      <c r="L1557" s="25"/>
      <c r="M1557" s="25"/>
      <c r="N1557" s="25"/>
      <c r="O1557" s="25"/>
      <c r="P1557" s="25"/>
      <c r="Q1557" s="25"/>
      <c r="R1557" s="25"/>
      <c r="S1557" s="25"/>
      <c r="T1557" s="22"/>
      <c r="U1557" s="12"/>
      <c r="V1557" s="12"/>
      <c r="W1557" s="12"/>
      <c r="X1557" s="12"/>
      <c r="Y1557" s="12"/>
      <c r="Z1557" s="12"/>
      <c r="AA1557" s="12"/>
      <c r="AB1557" s="12"/>
      <c r="AC1557" s="12"/>
      <c r="AD1557" s="12"/>
      <c r="AE1557" s="12"/>
      <c r="AF1557" s="12"/>
    </row>
    <row r="1558" spans="1:32" x14ac:dyDescent="0.35">
      <c r="A1558" s="21"/>
      <c r="B1558" s="23"/>
      <c r="C1558" s="26"/>
      <c r="D1558" s="27"/>
      <c r="E1558" s="27"/>
      <c r="F1558" s="28"/>
      <c r="G1558" s="25"/>
      <c r="H1558" s="25"/>
      <c r="I1558" s="25"/>
      <c r="J1558" s="25"/>
      <c r="K1558" s="25"/>
      <c r="L1558" s="25"/>
      <c r="M1558" s="25"/>
      <c r="N1558" s="25"/>
      <c r="O1558" s="25"/>
      <c r="P1558" s="25"/>
      <c r="Q1558" s="25"/>
      <c r="R1558" s="25"/>
      <c r="S1558" s="25"/>
      <c r="T1558" s="22"/>
      <c r="U1558" s="12"/>
      <c r="V1558" s="12"/>
      <c r="W1558" s="12"/>
      <c r="X1558" s="12"/>
      <c r="Y1558" s="12"/>
      <c r="Z1558" s="12"/>
      <c r="AA1558" s="12"/>
      <c r="AB1558" s="12"/>
      <c r="AC1558" s="12"/>
      <c r="AD1558" s="12"/>
      <c r="AE1558" s="12"/>
      <c r="AF1558" s="12"/>
    </row>
    <row r="1559" spans="1:32" x14ac:dyDescent="0.35">
      <c r="A1559" s="21"/>
      <c r="B1559" s="23"/>
      <c r="C1559" s="26"/>
      <c r="D1559" s="27"/>
      <c r="E1559" s="27"/>
      <c r="F1559" s="28"/>
      <c r="G1559" s="25"/>
      <c r="H1559" s="25"/>
      <c r="I1559" s="25"/>
      <c r="J1559" s="25"/>
      <c r="K1559" s="25"/>
      <c r="L1559" s="25"/>
      <c r="M1559" s="25"/>
      <c r="N1559" s="25"/>
      <c r="O1559" s="25"/>
      <c r="P1559" s="25"/>
      <c r="Q1559" s="25"/>
      <c r="R1559" s="25"/>
      <c r="S1559" s="25"/>
      <c r="T1559" s="22"/>
      <c r="U1559" s="12"/>
      <c r="V1559" s="12"/>
      <c r="W1559" s="12"/>
      <c r="X1559" s="12"/>
      <c r="Y1559" s="12"/>
      <c r="Z1559" s="12"/>
      <c r="AA1559" s="12"/>
      <c r="AB1559" s="12"/>
      <c r="AC1559" s="12"/>
      <c r="AD1559" s="12"/>
      <c r="AE1559" s="12"/>
      <c r="AF1559" s="12"/>
    </row>
    <row r="1560" spans="1:32" x14ac:dyDescent="0.35">
      <c r="A1560" s="21"/>
      <c r="B1560" s="23"/>
      <c r="C1560" s="26"/>
      <c r="D1560" s="27"/>
      <c r="E1560" s="27"/>
      <c r="F1560" s="28"/>
      <c r="G1560" s="25"/>
      <c r="H1560" s="25"/>
      <c r="I1560" s="25"/>
      <c r="J1560" s="25"/>
      <c r="K1560" s="25"/>
      <c r="L1560" s="25"/>
      <c r="M1560" s="25"/>
      <c r="N1560" s="25"/>
      <c r="O1560" s="25"/>
      <c r="P1560" s="25"/>
      <c r="Q1560" s="25"/>
      <c r="R1560" s="25"/>
      <c r="S1560" s="25"/>
      <c r="T1560" s="22"/>
      <c r="U1560" s="12"/>
      <c r="V1560" s="12"/>
      <c r="W1560" s="12"/>
      <c r="X1560" s="12"/>
      <c r="Y1560" s="12"/>
      <c r="Z1560" s="12"/>
      <c r="AA1560" s="12"/>
      <c r="AB1560" s="12"/>
      <c r="AC1560" s="12"/>
      <c r="AD1560" s="12"/>
      <c r="AE1560" s="12"/>
      <c r="AF1560" s="12"/>
    </row>
    <row r="1561" spans="1:32" x14ac:dyDescent="0.35">
      <c r="A1561" s="21"/>
      <c r="B1561" s="23"/>
      <c r="C1561" s="26"/>
      <c r="D1561" s="27"/>
      <c r="E1561" s="27"/>
      <c r="F1561" s="28"/>
      <c r="G1561" s="25"/>
      <c r="H1561" s="25"/>
      <c r="I1561" s="25"/>
      <c r="J1561" s="25"/>
      <c r="K1561" s="25"/>
      <c r="L1561" s="25"/>
      <c r="M1561" s="25"/>
      <c r="N1561" s="25"/>
      <c r="O1561" s="25"/>
      <c r="P1561" s="25"/>
      <c r="Q1561" s="25"/>
      <c r="R1561" s="25"/>
      <c r="S1561" s="25"/>
      <c r="T1561" s="14"/>
      <c r="U1561" s="12"/>
      <c r="V1561" s="12"/>
      <c r="W1561" s="12"/>
      <c r="X1561" s="12"/>
      <c r="Y1561" s="12"/>
      <c r="Z1561" s="12"/>
      <c r="AA1561" s="12"/>
      <c r="AB1561" s="12"/>
      <c r="AC1561" s="12"/>
      <c r="AD1561" s="12"/>
      <c r="AE1561" s="12"/>
      <c r="AF1561" s="12"/>
    </row>
    <row r="1562" spans="1:32" x14ac:dyDescent="0.35">
      <c r="A1562" s="21"/>
      <c r="B1562" s="23"/>
      <c r="C1562" s="26"/>
      <c r="D1562" s="27"/>
      <c r="E1562" s="27"/>
      <c r="F1562" s="28"/>
      <c r="G1562" s="25"/>
      <c r="H1562" s="25"/>
      <c r="I1562" s="25"/>
      <c r="J1562" s="25"/>
      <c r="K1562" s="25"/>
      <c r="L1562" s="25"/>
      <c r="M1562" s="25"/>
      <c r="N1562" s="25"/>
      <c r="O1562" s="25"/>
      <c r="P1562" s="25"/>
      <c r="Q1562" s="25"/>
      <c r="R1562" s="25"/>
      <c r="S1562" s="25"/>
      <c r="T1562" s="14"/>
      <c r="U1562" s="12"/>
      <c r="V1562" s="12"/>
      <c r="W1562" s="12"/>
      <c r="X1562" s="12"/>
      <c r="Y1562" s="12"/>
      <c r="Z1562" s="12"/>
      <c r="AA1562" s="12"/>
      <c r="AB1562" s="12"/>
      <c r="AC1562" s="12"/>
      <c r="AD1562" s="12"/>
      <c r="AE1562" s="12"/>
      <c r="AF1562" s="12"/>
    </row>
    <row r="1563" spans="1:32" x14ac:dyDescent="0.35">
      <c r="A1563" s="21"/>
      <c r="B1563" s="23"/>
      <c r="C1563" s="26"/>
      <c r="D1563" s="27"/>
      <c r="E1563" s="27"/>
      <c r="F1563" s="28"/>
      <c r="G1563" s="25"/>
      <c r="H1563" s="25"/>
      <c r="I1563" s="25"/>
      <c r="J1563" s="25"/>
      <c r="K1563" s="25"/>
      <c r="L1563" s="25"/>
      <c r="M1563" s="25"/>
      <c r="N1563" s="25"/>
      <c r="O1563" s="25"/>
      <c r="P1563" s="25"/>
      <c r="Q1563" s="25"/>
      <c r="R1563" s="25"/>
      <c r="S1563" s="25"/>
      <c r="T1563" s="14"/>
      <c r="U1563" s="12"/>
      <c r="V1563" s="12"/>
      <c r="W1563" s="12"/>
      <c r="X1563" s="12"/>
      <c r="Y1563" s="12"/>
      <c r="Z1563" s="12"/>
      <c r="AA1563" s="12"/>
      <c r="AB1563" s="12"/>
      <c r="AC1563" s="12"/>
      <c r="AD1563" s="12"/>
      <c r="AE1563" s="12"/>
      <c r="AF1563" s="12"/>
    </row>
    <row r="1564" spans="1:32" x14ac:dyDescent="0.35">
      <c r="A1564" s="21"/>
      <c r="B1564" s="23"/>
      <c r="C1564" s="26"/>
      <c r="D1564" s="27"/>
      <c r="E1564" s="27"/>
      <c r="F1564" s="28"/>
      <c r="G1564" s="25"/>
      <c r="H1564" s="25"/>
      <c r="I1564" s="25"/>
      <c r="J1564" s="25"/>
      <c r="K1564" s="25"/>
      <c r="L1564" s="25"/>
      <c r="M1564" s="25"/>
      <c r="N1564" s="25"/>
      <c r="O1564" s="25"/>
      <c r="P1564" s="25"/>
      <c r="Q1564" s="25"/>
      <c r="R1564" s="25"/>
      <c r="S1564" s="25"/>
      <c r="T1564" s="14"/>
      <c r="U1564" s="12"/>
      <c r="V1564" s="12"/>
      <c r="W1564" s="12"/>
      <c r="X1564" s="12"/>
      <c r="Y1564" s="12"/>
      <c r="Z1564" s="12"/>
      <c r="AA1564" s="12"/>
      <c r="AB1564" s="12"/>
      <c r="AC1564" s="12"/>
      <c r="AD1564" s="12"/>
      <c r="AE1564" s="12"/>
      <c r="AF1564" s="12"/>
    </row>
    <row r="1565" spans="1:32" x14ac:dyDescent="0.35">
      <c r="A1565" s="21"/>
      <c r="B1565" s="23"/>
      <c r="C1565" s="26"/>
      <c r="D1565" s="27"/>
      <c r="E1565" s="27"/>
      <c r="F1565" s="28"/>
      <c r="G1565" s="25"/>
      <c r="H1565" s="25"/>
      <c r="I1565" s="25"/>
      <c r="J1565" s="25"/>
      <c r="K1565" s="25"/>
      <c r="L1565" s="25"/>
      <c r="M1565" s="25"/>
      <c r="N1565" s="25"/>
      <c r="O1565" s="25"/>
      <c r="P1565" s="25"/>
      <c r="Q1565" s="25"/>
      <c r="R1565" s="25"/>
      <c r="S1565" s="25"/>
      <c r="T1565" s="14"/>
      <c r="U1565" s="12"/>
      <c r="V1565" s="12"/>
      <c r="W1565" s="12"/>
      <c r="X1565" s="12"/>
      <c r="Y1565" s="12"/>
      <c r="Z1565" s="12"/>
      <c r="AA1565" s="12"/>
      <c r="AB1565" s="12"/>
      <c r="AC1565" s="12"/>
      <c r="AD1565" s="12"/>
      <c r="AE1565" s="12"/>
      <c r="AF1565" s="12"/>
    </row>
    <row r="1566" spans="1:32" x14ac:dyDescent="0.35">
      <c r="A1566" s="21"/>
      <c r="B1566" s="23"/>
      <c r="C1566" s="26"/>
      <c r="D1566" s="27"/>
      <c r="E1566" s="27"/>
      <c r="F1566" s="28"/>
      <c r="G1566" s="25"/>
      <c r="H1566" s="25"/>
      <c r="I1566" s="25"/>
      <c r="J1566" s="25"/>
      <c r="K1566" s="25"/>
      <c r="L1566" s="25"/>
      <c r="M1566" s="25"/>
      <c r="N1566" s="25"/>
      <c r="O1566" s="25"/>
      <c r="P1566" s="25"/>
      <c r="Q1566" s="25"/>
      <c r="R1566" s="25"/>
      <c r="S1566" s="25"/>
      <c r="T1566" s="14"/>
      <c r="U1566" s="12"/>
      <c r="V1566" s="12"/>
      <c r="W1566" s="12"/>
      <c r="X1566" s="12"/>
      <c r="Y1566" s="12"/>
      <c r="Z1566" s="12"/>
      <c r="AA1566" s="12"/>
      <c r="AB1566" s="12"/>
      <c r="AC1566" s="12"/>
      <c r="AD1566" s="12"/>
      <c r="AE1566" s="12"/>
      <c r="AF1566" s="12"/>
    </row>
    <row r="1567" spans="1:32" x14ac:dyDescent="0.35">
      <c r="A1567" s="21"/>
      <c r="B1567" s="23"/>
      <c r="C1567" s="26"/>
      <c r="D1567" s="27"/>
      <c r="E1567" s="27"/>
      <c r="F1567" s="28"/>
      <c r="G1567" s="25"/>
      <c r="H1567" s="25"/>
      <c r="I1567" s="25"/>
      <c r="J1567" s="25"/>
      <c r="K1567" s="25"/>
      <c r="L1567" s="25"/>
      <c r="M1567" s="25"/>
      <c r="N1567" s="25"/>
      <c r="O1567" s="25"/>
      <c r="P1567" s="25"/>
      <c r="Q1567" s="25"/>
      <c r="R1567" s="25"/>
      <c r="S1567" s="25"/>
      <c r="T1567" s="14"/>
      <c r="U1567" s="12"/>
      <c r="V1567" s="12"/>
      <c r="W1567" s="12"/>
      <c r="X1567" s="12"/>
      <c r="Y1567" s="12"/>
      <c r="Z1567" s="12"/>
      <c r="AA1567" s="12"/>
      <c r="AB1567" s="12"/>
      <c r="AC1567" s="12"/>
      <c r="AD1567" s="12"/>
      <c r="AE1567" s="12"/>
      <c r="AF1567" s="12"/>
    </row>
    <row r="1568" spans="1:32" x14ac:dyDescent="0.35">
      <c r="A1568" s="21"/>
      <c r="B1568" s="23"/>
      <c r="C1568" s="26"/>
      <c r="D1568" s="27"/>
      <c r="E1568" s="27"/>
      <c r="F1568" s="28"/>
      <c r="G1568" s="25"/>
      <c r="H1568" s="25"/>
      <c r="I1568" s="25"/>
      <c r="J1568" s="25"/>
      <c r="K1568" s="25"/>
      <c r="L1568" s="25"/>
      <c r="M1568" s="25"/>
      <c r="N1568" s="25"/>
      <c r="O1568" s="25"/>
      <c r="P1568" s="25"/>
      <c r="Q1568" s="25"/>
      <c r="R1568" s="25"/>
      <c r="S1568" s="25"/>
      <c r="T1568" s="14"/>
      <c r="U1568" s="12"/>
      <c r="V1568" s="12"/>
      <c r="W1568" s="12"/>
      <c r="X1568" s="12"/>
      <c r="Y1568" s="12"/>
      <c r="Z1568" s="12"/>
      <c r="AA1568" s="12"/>
      <c r="AB1568" s="12"/>
      <c r="AC1568" s="12"/>
      <c r="AD1568" s="12"/>
      <c r="AE1568" s="12"/>
      <c r="AF1568" s="12"/>
    </row>
    <row r="1569" spans="1:32" x14ac:dyDescent="0.35">
      <c r="A1569" s="21"/>
      <c r="B1569" s="23"/>
      <c r="C1569" s="26"/>
      <c r="D1569" s="27"/>
      <c r="E1569" s="27"/>
      <c r="F1569" s="28"/>
      <c r="G1569" s="25"/>
      <c r="H1569" s="25"/>
      <c r="I1569" s="25"/>
      <c r="J1569" s="25"/>
      <c r="K1569" s="25"/>
      <c r="L1569" s="25"/>
      <c r="M1569" s="25"/>
      <c r="N1569" s="25"/>
      <c r="O1569" s="25"/>
      <c r="P1569" s="25"/>
      <c r="Q1569" s="25"/>
      <c r="R1569" s="25"/>
      <c r="S1569" s="25"/>
      <c r="T1569" s="14"/>
      <c r="U1569" s="12"/>
      <c r="V1569" s="12"/>
      <c r="W1569" s="12"/>
      <c r="X1569" s="12"/>
      <c r="Y1569" s="12"/>
      <c r="Z1569" s="12"/>
      <c r="AA1569" s="12"/>
      <c r="AB1569" s="12"/>
      <c r="AC1569" s="12"/>
      <c r="AD1569" s="12"/>
      <c r="AE1569" s="12"/>
      <c r="AF1569" s="12"/>
    </row>
    <row r="1570" spans="1:32" x14ac:dyDescent="0.35">
      <c r="A1570" s="21"/>
      <c r="B1570" s="23"/>
      <c r="C1570" s="26"/>
      <c r="D1570" s="27"/>
      <c r="E1570" s="27"/>
      <c r="F1570" s="28"/>
      <c r="G1570" s="25"/>
      <c r="H1570" s="25"/>
      <c r="I1570" s="25"/>
      <c r="J1570" s="25"/>
      <c r="K1570" s="25"/>
      <c r="L1570" s="25"/>
      <c r="M1570" s="25"/>
      <c r="N1570" s="25"/>
      <c r="O1570" s="25"/>
      <c r="P1570" s="25"/>
      <c r="Q1570" s="25"/>
      <c r="R1570" s="25"/>
      <c r="S1570" s="25"/>
      <c r="T1570" s="14"/>
      <c r="U1570" s="12"/>
      <c r="V1570" s="12"/>
      <c r="W1570" s="12"/>
      <c r="X1570" s="12"/>
      <c r="Y1570" s="12"/>
      <c r="Z1570" s="12"/>
      <c r="AA1570" s="12"/>
      <c r="AB1570" s="12"/>
      <c r="AC1570" s="12"/>
      <c r="AD1570" s="12"/>
      <c r="AE1570" s="12"/>
      <c r="AF1570" s="12"/>
    </row>
    <row r="1571" spans="1:32" x14ac:dyDescent="0.35">
      <c r="A1571" s="21"/>
      <c r="B1571" s="23"/>
      <c r="C1571" s="26"/>
      <c r="D1571" s="27"/>
      <c r="E1571" s="27"/>
      <c r="F1571" s="28"/>
      <c r="G1571" s="25"/>
      <c r="H1571" s="25"/>
      <c r="I1571" s="25"/>
      <c r="J1571" s="25"/>
      <c r="K1571" s="25"/>
      <c r="L1571" s="25"/>
      <c r="M1571" s="25"/>
      <c r="N1571" s="25"/>
      <c r="O1571" s="25"/>
      <c r="P1571" s="25"/>
      <c r="Q1571" s="25"/>
      <c r="R1571" s="25"/>
      <c r="S1571" s="25"/>
      <c r="T1571" s="14"/>
      <c r="U1571" s="12"/>
      <c r="V1571" s="12"/>
      <c r="W1571" s="12"/>
      <c r="X1571" s="12"/>
      <c r="Y1571" s="12"/>
      <c r="Z1571" s="12"/>
      <c r="AA1571" s="12"/>
      <c r="AB1571" s="12"/>
      <c r="AC1571" s="12"/>
      <c r="AD1571" s="12"/>
      <c r="AE1571" s="12"/>
      <c r="AF1571" s="12"/>
    </row>
    <row r="1572" spans="1:32" x14ac:dyDescent="0.35">
      <c r="A1572" s="21"/>
      <c r="B1572" s="23"/>
      <c r="C1572" s="26"/>
      <c r="D1572" s="27"/>
      <c r="E1572" s="27"/>
      <c r="F1572" s="28"/>
      <c r="G1572" s="25"/>
      <c r="H1572" s="25"/>
      <c r="I1572" s="25"/>
      <c r="J1572" s="25"/>
      <c r="K1572" s="25"/>
      <c r="L1572" s="25"/>
      <c r="M1572" s="25"/>
      <c r="N1572" s="25"/>
      <c r="O1572" s="25"/>
      <c r="P1572" s="25"/>
      <c r="Q1572" s="25"/>
      <c r="R1572" s="25"/>
      <c r="S1572" s="25"/>
      <c r="T1572" s="14"/>
      <c r="U1572" s="12"/>
      <c r="V1572" s="12"/>
      <c r="W1572" s="12"/>
      <c r="X1572" s="12"/>
      <c r="Y1572" s="12"/>
      <c r="Z1572" s="12"/>
      <c r="AA1572" s="12"/>
      <c r="AB1572" s="12"/>
      <c r="AC1572" s="12"/>
      <c r="AD1572" s="12"/>
      <c r="AE1572" s="12"/>
      <c r="AF1572" s="12"/>
    </row>
    <row r="1573" spans="1:32" x14ac:dyDescent="0.35">
      <c r="A1573" s="21"/>
      <c r="B1573" s="23"/>
      <c r="C1573" s="26"/>
      <c r="D1573" s="27"/>
      <c r="E1573" s="27"/>
      <c r="F1573" s="28"/>
      <c r="G1573" s="25"/>
      <c r="H1573" s="25"/>
      <c r="I1573" s="25"/>
      <c r="J1573" s="25"/>
      <c r="K1573" s="25"/>
      <c r="L1573" s="25"/>
      <c r="M1573" s="25"/>
      <c r="N1573" s="25"/>
      <c r="O1573" s="25"/>
      <c r="P1573" s="25"/>
      <c r="Q1573" s="25"/>
      <c r="R1573" s="25"/>
      <c r="S1573" s="25"/>
      <c r="T1573" s="14"/>
      <c r="U1573" s="12"/>
      <c r="V1573" s="12"/>
      <c r="W1573" s="12"/>
      <c r="X1573" s="12"/>
      <c r="Y1573" s="12"/>
      <c r="Z1573" s="12"/>
      <c r="AA1573" s="12"/>
      <c r="AB1573" s="12"/>
      <c r="AC1573" s="12"/>
      <c r="AD1573" s="12"/>
      <c r="AE1573" s="12"/>
      <c r="AF1573" s="12"/>
    </row>
    <row r="1574" spans="1:32" x14ac:dyDescent="0.35">
      <c r="A1574" s="21"/>
      <c r="B1574" s="23"/>
      <c r="C1574" s="26"/>
      <c r="D1574" s="27"/>
      <c r="E1574" s="27"/>
      <c r="F1574" s="28"/>
      <c r="G1574" s="25"/>
      <c r="H1574" s="25"/>
      <c r="I1574" s="25"/>
      <c r="J1574" s="25"/>
      <c r="K1574" s="25"/>
      <c r="L1574" s="25"/>
      <c r="M1574" s="25"/>
      <c r="N1574" s="25"/>
      <c r="O1574" s="25"/>
      <c r="P1574" s="25"/>
      <c r="Q1574" s="25"/>
      <c r="R1574" s="25"/>
      <c r="S1574" s="25"/>
      <c r="T1574" s="14"/>
      <c r="U1574" s="12"/>
      <c r="V1574" s="12"/>
      <c r="W1574" s="12"/>
      <c r="X1574" s="12"/>
      <c r="Y1574" s="12"/>
      <c r="Z1574" s="12"/>
      <c r="AA1574" s="12"/>
      <c r="AB1574" s="12"/>
      <c r="AC1574" s="12"/>
      <c r="AD1574" s="12"/>
      <c r="AE1574" s="12"/>
      <c r="AF1574" s="12"/>
    </row>
    <row r="1575" spans="1:32" x14ac:dyDescent="0.35">
      <c r="A1575" s="21"/>
      <c r="B1575" s="23"/>
      <c r="C1575" s="26"/>
      <c r="D1575" s="27"/>
      <c r="E1575" s="27"/>
      <c r="F1575" s="28"/>
      <c r="G1575" s="25"/>
      <c r="H1575" s="25"/>
      <c r="I1575" s="25"/>
      <c r="J1575" s="25"/>
      <c r="K1575" s="25"/>
      <c r="L1575" s="25"/>
      <c r="M1575" s="25"/>
      <c r="N1575" s="25"/>
      <c r="O1575" s="25"/>
      <c r="P1575" s="25"/>
      <c r="Q1575" s="25"/>
      <c r="R1575" s="25"/>
      <c r="S1575" s="25"/>
      <c r="T1575" s="14"/>
      <c r="U1575" s="12"/>
      <c r="V1575" s="12"/>
      <c r="W1575" s="12"/>
      <c r="X1575" s="12"/>
      <c r="Y1575" s="12"/>
      <c r="Z1575" s="12"/>
      <c r="AA1575" s="12"/>
      <c r="AB1575" s="12"/>
      <c r="AC1575" s="12"/>
      <c r="AD1575" s="12"/>
      <c r="AE1575" s="12"/>
      <c r="AF1575" s="12"/>
    </row>
    <row r="1576" spans="1:32" x14ac:dyDescent="0.35">
      <c r="A1576" s="21"/>
      <c r="B1576" s="23"/>
      <c r="C1576" s="26"/>
      <c r="D1576" s="27"/>
      <c r="E1576" s="27"/>
      <c r="F1576" s="28"/>
      <c r="G1576" s="25"/>
      <c r="H1576" s="25"/>
      <c r="I1576" s="25"/>
      <c r="J1576" s="25"/>
      <c r="K1576" s="25"/>
      <c r="L1576" s="25"/>
      <c r="M1576" s="25"/>
      <c r="N1576" s="25"/>
      <c r="O1576" s="25"/>
      <c r="P1576" s="25"/>
      <c r="Q1576" s="25"/>
      <c r="R1576" s="25"/>
      <c r="S1576" s="25"/>
      <c r="T1576" s="22"/>
      <c r="U1576" s="12"/>
      <c r="V1576" s="12"/>
      <c r="W1576" s="12"/>
      <c r="X1576" s="12"/>
      <c r="Y1576" s="12"/>
      <c r="Z1576" s="12"/>
      <c r="AA1576" s="12"/>
      <c r="AB1576" s="12"/>
      <c r="AC1576" s="12"/>
      <c r="AD1576" s="12"/>
      <c r="AE1576" s="12"/>
      <c r="AF1576" s="12"/>
    </row>
    <row r="1577" spans="1:32" x14ac:dyDescent="0.35">
      <c r="A1577" s="21"/>
      <c r="B1577" s="23"/>
      <c r="C1577" s="26"/>
      <c r="D1577" s="27"/>
      <c r="E1577" s="27"/>
      <c r="F1577" s="28"/>
      <c r="G1577" s="25"/>
      <c r="H1577" s="25"/>
      <c r="I1577" s="25"/>
      <c r="J1577" s="25"/>
      <c r="K1577" s="25"/>
      <c r="L1577" s="25"/>
      <c r="M1577" s="25"/>
      <c r="N1577" s="25"/>
      <c r="O1577" s="25"/>
      <c r="P1577" s="25"/>
      <c r="Q1577" s="25"/>
      <c r="R1577" s="25"/>
      <c r="S1577" s="25"/>
      <c r="T1577" s="22"/>
      <c r="U1577" s="12"/>
      <c r="V1577" s="12"/>
      <c r="W1577" s="12"/>
      <c r="X1577" s="12"/>
      <c r="Y1577" s="12"/>
      <c r="Z1577" s="12"/>
      <c r="AA1577" s="12"/>
      <c r="AB1577" s="12"/>
      <c r="AC1577" s="12"/>
      <c r="AD1577" s="12"/>
      <c r="AE1577" s="12"/>
      <c r="AF1577" s="12"/>
    </row>
    <row r="1578" spans="1:32" x14ac:dyDescent="0.35">
      <c r="A1578" s="21"/>
      <c r="B1578" s="23"/>
      <c r="C1578" s="26"/>
      <c r="D1578" s="27"/>
      <c r="E1578" s="27"/>
      <c r="F1578" s="28"/>
      <c r="G1578" s="25"/>
      <c r="H1578" s="25"/>
      <c r="I1578" s="25"/>
      <c r="J1578" s="25"/>
      <c r="K1578" s="25"/>
      <c r="L1578" s="25"/>
      <c r="M1578" s="25"/>
      <c r="N1578" s="25"/>
      <c r="O1578" s="25"/>
      <c r="P1578" s="25"/>
      <c r="Q1578" s="25"/>
      <c r="R1578" s="25"/>
      <c r="S1578" s="25"/>
      <c r="T1578" s="22"/>
      <c r="U1578" s="12"/>
      <c r="V1578" s="12"/>
      <c r="W1578" s="12"/>
      <c r="X1578" s="12"/>
      <c r="Y1578" s="12"/>
      <c r="Z1578" s="12"/>
      <c r="AA1578" s="12"/>
      <c r="AB1578" s="12"/>
      <c r="AC1578" s="12"/>
      <c r="AD1578" s="12"/>
      <c r="AE1578" s="12"/>
      <c r="AF1578" s="12"/>
    </row>
    <row r="1579" spans="1:32" x14ac:dyDescent="0.35">
      <c r="A1579" s="21"/>
      <c r="B1579" s="23"/>
      <c r="C1579" s="26"/>
      <c r="D1579" s="27"/>
      <c r="E1579" s="27"/>
      <c r="F1579" s="28"/>
      <c r="G1579" s="25"/>
      <c r="H1579" s="25"/>
      <c r="I1579" s="25"/>
      <c r="J1579" s="25"/>
      <c r="K1579" s="25"/>
      <c r="L1579" s="25"/>
      <c r="M1579" s="25"/>
      <c r="N1579" s="25"/>
      <c r="O1579" s="25"/>
      <c r="P1579" s="25"/>
      <c r="Q1579" s="25"/>
      <c r="R1579" s="25"/>
      <c r="S1579" s="25"/>
      <c r="T1579" s="22"/>
      <c r="U1579" s="12"/>
      <c r="V1579" s="12"/>
      <c r="W1579" s="12"/>
      <c r="X1579" s="12"/>
      <c r="Y1579" s="12"/>
      <c r="Z1579" s="12"/>
      <c r="AA1579" s="12"/>
      <c r="AB1579" s="12"/>
      <c r="AC1579" s="12"/>
      <c r="AD1579" s="12"/>
      <c r="AE1579" s="12"/>
      <c r="AF1579" s="12"/>
    </row>
    <row r="1580" spans="1:32" x14ac:dyDescent="0.35">
      <c r="A1580" s="21"/>
      <c r="B1580" s="23"/>
      <c r="C1580" s="26"/>
      <c r="D1580" s="27"/>
      <c r="E1580" s="27"/>
      <c r="F1580" s="28"/>
      <c r="G1580" s="25"/>
      <c r="H1580" s="25"/>
      <c r="I1580" s="25"/>
      <c r="J1580" s="25"/>
      <c r="K1580" s="25"/>
      <c r="L1580" s="25"/>
      <c r="M1580" s="25"/>
      <c r="N1580" s="25"/>
      <c r="O1580" s="25"/>
      <c r="P1580" s="25"/>
      <c r="Q1580" s="25"/>
      <c r="R1580" s="25"/>
      <c r="S1580" s="25"/>
      <c r="T1580" s="22"/>
      <c r="U1580" s="12"/>
      <c r="V1580" s="12"/>
      <c r="W1580" s="12"/>
      <c r="X1580" s="12"/>
      <c r="Y1580" s="12"/>
      <c r="Z1580" s="12"/>
      <c r="AA1580" s="12"/>
      <c r="AB1580" s="12"/>
      <c r="AC1580" s="12"/>
      <c r="AD1580" s="12"/>
      <c r="AE1580" s="12"/>
      <c r="AF1580" s="12"/>
    </row>
    <row r="1581" spans="1:32" x14ac:dyDescent="0.35">
      <c r="A1581" s="21"/>
      <c r="B1581" s="23"/>
      <c r="C1581" s="26"/>
      <c r="D1581" s="27"/>
      <c r="E1581" s="27"/>
      <c r="F1581" s="28"/>
      <c r="G1581" s="25"/>
      <c r="H1581" s="25"/>
      <c r="I1581" s="25"/>
      <c r="J1581" s="25"/>
      <c r="K1581" s="25"/>
      <c r="L1581" s="25"/>
      <c r="M1581" s="25"/>
      <c r="N1581" s="25"/>
      <c r="O1581" s="25"/>
      <c r="P1581" s="25"/>
      <c r="Q1581" s="25"/>
      <c r="R1581" s="25"/>
      <c r="S1581" s="25"/>
      <c r="T1581" s="22"/>
      <c r="U1581" s="12"/>
      <c r="V1581" s="12"/>
      <c r="W1581" s="12"/>
      <c r="X1581" s="12"/>
      <c r="Y1581" s="12"/>
      <c r="Z1581" s="12"/>
      <c r="AA1581" s="12"/>
      <c r="AB1581" s="12"/>
      <c r="AC1581" s="12"/>
      <c r="AD1581" s="12"/>
      <c r="AE1581" s="12"/>
      <c r="AF1581" s="12"/>
    </row>
    <row r="1582" spans="1:32" x14ac:dyDescent="0.35">
      <c r="A1582" s="21"/>
      <c r="B1582" s="23"/>
      <c r="C1582" s="26"/>
      <c r="D1582" s="27"/>
      <c r="E1582" s="27"/>
      <c r="F1582" s="28"/>
      <c r="G1582" s="25"/>
      <c r="H1582" s="25"/>
      <c r="I1582" s="25"/>
      <c r="J1582" s="25"/>
      <c r="K1582" s="25"/>
      <c r="L1582" s="25"/>
      <c r="M1582" s="25"/>
      <c r="N1582" s="25"/>
      <c r="O1582" s="25"/>
      <c r="P1582" s="25"/>
      <c r="Q1582" s="25"/>
      <c r="R1582" s="25"/>
      <c r="S1582" s="25"/>
      <c r="T1582" s="22"/>
      <c r="U1582" s="12"/>
      <c r="V1582" s="12"/>
      <c r="W1582" s="12"/>
      <c r="X1582" s="12"/>
      <c r="Y1582" s="12"/>
      <c r="Z1582" s="12"/>
      <c r="AA1582" s="12"/>
      <c r="AB1582" s="12"/>
      <c r="AC1582" s="12"/>
      <c r="AD1582" s="12"/>
      <c r="AE1582" s="12"/>
      <c r="AF1582" s="12"/>
    </row>
    <row r="1583" spans="1:32" x14ac:dyDescent="0.35">
      <c r="A1583" s="21"/>
      <c r="B1583" s="23"/>
      <c r="C1583" s="26"/>
      <c r="D1583" s="27"/>
      <c r="E1583" s="27"/>
      <c r="F1583" s="28"/>
      <c r="G1583" s="25"/>
      <c r="H1583" s="25"/>
      <c r="I1583" s="25"/>
      <c r="J1583" s="25"/>
      <c r="K1583" s="25"/>
      <c r="L1583" s="25"/>
      <c r="M1583" s="25"/>
      <c r="N1583" s="25"/>
      <c r="O1583" s="25"/>
      <c r="P1583" s="25"/>
      <c r="Q1583" s="25"/>
      <c r="R1583" s="25"/>
      <c r="S1583" s="25"/>
      <c r="T1583" s="22"/>
      <c r="U1583" s="12"/>
      <c r="V1583" s="12"/>
      <c r="W1583" s="12"/>
      <c r="X1583" s="12"/>
      <c r="Y1583" s="12"/>
      <c r="Z1583" s="12"/>
      <c r="AA1583" s="12"/>
      <c r="AB1583" s="12"/>
      <c r="AC1583" s="12"/>
      <c r="AD1583" s="12"/>
      <c r="AE1583" s="12"/>
      <c r="AF1583" s="12"/>
    </row>
    <row r="1584" spans="1:32" x14ac:dyDescent="0.35">
      <c r="A1584" s="21"/>
      <c r="B1584" s="23"/>
      <c r="C1584" s="26"/>
      <c r="D1584" s="27"/>
      <c r="E1584" s="27"/>
      <c r="F1584" s="28"/>
      <c r="G1584" s="25"/>
      <c r="H1584" s="25"/>
      <c r="I1584" s="25"/>
      <c r="J1584" s="25"/>
      <c r="K1584" s="25"/>
      <c r="L1584" s="25"/>
      <c r="M1584" s="25"/>
      <c r="N1584" s="25"/>
      <c r="O1584" s="25"/>
      <c r="P1584" s="25"/>
      <c r="Q1584" s="25"/>
      <c r="R1584" s="25"/>
      <c r="S1584" s="25"/>
      <c r="T1584" s="22"/>
      <c r="U1584" s="12"/>
      <c r="V1584" s="12"/>
      <c r="W1584" s="12"/>
      <c r="X1584" s="12"/>
      <c r="Y1584" s="12"/>
      <c r="Z1584" s="12"/>
      <c r="AA1584" s="12"/>
      <c r="AB1584" s="12"/>
      <c r="AC1584" s="12"/>
      <c r="AD1584" s="12"/>
      <c r="AE1584" s="12"/>
      <c r="AF1584" s="12"/>
    </row>
    <row r="1585" spans="1:32" x14ac:dyDescent="0.35">
      <c r="A1585" s="21"/>
      <c r="B1585" s="23"/>
      <c r="C1585" s="26"/>
      <c r="D1585" s="27"/>
      <c r="E1585" s="27"/>
      <c r="F1585" s="28"/>
      <c r="G1585" s="25"/>
      <c r="H1585" s="25"/>
      <c r="I1585" s="25"/>
      <c r="J1585" s="25"/>
      <c r="K1585" s="25"/>
      <c r="L1585" s="25"/>
      <c r="M1585" s="25"/>
      <c r="N1585" s="25"/>
      <c r="O1585" s="25"/>
      <c r="P1585" s="25"/>
      <c r="Q1585" s="25"/>
      <c r="R1585" s="25"/>
      <c r="S1585" s="25"/>
      <c r="T1585" s="22"/>
      <c r="U1585" s="12"/>
      <c r="V1585" s="12"/>
      <c r="W1585" s="12"/>
      <c r="X1585" s="12"/>
      <c r="Y1585" s="12"/>
      <c r="Z1585" s="12"/>
      <c r="AA1585" s="12"/>
      <c r="AB1585" s="12"/>
      <c r="AC1585" s="12"/>
      <c r="AD1585" s="12"/>
      <c r="AE1585" s="12"/>
      <c r="AF1585" s="12"/>
    </row>
    <row r="1586" spans="1:32" x14ac:dyDescent="0.35">
      <c r="A1586" s="21"/>
      <c r="B1586" s="23"/>
      <c r="C1586" s="26"/>
      <c r="D1586" s="27"/>
      <c r="E1586" s="27"/>
      <c r="F1586" s="28"/>
      <c r="G1586" s="25"/>
      <c r="H1586" s="25"/>
      <c r="I1586" s="25"/>
      <c r="J1586" s="25"/>
      <c r="K1586" s="25"/>
      <c r="L1586" s="25"/>
      <c r="M1586" s="25"/>
      <c r="N1586" s="25"/>
      <c r="O1586" s="25"/>
      <c r="P1586" s="25"/>
      <c r="Q1586" s="25"/>
      <c r="R1586" s="25"/>
      <c r="S1586" s="25"/>
      <c r="T1586" s="22"/>
      <c r="U1586" s="12"/>
      <c r="V1586" s="12"/>
      <c r="W1586" s="12"/>
      <c r="X1586" s="12"/>
      <c r="Y1586" s="12"/>
      <c r="Z1586" s="12"/>
      <c r="AA1586" s="12"/>
      <c r="AB1586" s="12"/>
      <c r="AC1586" s="12"/>
      <c r="AD1586" s="12"/>
      <c r="AE1586" s="12"/>
      <c r="AF1586" s="12"/>
    </row>
    <row r="1587" spans="1:32" x14ac:dyDescent="0.35">
      <c r="A1587" s="21"/>
      <c r="B1587" s="23"/>
      <c r="C1587" s="26"/>
      <c r="D1587" s="27"/>
      <c r="E1587" s="27"/>
      <c r="F1587" s="28"/>
      <c r="G1587" s="25"/>
      <c r="H1587" s="25"/>
      <c r="I1587" s="25"/>
      <c r="J1587" s="25"/>
      <c r="K1587" s="25"/>
      <c r="L1587" s="25"/>
      <c r="M1587" s="25"/>
      <c r="N1587" s="25"/>
      <c r="O1587" s="25"/>
      <c r="P1587" s="25"/>
      <c r="Q1587" s="25"/>
      <c r="R1587" s="25"/>
      <c r="S1587" s="25"/>
      <c r="T1587" s="22"/>
      <c r="U1587" s="12"/>
      <c r="V1587" s="12"/>
      <c r="W1587" s="12"/>
      <c r="X1587" s="12"/>
      <c r="Y1587" s="12"/>
      <c r="Z1587" s="12"/>
      <c r="AA1587" s="12"/>
      <c r="AB1587" s="12"/>
      <c r="AC1587" s="12"/>
      <c r="AD1587" s="12"/>
      <c r="AE1587" s="12"/>
      <c r="AF1587" s="12"/>
    </row>
    <row r="1588" spans="1:32" x14ac:dyDescent="0.35">
      <c r="A1588" s="21"/>
      <c r="B1588" s="23"/>
      <c r="C1588" s="26"/>
      <c r="D1588" s="27"/>
      <c r="E1588" s="27"/>
      <c r="F1588" s="28"/>
      <c r="G1588" s="25"/>
      <c r="H1588" s="25"/>
      <c r="I1588" s="25"/>
      <c r="J1588" s="25"/>
      <c r="K1588" s="25"/>
      <c r="L1588" s="25"/>
      <c r="M1588" s="25"/>
      <c r="N1588" s="25"/>
      <c r="O1588" s="25"/>
      <c r="P1588" s="25"/>
      <c r="Q1588" s="25"/>
      <c r="R1588" s="25"/>
      <c r="S1588" s="25"/>
      <c r="T1588" s="22"/>
      <c r="U1588" s="12"/>
      <c r="V1588" s="12"/>
      <c r="W1588" s="12"/>
      <c r="X1588" s="12"/>
      <c r="Y1588" s="12"/>
      <c r="Z1588" s="12"/>
      <c r="AA1588" s="12"/>
      <c r="AB1588" s="12"/>
      <c r="AC1588" s="12"/>
      <c r="AD1588" s="12"/>
      <c r="AE1588" s="12"/>
      <c r="AF1588" s="12"/>
    </row>
    <row r="1589" spans="1:32" x14ac:dyDescent="0.35">
      <c r="A1589" s="21"/>
      <c r="B1589" s="23"/>
      <c r="C1589" s="26"/>
      <c r="D1589" s="27"/>
      <c r="E1589" s="27"/>
      <c r="F1589" s="28"/>
      <c r="G1589" s="25"/>
      <c r="H1589" s="25"/>
      <c r="I1589" s="25"/>
      <c r="J1589" s="25"/>
      <c r="K1589" s="25"/>
      <c r="L1589" s="25"/>
      <c r="M1589" s="25"/>
      <c r="N1589" s="25"/>
      <c r="O1589" s="25"/>
      <c r="P1589" s="25"/>
      <c r="Q1589" s="25"/>
      <c r="R1589" s="25"/>
      <c r="S1589" s="25"/>
      <c r="T1589" s="22"/>
      <c r="U1589" s="12"/>
      <c r="V1589" s="12"/>
      <c r="W1589" s="12"/>
      <c r="X1589" s="12"/>
      <c r="Y1589" s="12"/>
      <c r="Z1589" s="12"/>
      <c r="AA1589" s="12"/>
      <c r="AB1589" s="12"/>
      <c r="AC1589" s="12"/>
      <c r="AD1589" s="12"/>
      <c r="AE1589" s="12"/>
      <c r="AF1589" s="12"/>
    </row>
    <row r="1590" spans="1:32" x14ac:dyDescent="0.35">
      <c r="A1590" s="21"/>
      <c r="B1590" s="23"/>
      <c r="C1590" s="26"/>
      <c r="D1590" s="27"/>
      <c r="E1590" s="27"/>
      <c r="F1590" s="28"/>
      <c r="G1590" s="25"/>
      <c r="H1590" s="25"/>
      <c r="I1590" s="25"/>
      <c r="J1590" s="25"/>
      <c r="K1590" s="25"/>
      <c r="L1590" s="25"/>
      <c r="M1590" s="25"/>
      <c r="N1590" s="25"/>
      <c r="O1590" s="25"/>
      <c r="P1590" s="25"/>
      <c r="Q1590" s="25"/>
      <c r="R1590" s="25"/>
      <c r="S1590" s="25"/>
      <c r="T1590" s="22"/>
      <c r="U1590" s="12"/>
      <c r="V1590" s="12"/>
      <c r="W1590" s="12"/>
      <c r="X1590" s="12"/>
      <c r="Y1590" s="12"/>
      <c r="Z1590" s="12"/>
      <c r="AA1590" s="12"/>
      <c r="AB1590" s="12"/>
      <c r="AC1590" s="12"/>
      <c r="AD1590" s="12"/>
      <c r="AE1590" s="12"/>
      <c r="AF1590" s="12"/>
    </row>
    <row r="1591" spans="1:32" x14ac:dyDescent="0.35">
      <c r="A1591" s="21"/>
      <c r="B1591" s="23"/>
      <c r="C1591" s="26"/>
      <c r="D1591" s="27"/>
      <c r="E1591" s="27"/>
      <c r="F1591" s="28"/>
      <c r="G1591" s="25"/>
      <c r="H1591" s="25"/>
      <c r="I1591" s="25"/>
      <c r="J1591" s="25"/>
      <c r="K1591" s="25"/>
      <c r="L1591" s="25"/>
      <c r="M1591" s="25"/>
      <c r="N1591" s="25"/>
      <c r="O1591" s="25"/>
      <c r="P1591" s="25"/>
      <c r="Q1591" s="25"/>
      <c r="R1591" s="25"/>
      <c r="S1591" s="25"/>
      <c r="T1591" s="22"/>
      <c r="U1591" s="12"/>
      <c r="V1591" s="12"/>
      <c r="W1591" s="12"/>
      <c r="X1591" s="12"/>
      <c r="Y1591" s="12"/>
      <c r="Z1591" s="12"/>
      <c r="AA1591" s="12"/>
      <c r="AB1591" s="12"/>
      <c r="AC1591" s="12"/>
      <c r="AD1591" s="12"/>
      <c r="AE1591" s="12"/>
      <c r="AF1591" s="12"/>
    </row>
    <row r="1592" spans="1:32" x14ac:dyDescent="0.35">
      <c r="A1592" s="21"/>
      <c r="B1592" s="23"/>
      <c r="C1592" s="26"/>
      <c r="D1592" s="27"/>
      <c r="E1592" s="27"/>
      <c r="F1592" s="28"/>
      <c r="G1592" s="25"/>
      <c r="H1592" s="25"/>
      <c r="I1592" s="25"/>
      <c r="J1592" s="25"/>
      <c r="K1592" s="25"/>
      <c r="L1592" s="25"/>
      <c r="M1592" s="25"/>
      <c r="N1592" s="25"/>
      <c r="O1592" s="25"/>
      <c r="P1592" s="25"/>
      <c r="Q1592" s="25"/>
      <c r="R1592" s="25"/>
      <c r="S1592" s="25"/>
      <c r="T1592" s="14"/>
      <c r="U1592" s="12"/>
      <c r="V1592" s="12"/>
      <c r="W1592" s="12"/>
      <c r="X1592" s="12"/>
      <c r="Y1592" s="12"/>
      <c r="Z1592" s="12"/>
      <c r="AA1592" s="12"/>
      <c r="AB1592" s="12"/>
      <c r="AC1592" s="12"/>
      <c r="AD1592" s="12"/>
      <c r="AE1592" s="12"/>
      <c r="AF1592" s="12"/>
    </row>
    <row r="1593" spans="1:32" x14ac:dyDescent="0.35">
      <c r="A1593" s="21"/>
      <c r="B1593" s="23"/>
      <c r="C1593" s="26"/>
      <c r="D1593" s="27"/>
      <c r="E1593" s="27"/>
      <c r="F1593" s="28"/>
      <c r="G1593" s="25"/>
      <c r="H1593" s="25"/>
      <c r="I1593" s="25"/>
      <c r="J1593" s="25"/>
      <c r="K1593" s="25"/>
      <c r="L1593" s="25"/>
      <c r="M1593" s="25"/>
      <c r="N1593" s="25"/>
      <c r="O1593" s="25"/>
      <c r="P1593" s="25"/>
      <c r="Q1593" s="25"/>
      <c r="R1593" s="25"/>
      <c r="S1593" s="25"/>
      <c r="T1593" s="14"/>
      <c r="U1593" s="12"/>
      <c r="V1593" s="12"/>
      <c r="W1593" s="12"/>
      <c r="X1593" s="12"/>
      <c r="Y1593" s="12"/>
      <c r="Z1593" s="12"/>
      <c r="AA1593" s="12"/>
      <c r="AB1593" s="12"/>
      <c r="AC1593" s="12"/>
      <c r="AD1593" s="12"/>
      <c r="AE1593" s="12"/>
      <c r="AF1593" s="12"/>
    </row>
    <row r="1594" spans="1:32" x14ac:dyDescent="0.35">
      <c r="A1594" s="21"/>
      <c r="B1594" s="23"/>
      <c r="C1594" s="26"/>
      <c r="D1594" s="27"/>
      <c r="E1594" s="27"/>
      <c r="F1594" s="28"/>
      <c r="G1594" s="25"/>
      <c r="H1594" s="25"/>
      <c r="I1594" s="25"/>
      <c r="J1594" s="25"/>
      <c r="K1594" s="25"/>
      <c r="L1594" s="25"/>
      <c r="M1594" s="25"/>
      <c r="N1594" s="25"/>
      <c r="O1594" s="25"/>
      <c r="P1594" s="25"/>
      <c r="Q1594" s="25"/>
      <c r="R1594" s="25"/>
      <c r="S1594" s="25"/>
      <c r="T1594" s="14"/>
      <c r="U1594" s="12"/>
      <c r="V1594" s="12"/>
      <c r="W1594" s="12"/>
      <c r="X1594" s="12"/>
      <c r="Y1594" s="12"/>
      <c r="Z1594" s="12"/>
      <c r="AA1594" s="12"/>
      <c r="AB1594" s="12"/>
      <c r="AC1594" s="12"/>
      <c r="AD1594" s="12"/>
      <c r="AE1594" s="12"/>
      <c r="AF1594" s="12"/>
    </row>
    <row r="1595" spans="1:32" x14ac:dyDescent="0.35">
      <c r="A1595" s="21"/>
      <c r="B1595" s="23"/>
      <c r="C1595" s="26"/>
      <c r="D1595" s="27"/>
      <c r="E1595" s="27"/>
      <c r="F1595" s="28"/>
      <c r="G1595" s="25"/>
      <c r="H1595" s="25"/>
      <c r="I1595" s="25"/>
      <c r="J1595" s="25"/>
      <c r="K1595" s="25"/>
      <c r="L1595" s="25"/>
      <c r="M1595" s="25"/>
      <c r="N1595" s="25"/>
      <c r="O1595" s="25"/>
      <c r="P1595" s="25"/>
      <c r="Q1595" s="25"/>
      <c r="R1595" s="25"/>
      <c r="S1595" s="25"/>
      <c r="T1595" s="14"/>
      <c r="U1595" s="12"/>
      <c r="V1595" s="12"/>
      <c r="W1595" s="12"/>
      <c r="X1595" s="12"/>
      <c r="Y1595" s="12"/>
      <c r="Z1595" s="12"/>
      <c r="AA1595" s="12"/>
      <c r="AB1595" s="12"/>
      <c r="AC1595" s="12"/>
      <c r="AD1595" s="12"/>
      <c r="AE1595" s="12"/>
      <c r="AF1595" s="12"/>
    </row>
    <row r="1596" spans="1:32" x14ac:dyDescent="0.35">
      <c r="A1596" s="21"/>
      <c r="B1596" s="23"/>
      <c r="C1596" s="26"/>
      <c r="D1596" s="27"/>
      <c r="E1596" s="27"/>
      <c r="F1596" s="28"/>
      <c r="G1596" s="25"/>
      <c r="H1596" s="25"/>
      <c r="I1596" s="25"/>
      <c r="J1596" s="25"/>
      <c r="K1596" s="25"/>
      <c r="L1596" s="25"/>
      <c r="M1596" s="25"/>
      <c r="N1596" s="25"/>
      <c r="O1596" s="25"/>
      <c r="P1596" s="25"/>
      <c r="Q1596" s="25"/>
      <c r="R1596" s="25"/>
      <c r="S1596" s="25"/>
      <c r="T1596" s="14"/>
      <c r="U1596" s="12"/>
      <c r="V1596" s="12"/>
      <c r="W1596" s="12"/>
      <c r="X1596" s="12"/>
      <c r="Y1596" s="12"/>
      <c r="Z1596" s="12"/>
      <c r="AA1596" s="12"/>
      <c r="AB1596" s="12"/>
      <c r="AC1596" s="12"/>
      <c r="AD1596" s="12"/>
      <c r="AE1596" s="12"/>
      <c r="AF1596" s="12"/>
    </row>
    <row r="1597" spans="1:32" x14ac:dyDescent="0.35">
      <c r="A1597" s="21"/>
      <c r="B1597" s="23"/>
      <c r="C1597" s="26"/>
      <c r="D1597" s="27"/>
      <c r="E1597" s="27"/>
      <c r="F1597" s="28"/>
      <c r="G1597" s="25"/>
      <c r="H1597" s="25"/>
      <c r="I1597" s="25"/>
      <c r="J1597" s="25"/>
      <c r="K1597" s="25"/>
      <c r="L1597" s="25"/>
      <c r="M1597" s="25"/>
      <c r="N1597" s="25"/>
      <c r="O1597" s="25"/>
      <c r="P1597" s="25"/>
      <c r="Q1597" s="25"/>
      <c r="R1597" s="25"/>
      <c r="S1597" s="25"/>
      <c r="T1597" s="14"/>
      <c r="U1597" s="12"/>
      <c r="V1597" s="12"/>
      <c r="W1597" s="12"/>
      <c r="X1597" s="12"/>
      <c r="Y1597" s="12"/>
      <c r="Z1597" s="12"/>
      <c r="AA1597" s="12"/>
      <c r="AB1597" s="12"/>
      <c r="AC1597" s="12"/>
      <c r="AD1597" s="12"/>
      <c r="AE1597" s="12"/>
      <c r="AF1597" s="12"/>
    </row>
    <row r="1598" spans="1:32" x14ac:dyDescent="0.35">
      <c r="A1598" s="21"/>
      <c r="B1598" s="23"/>
      <c r="C1598" s="26"/>
      <c r="D1598" s="27"/>
      <c r="E1598" s="27"/>
      <c r="F1598" s="28"/>
      <c r="G1598" s="25"/>
      <c r="H1598" s="25"/>
      <c r="I1598" s="25"/>
      <c r="J1598" s="25"/>
      <c r="K1598" s="25"/>
      <c r="L1598" s="25"/>
      <c r="M1598" s="25"/>
      <c r="N1598" s="25"/>
      <c r="O1598" s="25"/>
      <c r="P1598" s="25"/>
      <c r="Q1598" s="25"/>
      <c r="R1598" s="25"/>
      <c r="S1598" s="25"/>
      <c r="T1598" s="14"/>
      <c r="U1598" s="12"/>
      <c r="V1598" s="12"/>
      <c r="W1598" s="12"/>
      <c r="X1598" s="12"/>
      <c r="Y1598" s="12"/>
      <c r="Z1598" s="12"/>
      <c r="AA1598" s="12"/>
      <c r="AB1598" s="12"/>
      <c r="AC1598" s="12"/>
      <c r="AD1598" s="12"/>
      <c r="AE1598" s="12"/>
      <c r="AF1598" s="12"/>
    </row>
    <row r="1599" spans="1:32" x14ac:dyDescent="0.35">
      <c r="A1599" s="21"/>
      <c r="B1599" s="23"/>
      <c r="C1599" s="26"/>
      <c r="D1599" s="27"/>
      <c r="E1599" s="27"/>
      <c r="F1599" s="28"/>
      <c r="G1599" s="25"/>
      <c r="H1599" s="25"/>
      <c r="I1599" s="25"/>
      <c r="J1599" s="25"/>
      <c r="K1599" s="25"/>
      <c r="L1599" s="25"/>
      <c r="M1599" s="25"/>
      <c r="N1599" s="25"/>
      <c r="O1599" s="25"/>
      <c r="P1599" s="25"/>
      <c r="Q1599" s="25"/>
      <c r="R1599" s="25"/>
      <c r="S1599" s="25"/>
      <c r="U1599" s="12"/>
      <c r="V1599" s="12"/>
      <c r="W1599" s="12"/>
      <c r="X1599" s="12"/>
      <c r="Y1599" s="12"/>
      <c r="Z1599" s="12"/>
      <c r="AA1599" s="12"/>
      <c r="AB1599" s="12"/>
      <c r="AC1599" s="12"/>
      <c r="AD1599" s="12"/>
      <c r="AE1599" s="12"/>
      <c r="AF1599" s="12"/>
    </row>
    <row r="1600" spans="1:32" x14ac:dyDescent="0.35">
      <c r="A1600" s="21"/>
      <c r="B1600" s="23"/>
      <c r="C1600" s="26"/>
      <c r="D1600" s="27"/>
      <c r="E1600" s="27"/>
      <c r="F1600" s="28"/>
      <c r="G1600" s="25"/>
      <c r="H1600" s="25"/>
      <c r="I1600" s="25"/>
      <c r="J1600" s="25"/>
      <c r="K1600" s="25"/>
      <c r="L1600" s="25"/>
      <c r="M1600" s="25"/>
      <c r="N1600" s="25"/>
      <c r="O1600" s="25"/>
      <c r="P1600" s="25"/>
      <c r="Q1600" s="25"/>
      <c r="R1600" s="25"/>
      <c r="S1600" s="25"/>
      <c r="U1600" s="12"/>
      <c r="V1600" s="12"/>
      <c r="W1600" s="12"/>
      <c r="X1600" s="12"/>
      <c r="Y1600" s="12"/>
      <c r="Z1600" s="12"/>
      <c r="AA1600" s="12"/>
      <c r="AB1600" s="12"/>
      <c r="AC1600" s="12"/>
      <c r="AD1600" s="12"/>
      <c r="AE1600" s="12"/>
      <c r="AF1600" s="12"/>
    </row>
    <row r="1601" spans="1:32" x14ac:dyDescent="0.35">
      <c r="A1601" s="21"/>
      <c r="B1601" s="23"/>
      <c r="C1601" s="26"/>
      <c r="D1601" s="27"/>
      <c r="E1601" s="27"/>
      <c r="F1601" s="28"/>
      <c r="G1601" s="25"/>
      <c r="H1601" s="25"/>
      <c r="I1601" s="25"/>
      <c r="J1601" s="25"/>
      <c r="K1601" s="25"/>
      <c r="L1601" s="25"/>
      <c r="M1601" s="25"/>
      <c r="N1601" s="25"/>
      <c r="O1601" s="25"/>
      <c r="P1601" s="25"/>
      <c r="Q1601" s="25"/>
      <c r="R1601" s="25"/>
      <c r="S1601" s="25"/>
      <c r="U1601" s="12"/>
      <c r="V1601" s="12"/>
      <c r="W1601" s="12"/>
      <c r="X1601" s="12"/>
      <c r="Y1601" s="12"/>
      <c r="Z1601" s="12"/>
      <c r="AA1601" s="12"/>
      <c r="AB1601" s="12"/>
      <c r="AC1601" s="12"/>
      <c r="AD1601" s="12"/>
      <c r="AE1601" s="12"/>
      <c r="AF1601" s="12"/>
    </row>
    <row r="1602" spans="1:32" x14ac:dyDescent="0.35">
      <c r="A1602" s="21"/>
      <c r="B1602" s="23"/>
      <c r="C1602" s="26"/>
      <c r="D1602" s="27"/>
      <c r="E1602" s="27"/>
      <c r="F1602" s="28"/>
      <c r="G1602" s="25"/>
      <c r="H1602" s="25"/>
      <c r="I1602" s="25"/>
      <c r="J1602" s="25"/>
      <c r="K1602" s="25"/>
      <c r="L1602" s="25"/>
      <c r="M1602" s="25"/>
      <c r="N1602" s="25"/>
      <c r="O1602" s="25"/>
      <c r="P1602" s="25"/>
      <c r="Q1602" s="25"/>
      <c r="R1602" s="25"/>
      <c r="S1602" s="25"/>
      <c r="U1602" s="12"/>
      <c r="V1602" s="12"/>
      <c r="W1602" s="12"/>
      <c r="X1602" s="12"/>
      <c r="Y1602" s="12"/>
      <c r="Z1602" s="12"/>
      <c r="AA1602" s="12"/>
      <c r="AB1602" s="12"/>
      <c r="AC1602" s="12"/>
      <c r="AD1602" s="12"/>
      <c r="AE1602" s="12"/>
      <c r="AF1602" s="12"/>
    </row>
    <row r="1603" spans="1:32" x14ac:dyDescent="0.35">
      <c r="A1603" s="21"/>
      <c r="B1603" s="23"/>
      <c r="C1603" s="26"/>
      <c r="D1603" s="27"/>
      <c r="E1603" s="27"/>
      <c r="F1603" s="28"/>
      <c r="G1603" s="25"/>
      <c r="H1603" s="25"/>
      <c r="I1603" s="25"/>
      <c r="J1603" s="25"/>
      <c r="K1603" s="25"/>
      <c r="L1603" s="25"/>
      <c r="M1603" s="25"/>
      <c r="N1603" s="25"/>
      <c r="O1603" s="25"/>
      <c r="P1603" s="25"/>
      <c r="Q1603" s="25"/>
      <c r="R1603" s="25"/>
      <c r="S1603" s="25"/>
      <c r="T1603" s="5"/>
      <c r="U1603" s="12"/>
      <c r="V1603" s="12"/>
      <c r="W1603" s="12"/>
      <c r="X1603" s="12"/>
      <c r="Y1603" s="12"/>
      <c r="Z1603" s="12"/>
      <c r="AA1603" s="12"/>
      <c r="AB1603" s="12"/>
      <c r="AC1603" s="12"/>
      <c r="AD1603" s="12"/>
      <c r="AE1603" s="12"/>
      <c r="AF1603" s="12"/>
    </row>
    <row r="1604" spans="1:32" x14ac:dyDescent="0.35">
      <c r="A1604" s="21"/>
      <c r="B1604" s="23"/>
      <c r="C1604" s="26"/>
      <c r="D1604" s="27"/>
      <c r="E1604" s="27"/>
      <c r="F1604" s="28"/>
      <c r="G1604" s="25"/>
      <c r="H1604" s="25"/>
      <c r="I1604" s="25"/>
      <c r="J1604" s="25"/>
      <c r="K1604" s="25"/>
      <c r="L1604" s="25"/>
      <c r="M1604" s="25"/>
      <c r="N1604" s="25"/>
      <c r="O1604" s="25"/>
      <c r="P1604" s="25"/>
      <c r="Q1604" s="25"/>
      <c r="R1604" s="25"/>
      <c r="S1604" s="25"/>
      <c r="T1604" s="22"/>
      <c r="U1604" s="12"/>
      <c r="V1604" s="12"/>
      <c r="W1604" s="12"/>
      <c r="X1604" s="12"/>
      <c r="Y1604" s="12"/>
      <c r="Z1604" s="12"/>
      <c r="AA1604" s="12"/>
      <c r="AB1604" s="12"/>
      <c r="AC1604" s="12"/>
      <c r="AD1604" s="12"/>
      <c r="AE1604" s="12"/>
      <c r="AF1604" s="12"/>
    </row>
    <row r="1605" spans="1:32" x14ac:dyDescent="0.35">
      <c r="A1605" s="21"/>
      <c r="B1605" s="23"/>
      <c r="C1605" s="26"/>
      <c r="D1605" s="27"/>
      <c r="E1605" s="27"/>
      <c r="F1605" s="28"/>
      <c r="G1605" s="25"/>
      <c r="H1605" s="25"/>
      <c r="I1605" s="25"/>
      <c r="J1605" s="25"/>
      <c r="K1605" s="25"/>
      <c r="L1605" s="25"/>
      <c r="M1605" s="25"/>
      <c r="N1605" s="25"/>
      <c r="O1605" s="25"/>
      <c r="P1605" s="25"/>
      <c r="Q1605" s="25"/>
      <c r="R1605" s="25"/>
      <c r="S1605" s="25"/>
      <c r="T1605" s="22"/>
      <c r="U1605" s="12"/>
      <c r="V1605" s="12"/>
      <c r="W1605" s="12"/>
      <c r="X1605" s="12"/>
      <c r="Y1605" s="12"/>
      <c r="Z1605" s="12"/>
      <c r="AA1605" s="12"/>
      <c r="AB1605" s="12"/>
      <c r="AC1605" s="12"/>
      <c r="AD1605" s="12"/>
      <c r="AE1605" s="12"/>
      <c r="AF1605" s="12"/>
    </row>
    <row r="1606" spans="1:32" x14ac:dyDescent="0.35">
      <c r="A1606" s="21"/>
      <c r="B1606" s="23"/>
      <c r="C1606" s="26"/>
      <c r="D1606" s="27"/>
      <c r="E1606" s="27"/>
      <c r="F1606" s="28"/>
      <c r="G1606" s="25"/>
      <c r="H1606" s="25"/>
      <c r="I1606" s="25"/>
      <c r="J1606" s="25"/>
      <c r="K1606" s="25"/>
      <c r="L1606" s="25"/>
      <c r="M1606" s="25"/>
      <c r="N1606" s="25"/>
      <c r="O1606" s="25"/>
      <c r="P1606" s="25"/>
      <c r="Q1606" s="25"/>
      <c r="R1606" s="25"/>
      <c r="S1606" s="25"/>
      <c r="T1606" s="22"/>
      <c r="U1606" s="12"/>
      <c r="V1606" s="12"/>
      <c r="W1606" s="12"/>
      <c r="X1606" s="12"/>
      <c r="Y1606" s="12"/>
      <c r="Z1606" s="12"/>
      <c r="AA1606" s="12"/>
      <c r="AB1606" s="12"/>
      <c r="AC1606" s="12"/>
      <c r="AD1606" s="12"/>
      <c r="AE1606" s="12"/>
      <c r="AF1606" s="12"/>
    </row>
    <row r="1607" spans="1:32" x14ac:dyDescent="0.35">
      <c r="A1607" s="21"/>
      <c r="B1607" s="23"/>
      <c r="C1607" s="26"/>
      <c r="D1607" s="27"/>
      <c r="E1607" s="27"/>
      <c r="F1607" s="28"/>
      <c r="G1607" s="25"/>
      <c r="H1607" s="25"/>
      <c r="I1607" s="25"/>
      <c r="J1607" s="25"/>
      <c r="K1607" s="25"/>
      <c r="L1607" s="25"/>
      <c r="M1607" s="25"/>
      <c r="N1607" s="25"/>
      <c r="O1607" s="25"/>
      <c r="P1607" s="25"/>
      <c r="Q1607" s="25"/>
      <c r="R1607" s="25"/>
      <c r="S1607" s="25"/>
      <c r="T1607" s="22"/>
      <c r="U1607" s="12"/>
      <c r="V1607" s="12"/>
      <c r="W1607" s="12"/>
      <c r="X1607" s="12"/>
      <c r="Y1607" s="12"/>
      <c r="Z1607" s="12"/>
      <c r="AA1607" s="12"/>
      <c r="AB1607" s="12"/>
      <c r="AC1607" s="12"/>
      <c r="AD1607" s="12"/>
      <c r="AE1607" s="12"/>
      <c r="AF1607" s="12"/>
    </row>
    <row r="1608" spans="1:32" x14ac:dyDescent="0.35">
      <c r="A1608" s="21"/>
      <c r="B1608" s="23"/>
      <c r="C1608" s="26"/>
      <c r="D1608" s="27"/>
      <c r="E1608" s="27"/>
      <c r="F1608" s="28"/>
      <c r="G1608" s="25"/>
      <c r="H1608" s="25"/>
      <c r="I1608" s="25"/>
      <c r="J1608" s="25"/>
      <c r="K1608" s="25"/>
      <c r="L1608" s="25"/>
      <c r="M1608" s="25"/>
      <c r="N1608" s="25"/>
      <c r="O1608" s="25"/>
      <c r="P1608" s="25"/>
      <c r="Q1608" s="25"/>
      <c r="R1608" s="25"/>
      <c r="S1608" s="25"/>
      <c r="T1608" s="22"/>
      <c r="U1608" s="12"/>
      <c r="V1608" s="12"/>
      <c r="W1608" s="12"/>
      <c r="X1608" s="12"/>
      <c r="Y1608" s="12"/>
      <c r="Z1608" s="12"/>
      <c r="AA1608" s="12"/>
      <c r="AB1608" s="12"/>
      <c r="AC1608" s="12"/>
      <c r="AD1608" s="12"/>
      <c r="AE1608" s="12"/>
      <c r="AF1608" s="12"/>
    </row>
    <row r="1609" spans="1:32" x14ac:dyDescent="0.35">
      <c r="A1609" s="21"/>
      <c r="B1609" s="23"/>
      <c r="C1609" s="26"/>
      <c r="D1609" s="27"/>
      <c r="E1609" s="27"/>
      <c r="F1609" s="28"/>
      <c r="G1609" s="25"/>
      <c r="H1609" s="25"/>
      <c r="I1609" s="25"/>
      <c r="J1609" s="25"/>
      <c r="K1609" s="25"/>
      <c r="L1609" s="25"/>
      <c r="M1609" s="25"/>
      <c r="N1609" s="25"/>
      <c r="O1609" s="25"/>
      <c r="P1609" s="25"/>
      <c r="Q1609" s="25"/>
      <c r="R1609" s="25"/>
      <c r="S1609" s="25"/>
      <c r="T1609" s="22"/>
      <c r="U1609" s="12"/>
      <c r="V1609" s="12"/>
      <c r="W1609" s="12"/>
      <c r="X1609" s="12"/>
      <c r="Y1609" s="12"/>
      <c r="Z1609" s="12"/>
      <c r="AA1609" s="12"/>
      <c r="AB1609" s="12"/>
      <c r="AC1609" s="12"/>
      <c r="AD1609" s="12"/>
      <c r="AE1609" s="12"/>
      <c r="AF1609" s="12"/>
    </row>
    <row r="1610" spans="1:32" x14ac:dyDescent="0.35">
      <c r="A1610" s="21"/>
      <c r="B1610" s="23"/>
      <c r="C1610" s="26"/>
      <c r="D1610" s="27"/>
      <c r="E1610" s="27"/>
      <c r="F1610" s="28"/>
      <c r="G1610" s="25"/>
      <c r="H1610" s="25"/>
      <c r="I1610" s="25"/>
      <c r="J1610" s="25"/>
      <c r="K1610" s="25"/>
      <c r="L1610" s="25"/>
      <c r="M1610" s="25"/>
      <c r="N1610" s="25"/>
      <c r="O1610" s="25"/>
      <c r="P1610" s="25"/>
      <c r="Q1610" s="25"/>
      <c r="R1610" s="25"/>
      <c r="S1610" s="25"/>
      <c r="T1610" s="22"/>
      <c r="U1610" s="12"/>
      <c r="V1610" s="12"/>
      <c r="W1610" s="12"/>
      <c r="X1610" s="12"/>
      <c r="Y1610" s="12"/>
      <c r="Z1610" s="12"/>
      <c r="AA1610" s="12"/>
      <c r="AB1610" s="12"/>
      <c r="AC1610" s="12"/>
      <c r="AD1610" s="12"/>
      <c r="AE1610" s="12"/>
      <c r="AF1610" s="12"/>
    </row>
    <row r="1611" spans="1:32" x14ac:dyDescent="0.35">
      <c r="A1611" s="21"/>
      <c r="B1611" s="23"/>
      <c r="C1611" s="26"/>
      <c r="D1611" s="27"/>
      <c r="E1611" s="27"/>
      <c r="F1611" s="28"/>
      <c r="G1611" s="25"/>
      <c r="H1611" s="25"/>
      <c r="I1611" s="25"/>
      <c r="J1611" s="25"/>
      <c r="K1611" s="25"/>
      <c r="L1611" s="25"/>
      <c r="M1611" s="25"/>
      <c r="N1611" s="25"/>
      <c r="O1611" s="25"/>
      <c r="P1611" s="25"/>
      <c r="Q1611" s="25"/>
      <c r="R1611" s="25"/>
      <c r="S1611" s="25"/>
      <c r="T1611" s="22"/>
      <c r="U1611" s="12"/>
      <c r="V1611" s="12"/>
      <c r="W1611" s="12"/>
      <c r="X1611" s="12"/>
      <c r="Y1611" s="12"/>
      <c r="Z1611" s="12"/>
      <c r="AA1611" s="12"/>
      <c r="AB1611" s="12"/>
      <c r="AC1611" s="12"/>
      <c r="AD1611" s="12"/>
      <c r="AE1611" s="12"/>
      <c r="AF1611" s="12"/>
    </row>
    <row r="1612" spans="1:32" x14ac:dyDescent="0.35">
      <c r="A1612" s="21"/>
      <c r="B1612" s="23"/>
      <c r="C1612" s="26"/>
      <c r="D1612" s="27"/>
      <c r="E1612" s="27"/>
      <c r="F1612" s="28"/>
      <c r="G1612" s="25"/>
      <c r="H1612" s="25"/>
      <c r="I1612" s="25"/>
      <c r="J1612" s="25"/>
      <c r="K1612" s="25"/>
      <c r="L1612" s="25"/>
      <c r="M1612" s="25"/>
      <c r="N1612" s="25"/>
      <c r="O1612" s="25"/>
      <c r="P1612" s="25"/>
      <c r="Q1612" s="25"/>
      <c r="R1612" s="25"/>
      <c r="S1612" s="25"/>
      <c r="T1612" s="22"/>
      <c r="U1612" s="12"/>
      <c r="V1612" s="12"/>
      <c r="W1612" s="12"/>
      <c r="X1612" s="12"/>
      <c r="Y1612" s="12"/>
      <c r="Z1612" s="12"/>
      <c r="AA1612" s="12"/>
      <c r="AB1612" s="12"/>
      <c r="AC1612" s="12"/>
      <c r="AD1612" s="12"/>
      <c r="AE1612" s="12"/>
      <c r="AF1612" s="12"/>
    </row>
    <row r="1613" spans="1:32" x14ac:dyDescent="0.35">
      <c r="A1613" s="21"/>
      <c r="B1613" s="23"/>
      <c r="C1613" s="26"/>
      <c r="D1613" s="27"/>
      <c r="E1613" s="27"/>
      <c r="F1613" s="28"/>
      <c r="G1613" s="25"/>
      <c r="H1613" s="25"/>
      <c r="I1613" s="25"/>
      <c r="J1613" s="25"/>
      <c r="K1613" s="25"/>
      <c r="L1613" s="25"/>
      <c r="M1613" s="25"/>
      <c r="N1613" s="25"/>
      <c r="O1613" s="25"/>
      <c r="P1613" s="25"/>
      <c r="Q1613" s="25"/>
      <c r="R1613" s="25"/>
      <c r="S1613" s="25"/>
      <c r="T1613" s="14"/>
      <c r="U1613" s="12"/>
      <c r="V1613" s="12"/>
      <c r="W1613" s="12"/>
      <c r="X1613" s="12"/>
      <c r="Y1613" s="12"/>
      <c r="Z1613" s="12"/>
      <c r="AA1613" s="12"/>
      <c r="AB1613" s="12"/>
      <c r="AC1613" s="12"/>
      <c r="AD1613" s="12"/>
      <c r="AE1613" s="12"/>
      <c r="AF1613" s="12"/>
    </row>
    <row r="1614" spans="1:32" x14ac:dyDescent="0.35">
      <c r="A1614" s="21"/>
      <c r="B1614" s="23"/>
      <c r="C1614" s="26"/>
      <c r="D1614" s="27"/>
      <c r="E1614" s="27"/>
      <c r="F1614" s="28"/>
      <c r="G1614" s="25"/>
      <c r="H1614" s="25"/>
      <c r="I1614" s="25"/>
      <c r="J1614" s="25"/>
      <c r="K1614" s="25"/>
      <c r="L1614" s="25"/>
      <c r="M1614" s="25"/>
      <c r="N1614" s="25"/>
      <c r="O1614" s="25"/>
      <c r="P1614" s="25"/>
      <c r="Q1614" s="25"/>
      <c r="R1614" s="25"/>
      <c r="S1614" s="25"/>
      <c r="T1614" s="14"/>
      <c r="U1614" s="12"/>
      <c r="V1614" s="12"/>
      <c r="W1614" s="12"/>
      <c r="X1614" s="12"/>
      <c r="Y1614" s="12"/>
      <c r="Z1614" s="12"/>
      <c r="AA1614" s="12"/>
      <c r="AB1614" s="12"/>
      <c r="AC1614" s="12"/>
      <c r="AD1614" s="12"/>
      <c r="AE1614" s="12"/>
      <c r="AF1614" s="12"/>
    </row>
    <row r="1615" spans="1:32" x14ac:dyDescent="0.35">
      <c r="A1615" s="21"/>
      <c r="B1615" s="23"/>
      <c r="C1615" s="26"/>
      <c r="D1615" s="27"/>
      <c r="E1615" s="27"/>
      <c r="F1615" s="28"/>
      <c r="G1615" s="25"/>
      <c r="H1615" s="25"/>
      <c r="I1615" s="25"/>
      <c r="J1615" s="25"/>
      <c r="K1615" s="25"/>
      <c r="L1615" s="25"/>
      <c r="M1615" s="25"/>
      <c r="N1615" s="25"/>
      <c r="O1615" s="25"/>
      <c r="P1615" s="25"/>
      <c r="Q1615" s="25"/>
      <c r="R1615" s="25"/>
      <c r="S1615" s="25"/>
      <c r="T1615" s="14"/>
      <c r="U1615" s="12"/>
      <c r="V1615" s="12"/>
      <c r="W1615" s="12"/>
      <c r="X1615" s="12"/>
      <c r="Y1615" s="12"/>
      <c r="Z1615" s="12"/>
      <c r="AA1615" s="12"/>
      <c r="AB1615" s="12"/>
      <c r="AC1615" s="12"/>
      <c r="AD1615" s="12"/>
      <c r="AE1615" s="12"/>
      <c r="AF1615" s="12"/>
    </row>
    <row r="1616" spans="1:32" x14ac:dyDescent="0.35">
      <c r="A1616" s="21"/>
      <c r="B1616" s="23"/>
      <c r="C1616" s="26"/>
      <c r="D1616" s="27"/>
      <c r="E1616" s="27"/>
      <c r="F1616" s="28"/>
      <c r="G1616" s="25"/>
      <c r="H1616" s="25"/>
      <c r="I1616" s="25"/>
      <c r="J1616" s="25"/>
      <c r="K1616" s="25"/>
      <c r="L1616" s="25"/>
      <c r="M1616" s="25"/>
      <c r="N1616" s="25"/>
      <c r="O1616" s="25"/>
      <c r="P1616" s="25"/>
      <c r="Q1616" s="25"/>
      <c r="R1616" s="25"/>
      <c r="S1616" s="25"/>
      <c r="T1616" s="14"/>
      <c r="U1616" s="12"/>
      <c r="V1616" s="12"/>
      <c r="W1616" s="12"/>
      <c r="X1616" s="12"/>
      <c r="Y1616" s="12"/>
      <c r="Z1616" s="12"/>
      <c r="AA1616" s="12"/>
      <c r="AB1616" s="12"/>
      <c r="AC1616" s="12"/>
      <c r="AD1616" s="12"/>
      <c r="AE1616" s="12"/>
      <c r="AF1616" s="12"/>
    </row>
    <row r="1617" spans="1:32" x14ac:dyDescent="0.35">
      <c r="A1617" s="21"/>
      <c r="B1617" s="23"/>
      <c r="C1617" s="26"/>
      <c r="D1617" s="27"/>
      <c r="E1617" s="27"/>
      <c r="F1617" s="28"/>
      <c r="G1617" s="25"/>
      <c r="H1617" s="25"/>
      <c r="I1617" s="25"/>
      <c r="J1617" s="25"/>
      <c r="K1617" s="25"/>
      <c r="L1617" s="25"/>
      <c r="M1617" s="25"/>
      <c r="N1617" s="25"/>
      <c r="O1617" s="25"/>
      <c r="P1617" s="25"/>
      <c r="Q1617" s="25"/>
      <c r="R1617" s="25"/>
      <c r="S1617" s="25"/>
      <c r="T1617" s="14"/>
      <c r="U1617" s="12"/>
      <c r="V1617" s="12"/>
      <c r="W1617" s="12"/>
      <c r="X1617" s="12"/>
      <c r="Y1617" s="12"/>
      <c r="Z1617" s="12"/>
      <c r="AA1617" s="12"/>
      <c r="AB1617" s="12"/>
      <c r="AC1617" s="12"/>
      <c r="AD1617" s="12"/>
      <c r="AE1617" s="12"/>
      <c r="AF1617" s="12"/>
    </row>
    <row r="1618" spans="1:32" x14ac:dyDescent="0.35">
      <c r="A1618" s="21"/>
      <c r="B1618" s="23"/>
      <c r="C1618" s="26"/>
      <c r="D1618" s="27"/>
      <c r="E1618" s="27"/>
      <c r="F1618" s="28"/>
      <c r="G1618" s="25"/>
      <c r="H1618" s="25"/>
      <c r="I1618" s="25"/>
      <c r="J1618" s="25"/>
      <c r="K1618" s="25"/>
      <c r="L1618" s="25"/>
      <c r="M1618" s="25"/>
      <c r="N1618" s="25"/>
      <c r="O1618" s="25"/>
      <c r="P1618" s="25"/>
      <c r="Q1618" s="25"/>
      <c r="R1618" s="25"/>
      <c r="S1618" s="25"/>
      <c r="T1618" s="14"/>
      <c r="U1618" s="12"/>
      <c r="V1618" s="12"/>
      <c r="W1618" s="12"/>
      <c r="X1618" s="12"/>
      <c r="Y1618" s="12"/>
      <c r="Z1618" s="12"/>
      <c r="AA1618" s="12"/>
      <c r="AB1618" s="12"/>
      <c r="AC1618" s="12"/>
      <c r="AD1618" s="12"/>
      <c r="AE1618" s="12"/>
      <c r="AF1618" s="12"/>
    </row>
    <row r="1619" spans="1:32" x14ac:dyDescent="0.35">
      <c r="A1619" s="21"/>
      <c r="B1619" s="23"/>
      <c r="C1619" s="26"/>
      <c r="D1619" s="27"/>
      <c r="E1619" s="27"/>
      <c r="F1619" s="28"/>
      <c r="G1619" s="25"/>
      <c r="H1619" s="25"/>
      <c r="I1619" s="25"/>
      <c r="J1619" s="25"/>
      <c r="K1619" s="25"/>
      <c r="L1619" s="25"/>
      <c r="M1619" s="25"/>
      <c r="N1619" s="25"/>
      <c r="O1619" s="25"/>
      <c r="P1619" s="25"/>
      <c r="Q1619" s="25"/>
      <c r="R1619" s="25"/>
      <c r="S1619" s="25"/>
      <c r="T1619" s="14"/>
      <c r="U1619" s="12"/>
      <c r="V1619" s="12"/>
      <c r="W1619" s="12"/>
      <c r="X1619" s="12"/>
      <c r="Y1619" s="12"/>
      <c r="Z1619" s="12"/>
      <c r="AA1619" s="12"/>
      <c r="AB1619" s="12"/>
      <c r="AC1619" s="12"/>
      <c r="AD1619" s="12"/>
      <c r="AE1619" s="12"/>
      <c r="AF1619" s="12"/>
    </row>
    <row r="1620" spans="1:32" x14ac:dyDescent="0.35">
      <c r="A1620" s="21"/>
      <c r="B1620" s="23"/>
      <c r="C1620" s="26"/>
      <c r="D1620" s="27"/>
      <c r="E1620" s="27"/>
      <c r="F1620" s="28"/>
      <c r="G1620" s="25"/>
      <c r="H1620" s="25"/>
      <c r="I1620" s="25"/>
      <c r="J1620" s="25"/>
      <c r="K1620" s="25"/>
      <c r="L1620" s="25"/>
      <c r="M1620" s="25"/>
      <c r="N1620" s="25"/>
      <c r="O1620" s="25"/>
      <c r="P1620" s="25"/>
      <c r="Q1620" s="25"/>
      <c r="R1620" s="25"/>
      <c r="S1620" s="25"/>
      <c r="T1620" s="14"/>
      <c r="U1620" s="12"/>
      <c r="V1620" s="12"/>
      <c r="W1620" s="12"/>
      <c r="X1620" s="12"/>
      <c r="Y1620" s="12"/>
      <c r="Z1620" s="12"/>
      <c r="AA1620" s="12"/>
      <c r="AB1620" s="12"/>
      <c r="AC1620" s="12"/>
      <c r="AD1620" s="12"/>
      <c r="AE1620" s="12"/>
      <c r="AF1620" s="12"/>
    </row>
    <row r="1621" spans="1:32" x14ac:dyDescent="0.35">
      <c r="A1621" s="21"/>
      <c r="B1621" s="23"/>
      <c r="C1621" s="26"/>
      <c r="D1621" s="27"/>
      <c r="E1621" s="27"/>
      <c r="F1621" s="28"/>
      <c r="G1621" s="25"/>
      <c r="H1621" s="25"/>
      <c r="I1621" s="25"/>
      <c r="J1621" s="25"/>
      <c r="K1621" s="25"/>
      <c r="L1621" s="25"/>
      <c r="M1621" s="25"/>
      <c r="N1621" s="25"/>
      <c r="O1621" s="25"/>
      <c r="P1621" s="25"/>
      <c r="Q1621" s="25"/>
      <c r="R1621" s="25"/>
      <c r="S1621" s="25"/>
      <c r="T1621" s="14"/>
      <c r="U1621" s="12"/>
      <c r="V1621" s="12"/>
      <c r="W1621" s="12"/>
      <c r="X1621" s="12"/>
      <c r="Y1621" s="12"/>
      <c r="Z1621" s="12"/>
      <c r="AA1621" s="12"/>
      <c r="AB1621" s="12"/>
      <c r="AC1621" s="12"/>
      <c r="AD1621" s="12"/>
      <c r="AE1621" s="12"/>
      <c r="AF1621" s="12"/>
    </row>
    <row r="1622" spans="1:32" x14ac:dyDescent="0.35">
      <c r="A1622" s="21"/>
      <c r="B1622" s="23"/>
      <c r="C1622" s="26"/>
      <c r="D1622" s="27"/>
      <c r="E1622" s="27"/>
      <c r="F1622" s="28"/>
      <c r="G1622" s="25"/>
      <c r="H1622" s="25"/>
      <c r="I1622" s="25"/>
      <c r="J1622" s="25"/>
      <c r="K1622" s="25"/>
      <c r="L1622" s="25"/>
      <c r="M1622" s="25"/>
      <c r="N1622" s="25"/>
      <c r="O1622" s="25"/>
      <c r="P1622" s="25"/>
      <c r="Q1622" s="25"/>
      <c r="R1622" s="25"/>
      <c r="S1622" s="25"/>
      <c r="T1622" s="14"/>
      <c r="U1622" s="12"/>
      <c r="V1622" s="12"/>
      <c r="W1622" s="12"/>
      <c r="X1622" s="12"/>
      <c r="Y1622" s="12"/>
      <c r="Z1622" s="12"/>
      <c r="AA1622" s="12"/>
      <c r="AB1622" s="12"/>
      <c r="AC1622" s="12"/>
      <c r="AD1622" s="12"/>
      <c r="AE1622" s="12"/>
      <c r="AF1622" s="12"/>
    </row>
    <row r="1623" spans="1:32" x14ac:dyDescent="0.35">
      <c r="A1623" s="21"/>
      <c r="B1623" s="23"/>
      <c r="C1623" s="26"/>
      <c r="D1623" s="27"/>
      <c r="E1623" s="27"/>
      <c r="F1623" s="28"/>
      <c r="G1623" s="25"/>
      <c r="H1623" s="25"/>
      <c r="I1623" s="25"/>
      <c r="J1623" s="25"/>
      <c r="K1623" s="25"/>
      <c r="L1623" s="25"/>
      <c r="M1623" s="25"/>
      <c r="N1623" s="25"/>
      <c r="O1623" s="25"/>
      <c r="P1623" s="25"/>
      <c r="Q1623" s="25"/>
      <c r="R1623" s="25"/>
      <c r="S1623" s="25"/>
      <c r="T1623" s="14"/>
      <c r="U1623" s="12"/>
      <c r="V1623" s="12"/>
      <c r="W1623" s="12"/>
      <c r="X1623" s="12"/>
      <c r="Y1623" s="12"/>
      <c r="Z1623" s="12"/>
      <c r="AA1623" s="12"/>
      <c r="AB1623" s="12"/>
      <c r="AC1623" s="12"/>
      <c r="AD1623" s="12"/>
      <c r="AE1623" s="12"/>
      <c r="AF1623" s="12"/>
    </row>
    <row r="1624" spans="1:32" x14ac:dyDescent="0.35">
      <c r="A1624" s="21"/>
      <c r="B1624" s="23"/>
      <c r="C1624" s="26"/>
      <c r="D1624" s="27"/>
      <c r="E1624" s="27"/>
      <c r="F1624" s="28"/>
      <c r="G1624" s="25"/>
      <c r="H1624" s="25"/>
      <c r="I1624" s="25"/>
      <c r="J1624" s="25"/>
      <c r="K1624" s="25"/>
      <c r="L1624" s="25"/>
      <c r="M1624" s="25"/>
      <c r="N1624" s="25"/>
      <c r="O1624" s="25"/>
      <c r="P1624" s="25"/>
      <c r="Q1624" s="25"/>
      <c r="R1624" s="25"/>
      <c r="S1624" s="25"/>
      <c r="T1624" s="14"/>
      <c r="U1624" s="12"/>
      <c r="V1624" s="12"/>
      <c r="W1624" s="12"/>
      <c r="X1624" s="12"/>
      <c r="Y1624" s="12"/>
      <c r="Z1624" s="12"/>
      <c r="AA1624" s="12"/>
      <c r="AB1624" s="12"/>
      <c r="AC1624" s="12"/>
      <c r="AD1624" s="12"/>
      <c r="AE1624" s="12"/>
      <c r="AF1624" s="12"/>
    </row>
    <row r="1625" spans="1:32" x14ac:dyDescent="0.35">
      <c r="A1625" s="21"/>
      <c r="B1625" s="23"/>
      <c r="C1625" s="26"/>
      <c r="D1625" s="27"/>
      <c r="E1625" s="27"/>
      <c r="F1625" s="28"/>
      <c r="G1625" s="25"/>
      <c r="H1625" s="25"/>
      <c r="I1625" s="25"/>
      <c r="J1625" s="25"/>
      <c r="K1625" s="25"/>
      <c r="L1625" s="25"/>
      <c r="M1625" s="25"/>
      <c r="N1625" s="25"/>
      <c r="O1625" s="25"/>
      <c r="P1625" s="25"/>
      <c r="Q1625" s="25"/>
      <c r="R1625" s="25"/>
      <c r="S1625" s="25"/>
      <c r="T1625" s="14"/>
      <c r="U1625" s="12"/>
      <c r="V1625" s="12"/>
      <c r="W1625" s="12"/>
      <c r="X1625" s="12"/>
      <c r="Y1625" s="12"/>
      <c r="Z1625" s="12"/>
      <c r="AA1625" s="12"/>
      <c r="AB1625" s="12"/>
      <c r="AC1625" s="12"/>
      <c r="AD1625" s="12"/>
      <c r="AE1625" s="12"/>
      <c r="AF1625" s="12"/>
    </row>
    <row r="1626" spans="1:32" x14ac:dyDescent="0.35">
      <c r="A1626" s="15"/>
      <c r="B1626" s="23"/>
      <c r="C1626" s="26"/>
      <c r="D1626" s="27"/>
      <c r="E1626" s="27"/>
      <c r="F1626" s="28"/>
      <c r="G1626" s="25"/>
      <c r="H1626" s="25"/>
      <c r="I1626" s="25"/>
      <c r="J1626" s="25"/>
      <c r="K1626" s="25"/>
      <c r="L1626" s="25"/>
      <c r="M1626" s="25"/>
      <c r="N1626" s="25"/>
      <c r="O1626" s="25"/>
      <c r="P1626" s="25"/>
      <c r="Q1626" s="25"/>
      <c r="R1626" s="25"/>
      <c r="S1626" s="25"/>
      <c r="T1626" s="14"/>
      <c r="U1626" s="12"/>
      <c r="V1626" s="12"/>
      <c r="W1626" s="12"/>
      <c r="X1626" s="12"/>
      <c r="Y1626" s="12"/>
      <c r="Z1626" s="12"/>
      <c r="AA1626" s="12"/>
      <c r="AB1626" s="12"/>
      <c r="AC1626" s="12"/>
      <c r="AD1626" s="12"/>
      <c r="AE1626" s="12"/>
      <c r="AF1626" s="12"/>
    </row>
    <row r="1627" spans="1:32" x14ac:dyDescent="0.35">
      <c r="A1627" s="15"/>
      <c r="B1627" s="23"/>
      <c r="C1627" s="26"/>
      <c r="D1627" s="27"/>
      <c r="E1627" s="27"/>
      <c r="F1627" s="28"/>
      <c r="G1627" s="25"/>
      <c r="H1627" s="25"/>
      <c r="I1627" s="25"/>
      <c r="J1627" s="25"/>
      <c r="K1627" s="25"/>
      <c r="L1627" s="25"/>
      <c r="M1627" s="25"/>
      <c r="N1627" s="25"/>
      <c r="O1627" s="25"/>
      <c r="P1627" s="25"/>
      <c r="Q1627" s="25"/>
      <c r="R1627" s="25"/>
      <c r="S1627" s="25"/>
      <c r="T1627" s="14"/>
      <c r="U1627" s="12"/>
      <c r="V1627" s="12"/>
      <c r="W1627" s="12"/>
      <c r="X1627" s="12"/>
      <c r="Y1627" s="12"/>
      <c r="Z1627" s="12"/>
      <c r="AA1627" s="12"/>
      <c r="AB1627" s="12"/>
      <c r="AC1627" s="12"/>
      <c r="AD1627" s="12"/>
      <c r="AE1627" s="12"/>
      <c r="AF1627" s="12"/>
    </row>
    <row r="1628" spans="1:32" x14ac:dyDescent="0.35">
      <c r="A1628" s="15"/>
      <c r="B1628" s="23"/>
      <c r="C1628" s="26"/>
      <c r="D1628" s="27"/>
      <c r="E1628" s="27"/>
      <c r="F1628" s="28"/>
      <c r="G1628" s="25"/>
      <c r="H1628" s="25"/>
      <c r="I1628" s="25"/>
      <c r="J1628" s="25"/>
      <c r="K1628" s="25"/>
      <c r="L1628" s="25"/>
      <c r="M1628" s="25"/>
      <c r="N1628" s="25"/>
      <c r="O1628" s="25"/>
      <c r="P1628" s="25"/>
      <c r="Q1628" s="25"/>
      <c r="R1628" s="25"/>
      <c r="S1628" s="25"/>
      <c r="T1628" s="22"/>
      <c r="U1628" s="12"/>
      <c r="V1628" s="12"/>
      <c r="W1628" s="12"/>
      <c r="X1628" s="12"/>
      <c r="Y1628" s="12"/>
      <c r="Z1628" s="12"/>
      <c r="AA1628" s="12"/>
      <c r="AB1628" s="12"/>
      <c r="AC1628" s="12"/>
      <c r="AD1628" s="12"/>
      <c r="AE1628" s="12"/>
      <c r="AF1628" s="12"/>
    </row>
    <row r="1629" spans="1:32" x14ac:dyDescent="0.35">
      <c r="A1629" s="15"/>
      <c r="B1629" s="23"/>
      <c r="C1629" s="26"/>
      <c r="D1629" s="27"/>
      <c r="E1629" s="27"/>
      <c r="F1629" s="28"/>
      <c r="G1629" s="25"/>
      <c r="H1629" s="25"/>
      <c r="I1629" s="25"/>
      <c r="J1629" s="25"/>
      <c r="K1629" s="25"/>
      <c r="L1629" s="25"/>
      <c r="M1629" s="25"/>
      <c r="N1629" s="25"/>
      <c r="O1629" s="25"/>
      <c r="P1629" s="25"/>
      <c r="Q1629" s="25"/>
      <c r="R1629" s="25"/>
      <c r="S1629" s="25"/>
      <c r="T1629" s="22"/>
      <c r="U1629" s="12"/>
      <c r="V1629" s="12"/>
      <c r="W1629" s="12"/>
      <c r="X1629" s="12"/>
      <c r="Y1629" s="12"/>
      <c r="Z1629" s="12"/>
      <c r="AA1629" s="12"/>
      <c r="AB1629" s="12"/>
      <c r="AC1629" s="12"/>
      <c r="AD1629" s="12"/>
      <c r="AE1629" s="12"/>
      <c r="AF1629" s="12"/>
    </row>
    <row r="1630" spans="1:32" x14ac:dyDescent="0.35">
      <c r="A1630" s="15"/>
      <c r="B1630" s="23"/>
      <c r="C1630" s="26"/>
      <c r="D1630" s="27"/>
      <c r="E1630" s="27"/>
      <c r="F1630" s="28"/>
      <c r="G1630" s="25"/>
      <c r="H1630" s="25"/>
      <c r="I1630" s="25"/>
      <c r="J1630" s="25"/>
      <c r="K1630" s="25"/>
      <c r="L1630" s="25"/>
      <c r="M1630" s="25"/>
      <c r="N1630" s="25"/>
      <c r="O1630" s="25"/>
      <c r="P1630" s="25"/>
      <c r="Q1630" s="25"/>
      <c r="R1630" s="25"/>
      <c r="S1630" s="25"/>
      <c r="T1630" s="22"/>
      <c r="U1630" s="12"/>
      <c r="V1630" s="12"/>
      <c r="W1630" s="12"/>
      <c r="X1630" s="12"/>
      <c r="Y1630" s="12"/>
      <c r="Z1630" s="12"/>
      <c r="AA1630" s="12"/>
      <c r="AB1630" s="12"/>
      <c r="AC1630" s="12"/>
      <c r="AD1630" s="12"/>
      <c r="AE1630" s="12"/>
      <c r="AF1630" s="12"/>
    </row>
    <row r="1631" spans="1:32" x14ac:dyDescent="0.35">
      <c r="A1631" s="15"/>
      <c r="B1631" s="23"/>
      <c r="C1631" s="26"/>
      <c r="D1631" s="27"/>
      <c r="E1631" s="27"/>
      <c r="F1631" s="28"/>
      <c r="G1631" s="25"/>
      <c r="H1631" s="25"/>
      <c r="I1631" s="25"/>
      <c r="J1631" s="25"/>
      <c r="K1631" s="25"/>
      <c r="L1631" s="25"/>
      <c r="M1631" s="25"/>
      <c r="N1631" s="25"/>
      <c r="O1631" s="25"/>
      <c r="P1631" s="25"/>
      <c r="Q1631" s="25"/>
      <c r="R1631" s="25"/>
      <c r="S1631" s="25"/>
      <c r="T1631" s="22"/>
      <c r="U1631" s="12"/>
      <c r="V1631" s="12"/>
      <c r="W1631" s="12"/>
      <c r="X1631" s="12"/>
      <c r="Y1631" s="12"/>
      <c r="Z1631" s="12"/>
      <c r="AA1631" s="12"/>
      <c r="AB1631" s="12"/>
      <c r="AC1631" s="12"/>
      <c r="AD1631" s="12"/>
      <c r="AE1631" s="12"/>
      <c r="AF1631" s="12"/>
    </row>
    <row r="1632" spans="1:32" x14ac:dyDescent="0.35">
      <c r="A1632" s="15"/>
      <c r="B1632" s="23"/>
      <c r="C1632" s="26"/>
      <c r="D1632" s="27"/>
      <c r="E1632" s="27"/>
      <c r="F1632" s="28"/>
      <c r="G1632" s="25"/>
      <c r="H1632" s="25"/>
      <c r="I1632" s="25"/>
      <c r="J1632" s="25"/>
      <c r="K1632" s="25"/>
      <c r="L1632" s="25"/>
      <c r="M1632" s="25"/>
      <c r="N1632" s="25"/>
      <c r="O1632" s="25"/>
      <c r="P1632" s="25"/>
      <c r="Q1632" s="25"/>
      <c r="R1632" s="25"/>
      <c r="S1632" s="25"/>
      <c r="T1632" s="22"/>
      <c r="U1632" s="12"/>
      <c r="V1632" s="12"/>
      <c r="W1632" s="12"/>
      <c r="X1632" s="12"/>
      <c r="Y1632" s="12"/>
      <c r="Z1632" s="12"/>
      <c r="AA1632" s="12"/>
      <c r="AB1632" s="12"/>
      <c r="AC1632" s="12"/>
      <c r="AD1632" s="12"/>
      <c r="AE1632" s="12"/>
      <c r="AF1632" s="12"/>
    </row>
    <row r="1633" spans="1:32" x14ac:dyDescent="0.35">
      <c r="A1633" s="15"/>
      <c r="B1633" s="23"/>
      <c r="C1633" s="26"/>
      <c r="D1633" s="27"/>
      <c r="E1633" s="27"/>
      <c r="F1633" s="28"/>
      <c r="G1633" s="25"/>
      <c r="H1633" s="25"/>
      <c r="I1633" s="25"/>
      <c r="J1633" s="25"/>
      <c r="K1633" s="25"/>
      <c r="L1633" s="25"/>
      <c r="M1633" s="25"/>
      <c r="N1633" s="25"/>
      <c r="O1633" s="25"/>
      <c r="P1633" s="25"/>
      <c r="Q1633" s="25"/>
      <c r="R1633" s="25"/>
      <c r="S1633" s="25"/>
      <c r="T1633" s="22"/>
      <c r="U1633" s="12"/>
      <c r="V1633" s="12"/>
      <c r="W1633" s="12"/>
      <c r="X1633" s="12"/>
      <c r="Y1633" s="12"/>
      <c r="Z1633" s="12"/>
      <c r="AA1633" s="12"/>
      <c r="AB1633" s="12"/>
      <c r="AC1633" s="12"/>
      <c r="AD1633" s="12"/>
      <c r="AE1633" s="12"/>
      <c r="AF1633" s="12"/>
    </row>
    <row r="1634" spans="1:32" x14ac:dyDescent="0.35">
      <c r="A1634" s="15"/>
      <c r="B1634" s="23"/>
      <c r="C1634" s="26"/>
      <c r="D1634" s="27"/>
      <c r="E1634" s="27"/>
      <c r="F1634" s="28"/>
      <c r="G1634" s="25"/>
      <c r="H1634" s="25"/>
      <c r="I1634" s="25"/>
      <c r="J1634" s="25"/>
      <c r="K1634" s="25"/>
      <c r="L1634" s="25"/>
      <c r="M1634" s="25"/>
      <c r="N1634" s="25"/>
      <c r="O1634" s="25"/>
      <c r="P1634" s="25"/>
      <c r="Q1634" s="25"/>
      <c r="R1634" s="25"/>
      <c r="S1634" s="25"/>
      <c r="T1634" s="22"/>
      <c r="U1634" s="12"/>
      <c r="V1634" s="12"/>
      <c r="W1634" s="12"/>
      <c r="X1634" s="12"/>
      <c r="Y1634" s="12"/>
      <c r="Z1634" s="12"/>
      <c r="AA1634" s="12"/>
      <c r="AB1634" s="12"/>
      <c r="AC1634" s="12"/>
      <c r="AD1634" s="12"/>
      <c r="AE1634" s="12"/>
      <c r="AF1634" s="12"/>
    </row>
    <row r="1635" spans="1:32" x14ac:dyDescent="0.35">
      <c r="A1635" s="15"/>
      <c r="B1635" s="23"/>
      <c r="C1635" s="26"/>
      <c r="D1635" s="27"/>
      <c r="E1635" s="27"/>
      <c r="F1635" s="28"/>
      <c r="G1635" s="25"/>
      <c r="H1635" s="25"/>
      <c r="I1635" s="25"/>
      <c r="J1635" s="25"/>
      <c r="K1635" s="25"/>
      <c r="L1635" s="25"/>
      <c r="M1635" s="25"/>
      <c r="N1635" s="25"/>
      <c r="O1635" s="25"/>
      <c r="P1635" s="25"/>
      <c r="Q1635" s="25"/>
      <c r="R1635" s="25"/>
      <c r="S1635" s="25"/>
      <c r="T1635" s="22"/>
      <c r="U1635" s="12"/>
      <c r="V1635" s="12"/>
      <c r="W1635" s="12"/>
      <c r="X1635" s="12"/>
      <c r="Y1635" s="12"/>
      <c r="Z1635" s="12"/>
      <c r="AA1635" s="12"/>
      <c r="AB1635" s="12"/>
      <c r="AC1635" s="12"/>
      <c r="AD1635" s="12"/>
      <c r="AE1635" s="12"/>
      <c r="AF1635" s="12"/>
    </row>
    <row r="1636" spans="1:32" x14ac:dyDescent="0.35">
      <c r="A1636" s="15"/>
      <c r="B1636" s="23"/>
      <c r="C1636" s="26"/>
      <c r="D1636" s="27"/>
      <c r="E1636" s="27"/>
      <c r="F1636" s="28"/>
      <c r="G1636" s="25"/>
      <c r="H1636" s="25"/>
      <c r="I1636" s="25"/>
      <c r="J1636" s="25"/>
      <c r="K1636" s="25"/>
      <c r="L1636" s="25"/>
      <c r="M1636" s="25"/>
      <c r="N1636" s="25"/>
      <c r="O1636" s="25"/>
      <c r="P1636" s="25"/>
      <c r="Q1636" s="25"/>
      <c r="R1636" s="25"/>
      <c r="S1636" s="25"/>
      <c r="T1636" s="22"/>
      <c r="U1636" s="12"/>
      <c r="V1636" s="12"/>
      <c r="W1636" s="12"/>
      <c r="X1636" s="12"/>
      <c r="Y1636" s="12"/>
      <c r="Z1636" s="12"/>
      <c r="AA1636" s="12"/>
      <c r="AB1636" s="12"/>
      <c r="AC1636" s="12"/>
      <c r="AD1636" s="12"/>
      <c r="AE1636" s="12"/>
      <c r="AF1636" s="12"/>
    </row>
    <row r="1637" spans="1:32" x14ac:dyDescent="0.35">
      <c r="A1637" s="15"/>
      <c r="B1637" s="23"/>
      <c r="C1637" s="26"/>
      <c r="D1637" s="27"/>
      <c r="E1637" s="27"/>
      <c r="F1637" s="28"/>
      <c r="G1637" s="25"/>
      <c r="H1637" s="25"/>
      <c r="I1637" s="25"/>
      <c r="J1637" s="25"/>
      <c r="K1637" s="25"/>
      <c r="L1637" s="25"/>
      <c r="M1637" s="25"/>
      <c r="N1637" s="25"/>
      <c r="O1637" s="25"/>
      <c r="P1637" s="25"/>
      <c r="Q1637" s="25"/>
      <c r="R1637" s="25"/>
      <c r="S1637" s="25"/>
      <c r="T1637" s="22"/>
      <c r="U1637" s="12"/>
      <c r="V1637" s="12"/>
      <c r="W1637" s="12"/>
      <c r="X1637" s="12"/>
      <c r="Y1637" s="12"/>
      <c r="Z1637" s="12"/>
      <c r="AA1637" s="12"/>
      <c r="AB1637" s="12"/>
      <c r="AC1637" s="12"/>
      <c r="AD1637" s="12"/>
      <c r="AE1637" s="12"/>
      <c r="AF1637" s="12"/>
    </row>
    <row r="1638" spans="1:32" x14ac:dyDescent="0.35">
      <c r="A1638" s="15"/>
      <c r="B1638" s="23"/>
      <c r="C1638" s="26"/>
      <c r="D1638" s="27"/>
      <c r="E1638" s="27"/>
      <c r="F1638" s="28"/>
      <c r="G1638" s="25"/>
      <c r="H1638" s="25"/>
      <c r="I1638" s="25"/>
      <c r="J1638" s="25"/>
      <c r="K1638" s="25"/>
      <c r="L1638" s="25"/>
      <c r="M1638" s="25"/>
      <c r="N1638" s="25"/>
      <c r="O1638" s="25"/>
      <c r="P1638" s="25"/>
      <c r="Q1638" s="25"/>
      <c r="R1638" s="25"/>
      <c r="S1638" s="25"/>
      <c r="T1638" s="22"/>
      <c r="U1638" s="12"/>
      <c r="V1638" s="12"/>
      <c r="W1638" s="12"/>
      <c r="X1638" s="12"/>
      <c r="Y1638" s="12"/>
      <c r="Z1638" s="12"/>
      <c r="AA1638" s="12"/>
      <c r="AB1638" s="12"/>
      <c r="AC1638" s="12"/>
      <c r="AD1638" s="12"/>
      <c r="AE1638" s="12"/>
      <c r="AF1638" s="12"/>
    </row>
    <row r="1639" spans="1:32" x14ac:dyDescent="0.35">
      <c r="A1639" s="15"/>
      <c r="B1639" s="23"/>
      <c r="C1639" s="26"/>
      <c r="D1639" s="27"/>
      <c r="E1639" s="27"/>
      <c r="F1639" s="28"/>
      <c r="G1639" s="25"/>
      <c r="H1639" s="25"/>
      <c r="I1639" s="25"/>
      <c r="J1639" s="25"/>
      <c r="K1639" s="25"/>
      <c r="L1639" s="25"/>
      <c r="M1639" s="25"/>
      <c r="N1639" s="25"/>
      <c r="O1639" s="25"/>
      <c r="P1639" s="25"/>
      <c r="Q1639" s="25"/>
      <c r="R1639" s="25"/>
      <c r="S1639" s="25"/>
      <c r="T1639" s="22"/>
      <c r="U1639" s="12"/>
      <c r="V1639" s="12"/>
      <c r="W1639" s="12"/>
      <c r="X1639" s="12"/>
      <c r="Y1639" s="12"/>
      <c r="Z1639" s="12"/>
      <c r="AA1639" s="12"/>
      <c r="AB1639" s="12"/>
      <c r="AC1639" s="12"/>
      <c r="AD1639" s="12"/>
      <c r="AE1639" s="12"/>
      <c r="AF1639" s="12"/>
    </row>
    <row r="1640" spans="1:32" x14ac:dyDescent="0.35">
      <c r="A1640" s="15"/>
      <c r="B1640" s="23"/>
      <c r="C1640" s="26"/>
      <c r="D1640" s="27"/>
      <c r="E1640" s="27"/>
      <c r="F1640" s="28"/>
      <c r="G1640" s="25"/>
      <c r="H1640" s="25"/>
      <c r="I1640" s="25"/>
      <c r="J1640" s="25"/>
      <c r="K1640" s="25"/>
      <c r="L1640" s="25"/>
      <c r="M1640" s="25"/>
      <c r="N1640" s="25"/>
      <c r="O1640" s="25"/>
      <c r="P1640" s="25"/>
      <c r="Q1640" s="25"/>
      <c r="R1640" s="25"/>
      <c r="S1640" s="25"/>
      <c r="T1640" s="22"/>
      <c r="U1640" s="12"/>
      <c r="V1640" s="12"/>
      <c r="W1640" s="12"/>
      <c r="X1640" s="12"/>
      <c r="Y1640" s="12"/>
      <c r="Z1640" s="12"/>
      <c r="AA1640" s="12"/>
      <c r="AB1640" s="12"/>
      <c r="AC1640" s="12"/>
      <c r="AD1640" s="12"/>
      <c r="AE1640" s="12"/>
      <c r="AF1640" s="12"/>
    </row>
    <row r="1641" spans="1:32" x14ac:dyDescent="0.35">
      <c r="A1641" s="15"/>
      <c r="B1641" s="23"/>
      <c r="C1641" s="26"/>
      <c r="D1641" s="27"/>
      <c r="E1641" s="27"/>
      <c r="F1641" s="28"/>
      <c r="G1641" s="25"/>
      <c r="H1641" s="25"/>
      <c r="I1641" s="25"/>
      <c r="J1641" s="25"/>
      <c r="K1641" s="25"/>
      <c r="L1641" s="25"/>
      <c r="M1641" s="25"/>
      <c r="N1641" s="25"/>
      <c r="O1641" s="25"/>
      <c r="P1641" s="25"/>
      <c r="Q1641" s="25"/>
      <c r="R1641" s="25"/>
      <c r="S1641" s="25"/>
      <c r="T1641" s="22"/>
      <c r="U1641" s="12"/>
      <c r="V1641" s="12"/>
      <c r="W1641" s="12"/>
      <c r="X1641" s="12"/>
      <c r="Y1641" s="12"/>
      <c r="Z1641" s="12"/>
      <c r="AA1641" s="12"/>
      <c r="AB1641" s="12"/>
      <c r="AC1641" s="12"/>
      <c r="AD1641" s="12"/>
      <c r="AE1641" s="12"/>
      <c r="AF1641" s="12"/>
    </row>
    <row r="1642" spans="1:32" x14ac:dyDescent="0.35">
      <c r="A1642" s="15"/>
      <c r="B1642" s="23"/>
      <c r="C1642" s="26"/>
      <c r="D1642" s="27"/>
      <c r="E1642" s="27"/>
      <c r="F1642" s="28"/>
      <c r="G1642" s="25"/>
      <c r="H1642" s="25"/>
      <c r="I1642" s="25"/>
      <c r="J1642" s="25"/>
      <c r="K1642" s="25"/>
      <c r="L1642" s="25"/>
      <c r="M1642" s="25"/>
      <c r="N1642" s="25"/>
      <c r="O1642" s="25"/>
      <c r="P1642" s="25"/>
      <c r="Q1642" s="25"/>
      <c r="R1642" s="25"/>
      <c r="S1642" s="25"/>
      <c r="T1642" s="22"/>
      <c r="U1642" s="12"/>
      <c r="V1642" s="12"/>
      <c r="W1642" s="12"/>
      <c r="X1642" s="12"/>
      <c r="Y1642" s="12"/>
      <c r="Z1642" s="12"/>
      <c r="AA1642" s="12"/>
      <c r="AB1642" s="12"/>
      <c r="AC1642" s="12"/>
      <c r="AD1642" s="12"/>
      <c r="AE1642" s="12"/>
      <c r="AF1642" s="12"/>
    </row>
    <row r="1643" spans="1:32" x14ac:dyDescent="0.35">
      <c r="A1643" s="15"/>
      <c r="B1643" s="23"/>
      <c r="C1643" s="26"/>
      <c r="D1643" s="27"/>
      <c r="E1643" s="27"/>
      <c r="F1643" s="28"/>
      <c r="G1643" s="25"/>
      <c r="H1643" s="25"/>
      <c r="I1643" s="25"/>
      <c r="J1643" s="25"/>
      <c r="K1643" s="25"/>
      <c r="L1643" s="25"/>
      <c r="M1643" s="25"/>
      <c r="N1643" s="25"/>
      <c r="O1643" s="25"/>
      <c r="P1643" s="25"/>
      <c r="Q1643" s="25"/>
      <c r="R1643" s="25"/>
      <c r="S1643" s="25"/>
      <c r="T1643" s="22"/>
      <c r="U1643" s="12"/>
      <c r="V1643" s="12"/>
      <c r="W1643" s="12"/>
      <c r="X1643" s="12"/>
      <c r="Y1643" s="12"/>
      <c r="Z1643" s="12"/>
      <c r="AA1643" s="12"/>
      <c r="AB1643" s="12"/>
      <c r="AC1643" s="12"/>
      <c r="AD1643" s="12"/>
      <c r="AE1643" s="12"/>
      <c r="AF1643" s="12"/>
    </row>
    <row r="1644" spans="1:32" x14ac:dyDescent="0.35">
      <c r="A1644" s="15"/>
      <c r="B1644" s="23"/>
      <c r="C1644" s="26"/>
      <c r="D1644" s="27"/>
      <c r="E1644" s="27"/>
      <c r="F1644" s="28"/>
      <c r="G1644" s="25"/>
      <c r="H1644" s="25"/>
      <c r="I1644" s="25"/>
      <c r="J1644" s="25"/>
      <c r="K1644" s="25"/>
      <c r="L1644" s="25"/>
      <c r="M1644" s="25"/>
      <c r="N1644" s="25"/>
      <c r="O1644" s="25"/>
      <c r="P1644" s="25"/>
      <c r="Q1644" s="25"/>
      <c r="R1644" s="25"/>
      <c r="S1644" s="25"/>
      <c r="T1644" s="14"/>
      <c r="U1644" s="12"/>
      <c r="V1644" s="12"/>
      <c r="W1644" s="12"/>
      <c r="X1644" s="12"/>
      <c r="Y1644" s="12"/>
      <c r="Z1644" s="12"/>
      <c r="AA1644" s="12"/>
      <c r="AB1644" s="12"/>
      <c r="AC1644" s="12"/>
      <c r="AD1644" s="12"/>
      <c r="AE1644" s="12"/>
      <c r="AF1644" s="12"/>
    </row>
    <row r="1645" spans="1:32" x14ac:dyDescent="0.35">
      <c r="A1645" s="15"/>
      <c r="B1645" s="23"/>
      <c r="C1645" s="26"/>
      <c r="D1645" s="27"/>
      <c r="E1645" s="27"/>
      <c r="F1645" s="28"/>
      <c r="G1645" s="25"/>
      <c r="H1645" s="25"/>
      <c r="I1645" s="25"/>
      <c r="J1645" s="25"/>
      <c r="K1645" s="25"/>
      <c r="L1645" s="25"/>
      <c r="M1645" s="25"/>
      <c r="N1645" s="25"/>
      <c r="O1645" s="25"/>
      <c r="P1645" s="25"/>
      <c r="Q1645" s="25"/>
      <c r="R1645" s="25"/>
      <c r="S1645" s="25"/>
      <c r="T1645" s="14"/>
      <c r="U1645" s="12"/>
      <c r="V1645" s="12"/>
      <c r="W1645" s="12"/>
      <c r="X1645" s="12"/>
      <c r="Y1645" s="12"/>
      <c r="Z1645" s="12"/>
      <c r="AA1645" s="12"/>
      <c r="AB1645" s="12"/>
      <c r="AC1645" s="12"/>
      <c r="AD1645" s="12"/>
      <c r="AE1645" s="12"/>
      <c r="AF1645" s="12"/>
    </row>
    <row r="1646" spans="1:32" x14ac:dyDescent="0.35">
      <c r="A1646" s="15"/>
      <c r="B1646" s="23"/>
      <c r="C1646" s="26"/>
      <c r="D1646" s="27"/>
      <c r="E1646" s="27"/>
      <c r="F1646" s="28"/>
      <c r="G1646" s="25"/>
      <c r="H1646" s="25"/>
      <c r="I1646" s="25"/>
      <c r="J1646" s="25"/>
      <c r="K1646" s="25"/>
      <c r="L1646" s="25"/>
      <c r="M1646" s="25"/>
      <c r="N1646" s="25"/>
      <c r="O1646" s="25"/>
      <c r="P1646" s="25"/>
      <c r="Q1646" s="25"/>
      <c r="R1646" s="25"/>
      <c r="S1646" s="25"/>
      <c r="T1646" s="14"/>
      <c r="U1646" s="12"/>
      <c r="V1646" s="12"/>
      <c r="W1646" s="12"/>
      <c r="X1646" s="12"/>
      <c r="Y1646" s="12"/>
      <c r="Z1646" s="12"/>
      <c r="AA1646" s="12"/>
      <c r="AB1646" s="12"/>
      <c r="AC1646" s="12"/>
      <c r="AD1646" s="12"/>
      <c r="AE1646" s="12"/>
      <c r="AF1646" s="12"/>
    </row>
    <row r="1647" spans="1:32" x14ac:dyDescent="0.35">
      <c r="A1647" s="15"/>
      <c r="B1647" s="23"/>
      <c r="C1647" s="26"/>
      <c r="D1647" s="27"/>
      <c r="E1647" s="27"/>
      <c r="F1647" s="28"/>
      <c r="G1647" s="25"/>
      <c r="H1647" s="25"/>
      <c r="I1647" s="25"/>
      <c r="J1647" s="25"/>
      <c r="K1647" s="25"/>
      <c r="L1647" s="25"/>
      <c r="M1647" s="25"/>
      <c r="N1647" s="25"/>
      <c r="O1647" s="25"/>
      <c r="P1647" s="25"/>
      <c r="Q1647" s="25"/>
      <c r="R1647" s="25"/>
      <c r="S1647" s="25"/>
      <c r="T1647" s="14"/>
      <c r="U1647" s="12"/>
      <c r="V1647" s="12"/>
      <c r="W1647" s="12"/>
      <c r="X1647" s="12"/>
      <c r="Y1647" s="12"/>
      <c r="Z1647" s="12"/>
      <c r="AA1647" s="12"/>
      <c r="AB1647" s="12"/>
      <c r="AC1647" s="12"/>
      <c r="AD1647" s="12"/>
      <c r="AE1647" s="12"/>
      <c r="AF1647" s="12"/>
    </row>
    <row r="1648" spans="1:32" x14ac:dyDescent="0.35">
      <c r="A1648" s="15"/>
      <c r="B1648" s="23"/>
      <c r="C1648" s="26"/>
      <c r="D1648" s="27"/>
      <c r="E1648" s="27"/>
      <c r="F1648" s="28"/>
      <c r="G1648" s="25"/>
      <c r="H1648" s="25"/>
      <c r="I1648" s="25"/>
      <c r="J1648" s="25"/>
      <c r="K1648" s="25"/>
      <c r="L1648" s="25"/>
      <c r="M1648" s="25"/>
      <c r="N1648" s="25"/>
      <c r="O1648" s="25"/>
      <c r="P1648" s="25"/>
      <c r="Q1648" s="25"/>
      <c r="R1648" s="25"/>
      <c r="S1648" s="25"/>
      <c r="T1648" s="14"/>
      <c r="U1648" s="12"/>
      <c r="V1648" s="12"/>
      <c r="W1648" s="12"/>
      <c r="X1648" s="12"/>
      <c r="Y1648" s="12"/>
      <c r="Z1648" s="12"/>
      <c r="AA1648" s="12"/>
      <c r="AB1648" s="12"/>
      <c r="AC1648" s="12"/>
      <c r="AD1648" s="12"/>
      <c r="AE1648" s="12"/>
      <c r="AF1648" s="12"/>
    </row>
    <row r="1649" spans="1:32" x14ac:dyDescent="0.35">
      <c r="A1649" s="15"/>
      <c r="B1649" s="23"/>
      <c r="C1649" s="26"/>
      <c r="D1649" s="27"/>
      <c r="E1649" s="27"/>
      <c r="F1649" s="28"/>
      <c r="G1649" s="25"/>
      <c r="H1649" s="25"/>
      <c r="I1649" s="25"/>
      <c r="J1649" s="25"/>
      <c r="K1649" s="25"/>
      <c r="L1649" s="25"/>
      <c r="M1649" s="25"/>
      <c r="N1649" s="25"/>
      <c r="O1649" s="25"/>
      <c r="P1649" s="25"/>
      <c r="Q1649" s="25"/>
      <c r="R1649" s="25"/>
      <c r="S1649" s="25"/>
      <c r="T1649" s="14"/>
      <c r="U1649" s="12"/>
      <c r="V1649" s="12"/>
      <c r="W1649" s="12"/>
      <c r="X1649" s="12"/>
      <c r="Y1649" s="12"/>
      <c r="Z1649" s="12"/>
      <c r="AA1649" s="12"/>
      <c r="AB1649" s="12"/>
      <c r="AC1649" s="12"/>
      <c r="AD1649" s="12"/>
      <c r="AE1649" s="12"/>
      <c r="AF1649" s="12"/>
    </row>
    <row r="1650" spans="1:32" x14ac:dyDescent="0.35">
      <c r="A1650" s="15"/>
      <c r="B1650" s="23"/>
      <c r="C1650" s="26"/>
      <c r="D1650" s="27"/>
      <c r="E1650" s="27"/>
      <c r="F1650" s="28"/>
      <c r="G1650" s="25"/>
      <c r="H1650" s="25"/>
      <c r="I1650" s="25"/>
      <c r="J1650" s="25"/>
      <c r="K1650" s="25"/>
      <c r="L1650" s="25"/>
      <c r="M1650" s="25"/>
      <c r="N1650" s="25"/>
      <c r="O1650" s="25"/>
      <c r="P1650" s="25"/>
      <c r="Q1650" s="25"/>
      <c r="R1650" s="25"/>
      <c r="S1650" s="25"/>
      <c r="T1650" s="14"/>
      <c r="U1650" s="12"/>
      <c r="V1650" s="12"/>
      <c r="W1650" s="12"/>
      <c r="X1650" s="12"/>
      <c r="Y1650" s="12"/>
      <c r="Z1650" s="12"/>
      <c r="AA1650" s="12"/>
      <c r="AB1650" s="12"/>
      <c r="AC1650" s="12"/>
      <c r="AD1650" s="12"/>
      <c r="AE1650" s="12"/>
      <c r="AF1650" s="12"/>
    </row>
    <row r="1651" spans="1:32" x14ac:dyDescent="0.35">
      <c r="A1651" s="15"/>
      <c r="B1651" s="23"/>
      <c r="C1651" s="26"/>
      <c r="D1651" s="27"/>
      <c r="E1651" s="27"/>
      <c r="F1651" s="28"/>
      <c r="G1651" s="25"/>
      <c r="H1651" s="25"/>
      <c r="I1651" s="25"/>
      <c r="J1651" s="25"/>
      <c r="K1651" s="25"/>
      <c r="L1651" s="25"/>
      <c r="M1651" s="25"/>
      <c r="N1651" s="25"/>
      <c r="O1651" s="25"/>
      <c r="P1651" s="25"/>
      <c r="Q1651" s="25"/>
      <c r="R1651" s="25"/>
      <c r="S1651" s="25"/>
      <c r="T1651" s="14"/>
      <c r="U1651" s="12"/>
      <c r="V1651" s="12"/>
      <c r="W1651" s="12"/>
      <c r="X1651" s="12"/>
      <c r="Y1651" s="12"/>
      <c r="Z1651" s="12"/>
      <c r="AA1651" s="12"/>
      <c r="AB1651" s="12"/>
      <c r="AC1651" s="12"/>
      <c r="AD1651" s="12"/>
      <c r="AE1651" s="12"/>
      <c r="AF1651" s="12"/>
    </row>
    <row r="1652" spans="1:32" x14ac:dyDescent="0.35">
      <c r="A1652" s="15"/>
      <c r="B1652" s="23"/>
      <c r="C1652" s="26"/>
      <c r="D1652" s="27"/>
      <c r="E1652" s="27"/>
      <c r="F1652" s="28"/>
      <c r="G1652" s="25"/>
      <c r="H1652" s="25"/>
      <c r="I1652" s="25"/>
      <c r="J1652" s="25"/>
      <c r="K1652" s="25"/>
      <c r="L1652" s="25"/>
      <c r="M1652" s="25"/>
      <c r="N1652" s="25"/>
      <c r="O1652" s="25"/>
      <c r="P1652" s="25"/>
      <c r="Q1652" s="25"/>
      <c r="R1652" s="25"/>
      <c r="S1652" s="25"/>
      <c r="T1652" s="14"/>
      <c r="U1652" s="12"/>
      <c r="V1652" s="12"/>
      <c r="W1652" s="12"/>
      <c r="X1652" s="12"/>
      <c r="Y1652" s="12"/>
      <c r="Z1652" s="12"/>
      <c r="AA1652" s="12"/>
      <c r="AB1652" s="12"/>
      <c r="AC1652" s="12"/>
      <c r="AD1652" s="12"/>
      <c r="AE1652" s="12"/>
      <c r="AF1652" s="12"/>
    </row>
    <row r="1653" spans="1:32" x14ac:dyDescent="0.35">
      <c r="A1653" s="15"/>
      <c r="B1653" s="23"/>
      <c r="C1653" s="26"/>
      <c r="D1653" s="27"/>
      <c r="E1653" s="27"/>
      <c r="F1653" s="28"/>
      <c r="G1653" s="25"/>
      <c r="H1653" s="25"/>
      <c r="I1653" s="25"/>
      <c r="J1653" s="25"/>
      <c r="K1653" s="25"/>
      <c r="L1653" s="25"/>
      <c r="M1653" s="25"/>
      <c r="N1653" s="25"/>
      <c r="O1653" s="25"/>
      <c r="P1653" s="25"/>
      <c r="Q1653" s="25"/>
      <c r="R1653" s="25"/>
      <c r="S1653" s="25"/>
      <c r="T1653" s="14"/>
      <c r="U1653" s="12"/>
      <c r="V1653" s="12"/>
      <c r="W1653" s="12"/>
      <c r="X1653" s="12"/>
      <c r="Y1653" s="12"/>
      <c r="Z1653" s="12"/>
      <c r="AA1653" s="12"/>
      <c r="AB1653" s="12"/>
      <c r="AC1653" s="12"/>
      <c r="AD1653" s="12"/>
      <c r="AE1653" s="12"/>
      <c r="AF1653" s="12"/>
    </row>
    <row r="1654" spans="1:32" x14ac:dyDescent="0.35">
      <c r="A1654" s="15"/>
      <c r="B1654" s="23"/>
      <c r="C1654" s="26"/>
      <c r="D1654" s="27"/>
      <c r="E1654" s="27"/>
      <c r="F1654" s="28"/>
      <c r="G1654" s="25"/>
      <c r="H1654" s="25"/>
      <c r="I1654" s="25"/>
      <c r="J1654" s="25"/>
      <c r="K1654" s="25"/>
      <c r="L1654" s="25"/>
      <c r="M1654" s="25"/>
      <c r="N1654" s="25"/>
      <c r="O1654" s="25"/>
      <c r="P1654" s="25"/>
      <c r="Q1654" s="25"/>
      <c r="R1654" s="25"/>
      <c r="S1654" s="25"/>
      <c r="T1654" s="14"/>
      <c r="U1654" s="12"/>
      <c r="V1654" s="12"/>
      <c r="W1654" s="12"/>
      <c r="X1654" s="12"/>
      <c r="Y1654" s="12"/>
      <c r="Z1654" s="12"/>
      <c r="AA1654" s="12"/>
      <c r="AB1654" s="12"/>
      <c r="AC1654" s="12"/>
      <c r="AD1654" s="12"/>
      <c r="AE1654" s="12"/>
      <c r="AF1654" s="12"/>
    </row>
    <row r="1655" spans="1:32" x14ac:dyDescent="0.35">
      <c r="A1655" s="15"/>
      <c r="B1655" s="23"/>
      <c r="C1655" s="26"/>
      <c r="D1655" s="27"/>
      <c r="E1655" s="27"/>
      <c r="F1655" s="28"/>
      <c r="G1655" s="25"/>
      <c r="H1655" s="25"/>
      <c r="I1655" s="25"/>
      <c r="J1655" s="25"/>
      <c r="K1655" s="25"/>
      <c r="L1655" s="25"/>
      <c r="M1655" s="25"/>
      <c r="N1655" s="25"/>
      <c r="O1655" s="25"/>
      <c r="P1655" s="25"/>
      <c r="Q1655" s="25"/>
      <c r="R1655" s="25"/>
      <c r="S1655" s="25"/>
      <c r="T1655" s="14"/>
      <c r="U1655" s="12"/>
      <c r="V1655" s="12"/>
      <c r="W1655" s="12"/>
      <c r="X1655" s="12"/>
      <c r="Y1655" s="12"/>
      <c r="Z1655" s="12"/>
      <c r="AA1655" s="12"/>
      <c r="AB1655" s="12"/>
      <c r="AC1655" s="12"/>
      <c r="AD1655" s="12"/>
      <c r="AE1655" s="12"/>
      <c r="AF1655" s="12"/>
    </row>
    <row r="1656" spans="1:32" x14ac:dyDescent="0.35">
      <c r="A1656" s="15"/>
      <c r="B1656" s="23"/>
      <c r="C1656" s="26"/>
      <c r="D1656" s="27"/>
      <c r="E1656" s="27"/>
      <c r="F1656" s="28"/>
      <c r="G1656" s="25"/>
      <c r="H1656" s="25"/>
      <c r="I1656" s="25"/>
      <c r="J1656" s="25"/>
      <c r="K1656" s="25"/>
      <c r="L1656" s="25"/>
      <c r="M1656" s="25"/>
      <c r="N1656" s="25"/>
      <c r="O1656" s="25"/>
      <c r="P1656" s="25"/>
      <c r="Q1656" s="25"/>
      <c r="R1656" s="25"/>
      <c r="S1656" s="25"/>
      <c r="T1656" s="14"/>
    </row>
    <row r="1657" spans="1:32" x14ac:dyDescent="0.35">
      <c r="A1657" s="15"/>
      <c r="B1657" s="23"/>
      <c r="C1657" s="26"/>
      <c r="D1657" s="27"/>
      <c r="E1657" s="27"/>
      <c r="F1657" s="28"/>
      <c r="G1657" s="25"/>
      <c r="H1657" s="25"/>
      <c r="I1657" s="25"/>
      <c r="J1657" s="25"/>
      <c r="K1657" s="25"/>
      <c r="L1657" s="25"/>
      <c r="M1657" s="25"/>
      <c r="N1657" s="25"/>
      <c r="O1657" s="25"/>
      <c r="P1657" s="25"/>
      <c r="Q1657" s="25"/>
      <c r="R1657" s="25"/>
      <c r="S1657" s="25"/>
      <c r="T1657" s="22"/>
    </row>
    <row r="1658" spans="1:32" x14ac:dyDescent="0.35">
      <c r="A1658" s="15"/>
      <c r="B1658" s="23"/>
      <c r="C1658" s="26"/>
      <c r="D1658" s="27"/>
      <c r="E1658" s="27"/>
      <c r="F1658" s="28"/>
      <c r="G1658" s="25"/>
      <c r="H1658" s="25"/>
      <c r="I1658" s="25"/>
      <c r="J1658" s="25"/>
      <c r="K1658" s="25"/>
      <c r="L1658" s="25"/>
      <c r="M1658" s="25"/>
      <c r="N1658" s="25"/>
      <c r="O1658" s="25"/>
      <c r="P1658" s="25"/>
      <c r="Q1658" s="25"/>
      <c r="R1658" s="25"/>
      <c r="S1658" s="25"/>
      <c r="T1658" s="22"/>
    </row>
    <row r="1659" spans="1:32" x14ac:dyDescent="0.35">
      <c r="A1659" s="15"/>
      <c r="B1659" s="23"/>
      <c r="C1659" s="26"/>
      <c r="D1659" s="27"/>
      <c r="E1659" s="27"/>
      <c r="F1659" s="28"/>
      <c r="G1659" s="25"/>
      <c r="H1659" s="25"/>
      <c r="I1659" s="25"/>
      <c r="J1659" s="25"/>
      <c r="K1659" s="25"/>
      <c r="L1659" s="25"/>
      <c r="M1659" s="25"/>
      <c r="N1659" s="25"/>
      <c r="O1659" s="25"/>
      <c r="P1659" s="25"/>
      <c r="Q1659" s="25"/>
      <c r="R1659" s="25"/>
      <c r="S1659" s="25"/>
      <c r="T1659" s="22"/>
    </row>
    <row r="1660" spans="1:32" x14ac:dyDescent="0.35">
      <c r="A1660" s="15"/>
      <c r="B1660" s="23"/>
      <c r="C1660" s="26"/>
      <c r="D1660" s="27"/>
      <c r="E1660" s="27"/>
      <c r="F1660" s="28"/>
      <c r="G1660" s="25"/>
      <c r="H1660" s="25"/>
      <c r="I1660" s="25"/>
      <c r="J1660" s="25"/>
      <c r="K1660" s="25"/>
      <c r="L1660" s="25"/>
      <c r="M1660" s="25"/>
      <c r="N1660" s="25"/>
      <c r="O1660" s="25"/>
      <c r="P1660" s="25"/>
      <c r="Q1660" s="25"/>
      <c r="R1660" s="25"/>
      <c r="S1660" s="25"/>
      <c r="T1660" s="22"/>
    </row>
    <row r="1661" spans="1:32" x14ac:dyDescent="0.35">
      <c r="A1661" s="15"/>
      <c r="B1661" s="23"/>
      <c r="C1661" s="26"/>
      <c r="D1661" s="27"/>
      <c r="E1661" s="27"/>
      <c r="F1661" s="28"/>
      <c r="G1661" s="25"/>
      <c r="H1661" s="25"/>
      <c r="I1661" s="25"/>
      <c r="J1661" s="25"/>
      <c r="K1661" s="25"/>
      <c r="L1661" s="25"/>
      <c r="M1661" s="25"/>
      <c r="N1661" s="25"/>
      <c r="O1661" s="25"/>
      <c r="P1661" s="25"/>
      <c r="Q1661" s="25"/>
      <c r="R1661" s="25"/>
      <c r="S1661" s="25"/>
      <c r="T1661" s="22"/>
    </row>
    <row r="1662" spans="1:32" x14ac:dyDescent="0.35">
      <c r="A1662" s="15"/>
      <c r="B1662" s="23"/>
      <c r="C1662" s="26"/>
      <c r="D1662" s="27"/>
      <c r="E1662" s="27"/>
      <c r="F1662" s="28"/>
      <c r="G1662" s="25"/>
      <c r="H1662" s="25"/>
      <c r="I1662" s="25"/>
      <c r="J1662" s="25"/>
      <c r="K1662" s="25"/>
      <c r="L1662" s="25"/>
      <c r="M1662" s="25"/>
      <c r="N1662" s="25"/>
      <c r="O1662" s="25"/>
      <c r="P1662" s="25"/>
      <c r="Q1662" s="25"/>
      <c r="R1662" s="25"/>
      <c r="S1662" s="25"/>
      <c r="T1662" s="22"/>
    </row>
    <row r="1663" spans="1:32" x14ac:dyDescent="0.35">
      <c r="A1663" s="15"/>
      <c r="B1663" s="23"/>
      <c r="C1663" s="26"/>
      <c r="D1663" s="27"/>
      <c r="E1663" s="27"/>
      <c r="F1663" s="28"/>
      <c r="G1663" s="25"/>
      <c r="H1663" s="25"/>
      <c r="I1663" s="25"/>
      <c r="J1663" s="25"/>
      <c r="K1663" s="25"/>
      <c r="L1663" s="25"/>
      <c r="M1663" s="25"/>
      <c r="N1663" s="25"/>
      <c r="O1663" s="25"/>
      <c r="P1663" s="25"/>
      <c r="Q1663" s="25"/>
      <c r="R1663" s="25"/>
      <c r="S1663" s="25"/>
      <c r="T1663" s="22"/>
    </row>
    <row r="1664" spans="1:32" x14ac:dyDescent="0.35">
      <c r="A1664" s="15"/>
      <c r="B1664" s="23"/>
      <c r="C1664" s="26"/>
      <c r="D1664" s="27"/>
      <c r="E1664" s="27"/>
      <c r="F1664" s="28"/>
      <c r="G1664" s="25"/>
      <c r="H1664" s="25"/>
      <c r="I1664" s="25"/>
      <c r="J1664" s="25"/>
      <c r="K1664" s="25"/>
      <c r="L1664" s="25"/>
      <c r="M1664" s="25"/>
      <c r="N1664" s="25"/>
      <c r="O1664" s="25"/>
      <c r="P1664" s="25"/>
      <c r="Q1664" s="25"/>
      <c r="R1664" s="25"/>
      <c r="S1664" s="25"/>
      <c r="T1664" s="22"/>
    </row>
    <row r="1665" spans="1:20" x14ac:dyDescent="0.35">
      <c r="A1665" s="15"/>
      <c r="B1665" s="23"/>
      <c r="C1665" s="26"/>
      <c r="D1665" s="27"/>
      <c r="E1665" s="27"/>
      <c r="F1665" s="28"/>
      <c r="G1665" s="25"/>
      <c r="H1665" s="25"/>
      <c r="I1665" s="25"/>
      <c r="J1665" s="25"/>
      <c r="K1665" s="25"/>
      <c r="L1665" s="25"/>
      <c r="M1665" s="25"/>
      <c r="N1665" s="25"/>
      <c r="O1665" s="25"/>
      <c r="P1665" s="25"/>
      <c r="Q1665" s="25"/>
      <c r="R1665" s="25"/>
      <c r="S1665" s="25"/>
      <c r="T1665" s="22"/>
    </row>
    <row r="1666" spans="1:20" x14ac:dyDescent="0.35">
      <c r="A1666" s="15"/>
      <c r="B1666" s="23"/>
      <c r="C1666" s="26"/>
      <c r="D1666" s="27"/>
      <c r="E1666" s="27"/>
      <c r="F1666" s="28"/>
      <c r="G1666" s="25"/>
      <c r="H1666" s="25"/>
      <c r="I1666" s="25"/>
      <c r="J1666" s="25"/>
      <c r="K1666" s="25"/>
      <c r="L1666" s="25"/>
      <c r="M1666" s="25"/>
      <c r="N1666" s="25"/>
      <c r="O1666" s="25"/>
      <c r="P1666" s="25"/>
      <c r="Q1666" s="25"/>
      <c r="R1666" s="25"/>
      <c r="S1666" s="25"/>
      <c r="T1666" s="14"/>
    </row>
    <row r="1667" spans="1:20" x14ac:dyDescent="0.35">
      <c r="A1667" s="15"/>
      <c r="B1667" s="23"/>
      <c r="C1667" s="26"/>
      <c r="D1667" s="27"/>
      <c r="E1667" s="27"/>
      <c r="F1667" s="28"/>
      <c r="G1667" s="25"/>
      <c r="H1667" s="25"/>
      <c r="I1667" s="25"/>
      <c r="J1667" s="25"/>
      <c r="K1667" s="25"/>
      <c r="L1667" s="25"/>
      <c r="M1667" s="25"/>
      <c r="N1667" s="25"/>
      <c r="O1667" s="25"/>
      <c r="P1667" s="25"/>
      <c r="Q1667" s="25"/>
      <c r="R1667" s="25"/>
      <c r="S1667" s="25"/>
      <c r="T1667" s="14"/>
    </row>
    <row r="1668" spans="1:20" x14ac:dyDescent="0.35">
      <c r="A1668" s="15"/>
      <c r="B1668" s="23"/>
      <c r="C1668" s="26"/>
      <c r="D1668" s="27"/>
      <c r="E1668" s="27"/>
      <c r="F1668" s="28"/>
      <c r="G1668" s="25"/>
      <c r="H1668" s="25"/>
      <c r="I1668" s="25"/>
      <c r="J1668" s="25"/>
      <c r="K1668" s="25"/>
      <c r="L1668" s="25"/>
      <c r="M1668" s="25"/>
      <c r="N1668" s="25"/>
      <c r="O1668" s="25"/>
      <c r="P1668" s="25"/>
      <c r="Q1668" s="25"/>
      <c r="R1668" s="25"/>
      <c r="S1668" s="25"/>
      <c r="T1668" s="14"/>
    </row>
    <row r="1669" spans="1:20" x14ac:dyDescent="0.35">
      <c r="A1669" s="15"/>
      <c r="B1669" s="23"/>
      <c r="C1669" s="26"/>
      <c r="D1669" s="27"/>
      <c r="E1669" s="27"/>
      <c r="F1669" s="28"/>
      <c r="G1669" s="25"/>
      <c r="H1669" s="25"/>
      <c r="I1669" s="25"/>
      <c r="J1669" s="25"/>
      <c r="K1669" s="25"/>
      <c r="L1669" s="25"/>
      <c r="M1669" s="25"/>
      <c r="N1669" s="25"/>
      <c r="O1669" s="25"/>
      <c r="P1669" s="25"/>
      <c r="Q1669" s="25"/>
      <c r="R1669" s="25"/>
      <c r="S1669" s="25"/>
      <c r="T1669" s="14"/>
    </row>
    <row r="1670" spans="1:20" x14ac:dyDescent="0.35">
      <c r="A1670" s="15"/>
      <c r="B1670" s="23"/>
      <c r="C1670" s="26"/>
      <c r="D1670" s="27"/>
      <c r="E1670" s="27"/>
      <c r="F1670" s="28"/>
      <c r="G1670" s="25"/>
      <c r="H1670" s="25"/>
      <c r="I1670" s="25"/>
      <c r="J1670" s="25"/>
      <c r="K1670" s="25"/>
      <c r="L1670" s="25"/>
      <c r="M1670" s="25"/>
      <c r="N1670" s="25"/>
      <c r="O1670" s="25"/>
      <c r="P1670" s="25"/>
      <c r="Q1670" s="25"/>
      <c r="R1670" s="25"/>
      <c r="S1670" s="25"/>
      <c r="T1670" s="14"/>
    </row>
    <row r="1671" spans="1:20" x14ac:dyDescent="0.35">
      <c r="A1671" s="15"/>
      <c r="B1671" s="23"/>
      <c r="C1671" s="26"/>
      <c r="D1671" s="27"/>
      <c r="E1671" s="27"/>
      <c r="F1671" s="28"/>
      <c r="G1671" s="25"/>
      <c r="H1671" s="25"/>
      <c r="I1671" s="25"/>
      <c r="J1671" s="25"/>
      <c r="K1671" s="25"/>
      <c r="L1671" s="25"/>
      <c r="M1671" s="25"/>
      <c r="N1671" s="25"/>
      <c r="O1671" s="25"/>
      <c r="P1671" s="25"/>
      <c r="Q1671" s="25"/>
      <c r="R1671" s="25"/>
      <c r="S1671" s="25"/>
      <c r="T1671" s="14"/>
    </row>
    <row r="1672" spans="1:20" x14ac:dyDescent="0.35">
      <c r="A1672" s="15"/>
      <c r="B1672" s="23"/>
      <c r="C1672" s="26"/>
      <c r="D1672" s="27"/>
      <c r="E1672" s="27"/>
      <c r="F1672" s="28"/>
      <c r="G1672" s="25"/>
      <c r="H1672" s="25"/>
      <c r="I1672" s="25"/>
      <c r="J1672" s="25"/>
      <c r="K1672" s="25"/>
      <c r="L1672" s="25"/>
      <c r="M1672" s="25"/>
      <c r="N1672" s="25"/>
      <c r="O1672" s="25"/>
      <c r="P1672" s="25"/>
      <c r="Q1672" s="25"/>
      <c r="R1672" s="25"/>
      <c r="S1672" s="25"/>
      <c r="T1672" s="14"/>
    </row>
    <row r="1673" spans="1:20" x14ac:dyDescent="0.35">
      <c r="A1673" s="15"/>
      <c r="B1673" s="23"/>
      <c r="C1673" s="26"/>
      <c r="D1673" s="27"/>
      <c r="E1673" s="27"/>
      <c r="F1673" s="28"/>
      <c r="G1673" s="25"/>
      <c r="H1673" s="25"/>
      <c r="I1673" s="25"/>
      <c r="J1673" s="25"/>
      <c r="K1673" s="25"/>
      <c r="L1673" s="25"/>
      <c r="M1673" s="25"/>
      <c r="N1673" s="25"/>
      <c r="O1673" s="25"/>
      <c r="P1673" s="25"/>
      <c r="Q1673" s="25"/>
      <c r="R1673" s="25"/>
      <c r="S1673" s="25"/>
      <c r="T1673" s="14"/>
    </row>
    <row r="1674" spans="1:20" x14ac:dyDescent="0.35">
      <c r="A1674" s="21"/>
      <c r="B1674" s="23"/>
      <c r="C1674" s="26"/>
      <c r="D1674" s="27"/>
      <c r="E1674" s="27"/>
      <c r="F1674" s="28"/>
      <c r="G1674" s="25"/>
      <c r="H1674" s="25"/>
      <c r="I1674" s="25"/>
      <c r="J1674" s="25"/>
      <c r="K1674" s="25"/>
      <c r="L1674" s="25"/>
      <c r="M1674" s="25"/>
      <c r="N1674" s="25"/>
      <c r="O1674" s="25"/>
      <c r="P1674" s="25"/>
      <c r="Q1674" s="25"/>
      <c r="R1674" s="25"/>
      <c r="S1674" s="25"/>
      <c r="T1674" s="14"/>
    </row>
    <row r="1675" spans="1:20" x14ac:dyDescent="0.35">
      <c r="A1675" s="21"/>
      <c r="B1675" s="23"/>
      <c r="C1675" s="26"/>
      <c r="D1675" s="27"/>
      <c r="E1675" s="27"/>
      <c r="F1675" s="28"/>
      <c r="G1675" s="25"/>
      <c r="H1675" s="25"/>
      <c r="I1675" s="25"/>
      <c r="J1675" s="25"/>
      <c r="K1675" s="25"/>
      <c r="L1675" s="25"/>
      <c r="M1675" s="25"/>
      <c r="N1675" s="25"/>
      <c r="O1675" s="25"/>
      <c r="P1675" s="25"/>
      <c r="Q1675" s="25"/>
      <c r="R1675" s="25"/>
      <c r="S1675" s="25"/>
      <c r="T1675" s="14"/>
    </row>
    <row r="1676" spans="1:20" x14ac:dyDescent="0.35">
      <c r="A1676" s="21"/>
      <c r="B1676" s="23"/>
      <c r="C1676" s="26"/>
      <c r="D1676" s="27"/>
      <c r="E1676" s="27"/>
      <c r="F1676" s="28"/>
      <c r="G1676" s="25"/>
      <c r="H1676" s="25"/>
      <c r="I1676" s="25"/>
      <c r="J1676" s="25"/>
      <c r="K1676" s="25"/>
      <c r="L1676" s="25"/>
      <c r="M1676" s="25"/>
      <c r="N1676" s="25"/>
      <c r="O1676" s="25"/>
      <c r="P1676" s="25"/>
      <c r="Q1676" s="25"/>
      <c r="R1676" s="25"/>
      <c r="S1676" s="25"/>
      <c r="T1676" s="14"/>
    </row>
    <row r="1677" spans="1:20" x14ac:dyDescent="0.35">
      <c r="A1677" s="21"/>
      <c r="B1677" s="23"/>
      <c r="C1677" s="26"/>
      <c r="D1677" s="27"/>
      <c r="E1677" s="27"/>
      <c r="F1677" s="28"/>
      <c r="G1677" s="25"/>
      <c r="H1677" s="25"/>
      <c r="I1677" s="25"/>
      <c r="J1677" s="25"/>
      <c r="K1677" s="25"/>
      <c r="L1677" s="25"/>
      <c r="M1677" s="25"/>
      <c r="N1677" s="25"/>
      <c r="O1677" s="25"/>
      <c r="P1677" s="25"/>
      <c r="Q1677" s="25"/>
      <c r="R1677" s="25"/>
      <c r="S1677" s="25"/>
      <c r="T1677" s="14"/>
    </row>
    <row r="1678" spans="1:20" x14ac:dyDescent="0.35">
      <c r="A1678" s="21"/>
      <c r="B1678" s="23"/>
      <c r="C1678" s="26"/>
      <c r="D1678" s="27"/>
      <c r="E1678" s="27"/>
      <c r="F1678" s="28"/>
      <c r="G1678" s="25"/>
      <c r="H1678" s="25"/>
      <c r="I1678" s="25"/>
      <c r="J1678" s="25"/>
      <c r="K1678" s="25"/>
      <c r="L1678" s="25"/>
      <c r="M1678" s="25"/>
      <c r="N1678" s="25"/>
      <c r="O1678" s="25"/>
      <c r="P1678" s="25"/>
      <c r="Q1678" s="25"/>
      <c r="R1678" s="25"/>
      <c r="S1678" s="25"/>
      <c r="T1678" s="14"/>
    </row>
    <row r="1679" spans="1:20" x14ac:dyDescent="0.35">
      <c r="A1679" s="21"/>
      <c r="B1679" s="23"/>
      <c r="C1679" s="26"/>
      <c r="D1679" s="27"/>
      <c r="E1679" s="27"/>
      <c r="F1679" s="28"/>
      <c r="G1679" s="25"/>
      <c r="H1679" s="25"/>
      <c r="I1679" s="25"/>
      <c r="J1679" s="25"/>
      <c r="K1679" s="25"/>
      <c r="L1679" s="25"/>
      <c r="M1679" s="25"/>
      <c r="N1679" s="25"/>
      <c r="O1679" s="25"/>
      <c r="P1679" s="25"/>
      <c r="Q1679" s="25"/>
      <c r="R1679" s="25"/>
      <c r="S1679" s="25"/>
      <c r="T1679" s="14"/>
    </row>
    <row r="1680" spans="1:20" x14ac:dyDescent="0.35">
      <c r="A1680" s="21"/>
      <c r="B1680" s="23"/>
      <c r="C1680" s="26"/>
      <c r="D1680" s="27"/>
      <c r="E1680" s="27"/>
      <c r="F1680" s="28"/>
      <c r="G1680" s="25"/>
      <c r="H1680" s="25"/>
      <c r="I1680" s="25"/>
      <c r="J1680" s="25"/>
      <c r="K1680" s="25"/>
      <c r="L1680" s="25"/>
      <c r="M1680" s="25"/>
      <c r="N1680" s="25"/>
      <c r="O1680" s="25"/>
      <c r="P1680" s="25"/>
      <c r="Q1680" s="25"/>
      <c r="R1680" s="25"/>
      <c r="S1680" s="25"/>
      <c r="T1680" s="14"/>
    </row>
    <row r="1681" spans="1:20" x14ac:dyDescent="0.35">
      <c r="A1681" s="21"/>
      <c r="B1681" s="23"/>
      <c r="C1681" s="26"/>
      <c r="D1681" s="27"/>
      <c r="E1681" s="27"/>
      <c r="F1681" s="28"/>
      <c r="G1681" s="25"/>
      <c r="H1681" s="25"/>
      <c r="I1681" s="25"/>
      <c r="J1681" s="25"/>
      <c r="K1681" s="25"/>
      <c r="L1681" s="25"/>
      <c r="M1681" s="25"/>
      <c r="N1681" s="25"/>
      <c r="O1681" s="25"/>
      <c r="P1681" s="25"/>
      <c r="Q1681" s="25"/>
      <c r="R1681" s="25"/>
      <c r="S1681" s="25"/>
      <c r="T1681" s="22"/>
    </row>
    <row r="1682" spans="1:20" x14ac:dyDescent="0.35">
      <c r="A1682" s="21"/>
      <c r="B1682" s="23"/>
      <c r="C1682" s="26"/>
      <c r="D1682" s="27"/>
      <c r="E1682" s="27"/>
      <c r="F1682" s="28"/>
      <c r="G1682" s="25"/>
      <c r="H1682" s="25"/>
      <c r="I1682" s="25"/>
      <c r="J1682" s="25"/>
      <c r="K1682" s="25"/>
      <c r="L1682" s="25"/>
      <c r="M1682" s="25"/>
      <c r="N1682" s="25"/>
      <c r="O1682" s="25"/>
      <c r="P1682" s="25"/>
      <c r="Q1682" s="25"/>
      <c r="R1682" s="25"/>
      <c r="S1682" s="25"/>
      <c r="T1682" s="22"/>
    </row>
    <row r="1683" spans="1:20" x14ac:dyDescent="0.35">
      <c r="A1683" s="21"/>
      <c r="B1683" s="23"/>
      <c r="C1683" s="26"/>
      <c r="D1683" s="27"/>
      <c r="E1683" s="27"/>
      <c r="F1683" s="28"/>
      <c r="G1683" s="25"/>
      <c r="H1683" s="25"/>
      <c r="I1683" s="25"/>
      <c r="J1683" s="25"/>
      <c r="K1683" s="25"/>
      <c r="L1683" s="25"/>
      <c r="M1683" s="25"/>
      <c r="N1683" s="25"/>
      <c r="O1683" s="25"/>
      <c r="P1683" s="25"/>
      <c r="Q1683" s="25"/>
      <c r="R1683" s="25"/>
      <c r="S1683" s="25"/>
      <c r="T1683" s="22"/>
    </row>
    <row r="1684" spans="1:20" x14ac:dyDescent="0.35">
      <c r="A1684" s="21"/>
      <c r="B1684" s="23"/>
      <c r="C1684" s="26"/>
      <c r="D1684" s="27"/>
      <c r="E1684" s="27"/>
      <c r="F1684" s="28"/>
      <c r="G1684" s="25"/>
      <c r="H1684" s="25"/>
      <c r="I1684" s="25"/>
      <c r="J1684" s="25"/>
      <c r="K1684" s="25"/>
      <c r="L1684" s="25"/>
      <c r="M1684" s="25"/>
      <c r="N1684" s="25"/>
      <c r="O1684" s="25"/>
      <c r="P1684" s="25"/>
      <c r="Q1684" s="25"/>
      <c r="R1684" s="25"/>
      <c r="S1684" s="25"/>
      <c r="T1684" s="22"/>
    </row>
    <row r="1685" spans="1:20" x14ac:dyDescent="0.35">
      <c r="A1685" s="21"/>
      <c r="B1685" s="23"/>
      <c r="C1685" s="26"/>
      <c r="D1685" s="27"/>
      <c r="E1685" s="27"/>
      <c r="F1685" s="28"/>
      <c r="G1685" s="25"/>
      <c r="H1685" s="25"/>
      <c r="I1685" s="25"/>
      <c r="J1685" s="25"/>
      <c r="K1685" s="25"/>
      <c r="L1685" s="25"/>
      <c r="M1685" s="25"/>
      <c r="N1685" s="25"/>
      <c r="O1685" s="25"/>
      <c r="P1685" s="25"/>
      <c r="Q1685" s="25"/>
      <c r="R1685" s="25"/>
      <c r="S1685" s="25"/>
      <c r="T1685" s="22"/>
    </row>
    <row r="1686" spans="1:20" x14ac:dyDescent="0.35">
      <c r="A1686" s="21"/>
      <c r="B1686" s="23"/>
      <c r="C1686" s="26"/>
      <c r="D1686" s="27"/>
      <c r="E1686" s="27"/>
      <c r="F1686" s="28"/>
      <c r="G1686" s="25"/>
      <c r="H1686" s="25"/>
      <c r="I1686" s="25"/>
      <c r="J1686" s="25"/>
      <c r="K1686" s="25"/>
      <c r="L1686" s="25"/>
      <c r="M1686" s="25"/>
      <c r="N1686" s="25"/>
      <c r="O1686" s="25"/>
      <c r="P1686" s="25"/>
      <c r="Q1686" s="25"/>
      <c r="R1686" s="25"/>
      <c r="S1686" s="25"/>
      <c r="T1686" s="22"/>
    </row>
    <row r="1687" spans="1:20" x14ac:dyDescent="0.35">
      <c r="A1687" s="21"/>
      <c r="B1687" s="23"/>
      <c r="C1687" s="26"/>
      <c r="D1687" s="27"/>
      <c r="E1687" s="27"/>
      <c r="F1687" s="28"/>
      <c r="G1687" s="25"/>
      <c r="H1687" s="25"/>
      <c r="I1687" s="25"/>
      <c r="J1687" s="25"/>
      <c r="K1687" s="25"/>
      <c r="L1687" s="25"/>
      <c r="M1687" s="25"/>
      <c r="N1687" s="25"/>
      <c r="O1687" s="25"/>
      <c r="P1687" s="25"/>
      <c r="Q1687" s="25"/>
      <c r="R1687" s="25"/>
      <c r="S1687" s="25"/>
      <c r="T1687" s="22"/>
    </row>
    <row r="1688" spans="1:20" x14ac:dyDescent="0.35">
      <c r="A1688" s="21"/>
      <c r="B1688" s="23"/>
      <c r="C1688" s="26"/>
      <c r="D1688" s="27"/>
      <c r="E1688" s="27"/>
      <c r="F1688" s="28"/>
      <c r="G1688" s="25"/>
      <c r="H1688" s="25"/>
      <c r="I1688" s="25"/>
      <c r="J1688" s="25"/>
      <c r="K1688" s="25"/>
      <c r="L1688" s="25"/>
      <c r="M1688" s="25"/>
      <c r="N1688" s="25"/>
      <c r="O1688" s="25"/>
      <c r="P1688" s="25"/>
      <c r="Q1688" s="25"/>
      <c r="R1688" s="25"/>
      <c r="S1688" s="25"/>
      <c r="T1688" s="22"/>
    </row>
    <row r="1689" spans="1:20" x14ac:dyDescent="0.35">
      <c r="A1689" s="21"/>
      <c r="B1689" s="23"/>
      <c r="C1689" s="26"/>
      <c r="D1689" s="27"/>
      <c r="E1689" s="27"/>
      <c r="F1689" s="28"/>
      <c r="G1689" s="25"/>
      <c r="H1689" s="25"/>
      <c r="I1689" s="25"/>
      <c r="J1689" s="25"/>
      <c r="K1689" s="25"/>
      <c r="L1689" s="25"/>
      <c r="M1689" s="25"/>
      <c r="N1689" s="25"/>
      <c r="O1689" s="25"/>
      <c r="P1689" s="25"/>
      <c r="Q1689" s="25"/>
      <c r="R1689" s="25"/>
      <c r="S1689" s="25"/>
      <c r="T1689" s="22"/>
    </row>
    <row r="1690" spans="1:20" x14ac:dyDescent="0.35">
      <c r="A1690" s="21"/>
      <c r="B1690" s="23"/>
      <c r="C1690" s="26"/>
      <c r="D1690" s="27"/>
      <c r="E1690" s="27"/>
      <c r="F1690" s="28"/>
      <c r="G1690" s="25"/>
      <c r="H1690" s="25"/>
      <c r="I1690" s="25"/>
      <c r="J1690" s="25"/>
      <c r="K1690" s="25"/>
      <c r="L1690" s="25"/>
      <c r="M1690" s="25"/>
      <c r="N1690" s="25"/>
      <c r="O1690" s="25"/>
      <c r="P1690" s="25"/>
      <c r="Q1690" s="25"/>
      <c r="R1690" s="25"/>
      <c r="S1690" s="25"/>
      <c r="T1690" s="22"/>
    </row>
    <row r="1691" spans="1:20" x14ac:dyDescent="0.35">
      <c r="A1691" s="21"/>
      <c r="B1691" s="23"/>
      <c r="C1691" s="26"/>
      <c r="D1691" s="27"/>
      <c r="E1691" s="27"/>
      <c r="F1691" s="28"/>
      <c r="G1691" s="25"/>
      <c r="H1691" s="25"/>
      <c r="I1691" s="25"/>
      <c r="J1691" s="25"/>
      <c r="K1691" s="25"/>
      <c r="L1691" s="25"/>
      <c r="M1691" s="25"/>
      <c r="N1691" s="25"/>
      <c r="O1691" s="25"/>
      <c r="P1691" s="25"/>
      <c r="Q1691" s="25"/>
      <c r="R1691" s="25"/>
      <c r="S1691" s="25"/>
      <c r="T1691" s="22"/>
    </row>
    <row r="1692" spans="1:20" x14ac:dyDescent="0.35">
      <c r="A1692" s="21"/>
      <c r="B1692" s="23"/>
      <c r="C1692" s="26"/>
      <c r="D1692" s="27"/>
      <c r="E1692" s="27"/>
      <c r="F1692" s="28"/>
      <c r="G1692" s="25"/>
      <c r="H1692" s="25"/>
      <c r="I1692" s="25"/>
      <c r="J1692" s="25"/>
      <c r="K1692" s="25"/>
      <c r="L1692" s="25"/>
      <c r="M1692" s="25"/>
      <c r="N1692" s="25"/>
      <c r="O1692" s="25"/>
      <c r="P1692" s="25"/>
      <c r="Q1692" s="25"/>
      <c r="R1692" s="25"/>
      <c r="S1692" s="25"/>
      <c r="T1692" s="22"/>
    </row>
    <row r="1693" spans="1:20" x14ac:dyDescent="0.35">
      <c r="A1693" s="21"/>
      <c r="B1693" s="23"/>
      <c r="C1693" s="26"/>
      <c r="D1693" s="27"/>
      <c r="E1693" s="27"/>
      <c r="F1693" s="28"/>
      <c r="G1693" s="25"/>
      <c r="H1693" s="25"/>
      <c r="I1693" s="25"/>
      <c r="J1693" s="25"/>
      <c r="K1693" s="25"/>
      <c r="L1693" s="25"/>
      <c r="M1693" s="25"/>
      <c r="N1693" s="25"/>
      <c r="O1693" s="25"/>
      <c r="P1693" s="25"/>
      <c r="Q1693" s="25"/>
      <c r="R1693" s="25"/>
      <c r="S1693" s="25"/>
      <c r="T1693" s="22"/>
    </row>
    <row r="1694" spans="1:20" x14ac:dyDescent="0.35">
      <c r="A1694" s="21"/>
      <c r="B1694" s="23"/>
      <c r="C1694" s="26"/>
      <c r="D1694" s="27"/>
      <c r="E1694" s="27"/>
      <c r="F1694" s="28"/>
      <c r="G1694" s="25"/>
      <c r="H1694" s="25"/>
      <c r="I1694" s="25"/>
      <c r="J1694" s="25"/>
      <c r="K1694" s="25"/>
      <c r="L1694" s="25"/>
      <c r="M1694" s="25"/>
      <c r="N1694" s="25"/>
      <c r="O1694" s="25"/>
      <c r="P1694" s="25"/>
      <c r="Q1694" s="25"/>
      <c r="R1694" s="25"/>
      <c r="S1694" s="25"/>
      <c r="T1694" s="22"/>
    </row>
    <row r="1695" spans="1:20" x14ac:dyDescent="0.35">
      <c r="A1695" s="21"/>
      <c r="B1695" s="23"/>
      <c r="C1695" s="26"/>
      <c r="D1695" s="27"/>
      <c r="E1695" s="27"/>
      <c r="F1695" s="28"/>
      <c r="G1695" s="25"/>
      <c r="H1695" s="25"/>
      <c r="I1695" s="25"/>
      <c r="J1695" s="25"/>
      <c r="K1695" s="25"/>
      <c r="L1695" s="25"/>
      <c r="M1695" s="25"/>
      <c r="N1695" s="25"/>
      <c r="O1695" s="25"/>
      <c r="P1695" s="25"/>
      <c r="Q1695" s="25"/>
      <c r="R1695" s="25"/>
      <c r="S1695" s="25"/>
      <c r="T1695" s="22"/>
    </row>
    <row r="1696" spans="1:20" x14ac:dyDescent="0.35">
      <c r="A1696" s="21"/>
      <c r="B1696" s="23"/>
      <c r="C1696" s="26"/>
      <c r="D1696" s="27"/>
      <c r="E1696" s="27"/>
      <c r="F1696" s="28"/>
      <c r="G1696" s="25"/>
      <c r="H1696" s="25"/>
      <c r="I1696" s="25"/>
      <c r="J1696" s="25"/>
      <c r="K1696" s="25"/>
      <c r="L1696" s="25"/>
      <c r="M1696" s="25"/>
      <c r="N1696" s="25"/>
      <c r="O1696" s="25"/>
      <c r="P1696" s="25"/>
      <c r="Q1696" s="25"/>
      <c r="R1696" s="25"/>
      <c r="S1696" s="25"/>
      <c r="T1696" s="22"/>
    </row>
    <row r="1697" spans="1:20" x14ac:dyDescent="0.35">
      <c r="A1697" s="21"/>
      <c r="B1697" s="23"/>
      <c r="C1697" s="26"/>
      <c r="D1697" s="27"/>
      <c r="E1697" s="27"/>
      <c r="F1697" s="28"/>
      <c r="G1697" s="25"/>
      <c r="H1697" s="25"/>
      <c r="I1697" s="25"/>
      <c r="J1697" s="25"/>
      <c r="K1697" s="25"/>
      <c r="L1697" s="25"/>
      <c r="M1697" s="25"/>
      <c r="N1697" s="25"/>
      <c r="O1697" s="25"/>
      <c r="P1697" s="25"/>
      <c r="Q1697" s="25"/>
      <c r="R1697" s="25"/>
      <c r="S1697" s="25"/>
      <c r="T1697" s="14"/>
    </row>
    <row r="1698" spans="1:20" x14ac:dyDescent="0.35">
      <c r="A1698" s="21"/>
      <c r="B1698" s="23"/>
      <c r="C1698" s="26"/>
      <c r="D1698" s="27"/>
      <c r="E1698" s="27"/>
      <c r="F1698" s="28"/>
      <c r="G1698" s="25"/>
      <c r="H1698" s="25"/>
      <c r="I1698" s="25"/>
      <c r="J1698" s="25"/>
      <c r="K1698" s="25"/>
      <c r="L1698" s="25"/>
      <c r="M1698" s="25"/>
      <c r="N1698" s="25"/>
      <c r="O1698" s="25"/>
      <c r="P1698" s="25"/>
      <c r="Q1698" s="25"/>
      <c r="R1698" s="25"/>
      <c r="S1698" s="25"/>
      <c r="T1698" s="14"/>
    </row>
    <row r="1699" spans="1:20" x14ac:dyDescent="0.35">
      <c r="A1699" s="21"/>
      <c r="B1699" s="23"/>
      <c r="C1699" s="26"/>
      <c r="D1699" s="27"/>
      <c r="E1699" s="27"/>
      <c r="F1699" s="28"/>
      <c r="G1699" s="25"/>
      <c r="H1699" s="25"/>
      <c r="I1699" s="25"/>
      <c r="J1699" s="25"/>
      <c r="K1699" s="25"/>
      <c r="L1699" s="25"/>
      <c r="M1699" s="25"/>
      <c r="N1699" s="25"/>
      <c r="O1699" s="25"/>
      <c r="P1699" s="25"/>
      <c r="Q1699" s="25"/>
      <c r="R1699" s="25"/>
      <c r="S1699" s="25"/>
      <c r="T1699" s="14"/>
    </row>
    <row r="1700" spans="1:20" x14ac:dyDescent="0.35">
      <c r="A1700" s="21"/>
      <c r="B1700" s="23"/>
      <c r="C1700" s="26"/>
      <c r="D1700" s="27"/>
      <c r="E1700" s="27"/>
      <c r="F1700" s="28"/>
      <c r="G1700" s="25"/>
      <c r="H1700" s="25"/>
      <c r="I1700" s="25"/>
      <c r="J1700" s="25"/>
      <c r="K1700" s="25"/>
      <c r="L1700" s="25"/>
      <c r="M1700" s="25"/>
      <c r="N1700" s="25"/>
      <c r="O1700" s="25"/>
      <c r="P1700" s="25"/>
      <c r="Q1700" s="25"/>
      <c r="R1700" s="25"/>
      <c r="S1700" s="25"/>
      <c r="T1700" s="14"/>
    </row>
    <row r="1701" spans="1:20" x14ac:dyDescent="0.35">
      <c r="A1701" s="21"/>
      <c r="B1701" s="23"/>
      <c r="C1701" s="26"/>
      <c r="D1701" s="27"/>
      <c r="E1701" s="27"/>
      <c r="F1701" s="28"/>
      <c r="G1701" s="25"/>
      <c r="H1701" s="25"/>
      <c r="I1701" s="25"/>
      <c r="J1701" s="25"/>
      <c r="K1701" s="25"/>
      <c r="L1701" s="25"/>
      <c r="M1701" s="25"/>
      <c r="N1701" s="25"/>
      <c r="O1701" s="25"/>
      <c r="P1701" s="25"/>
      <c r="Q1701" s="25"/>
      <c r="R1701" s="25"/>
      <c r="S1701" s="25"/>
      <c r="T1701" s="14"/>
    </row>
    <row r="1702" spans="1:20" x14ac:dyDescent="0.35">
      <c r="A1702" s="21"/>
      <c r="B1702" s="23"/>
      <c r="C1702" s="26"/>
      <c r="D1702" s="27"/>
      <c r="E1702" s="27"/>
      <c r="F1702" s="28"/>
      <c r="G1702" s="25"/>
      <c r="H1702" s="25"/>
      <c r="I1702" s="25"/>
      <c r="J1702" s="25"/>
      <c r="K1702" s="25"/>
      <c r="L1702" s="25"/>
      <c r="M1702" s="25"/>
      <c r="N1702" s="25"/>
      <c r="O1702" s="25"/>
      <c r="P1702" s="25"/>
      <c r="Q1702" s="25"/>
      <c r="R1702" s="25"/>
      <c r="S1702" s="25"/>
      <c r="T1702" s="14"/>
    </row>
    <row r="1703" spans="1:20" x14ac:dyDescent="0.35">
      <c r="A1703" s="21"/>
      <c r="B1703" s="23"/>
      <c r="C1703" s="26"/>
      <c r="D1703" s="27"/>
      <c r="E1703" s="27"/>
      <c r="F1703" s="28"/>
      <c r="G1703" s="25"/>
      <c r="H1703" s="25"/>
      <c r="I1703" s="25"/>
      <c r="J1703" s="25"/>
      <c r="K1703" s="25"/>
      <c r="L1703" s="25"/>
      <c r="M1703" s="25"/>
      <c r="N1703" s="25"/>
      <c r="O1703" s="25"/>
      <c r="P1703" s="25"/>
      <c r="Q1703" s="25"/>
      <c r="R1703" s="25"/>
      <c r="S1703" s="25"/>
      <c r="T1703" s="14"/>
    </row>
    <row r="1704" spans="1:20" x14ac:dyDescent="0.35">
      <c r="A1704" s="21"/>
      <c r="B1704" s="23"/>
      <c r="C1704" s="26"/>
      <c r="D1704" s="27"/>
      <c r="E1704" s="27"/>
      <c r="F1704" s="28"/>
      <c r="G1704" s="25"/>
      <c r="H1704" s="25"/>
      <c r="I1704" s="25"/>
      <c r="J1704" s="25"/>
      <c r="K1704" s="25"/>
      <c r="L1704" s="25"/>
      <c r="M1704" s="25"/>
      <c r="N1704" s="25"/>
      <c r="O1704" s="25"/>
      <c r="P1704" s="25"/>
      <c r="Q1704" s="25"/>
      <c r="R1704" s="25"/>
      <c r="S1704" s="25"/>
      <c r="T1704" s="14"/>
    </row>
    <row r="1705" spans="1:20" x14ac:dyDescent="0.35">
      <c r="A1705" s="21"/>
      <c r="B1705" s="23"/>
      <c r="C1705" s="26"/>
      <c r="D1705" s="27"/>
      <c r="E1705" s="27"/>
      <c r="F1705" s="28"/>
      <c r="G1705" s="25"/>
      <c r="H1705" s="25"/>
      <c r="I1705" s="25"/>
      <c r="J1705" s="25"/>
      <c r="K1705" s="25"/>
      <c r="L1705" s="25"/>
      <c r="M1705" s="25"/>
      <c r="N1705" s="25"/>
      <c r="O1705" s="25"/>
      <c r="P1705" s="25"/>
      <c r="Q1705" s="25"/>
      <c r="R1705" s="25"/>
      <c r="S1705" s="25"/>
      <c r="T1705" s="14"/>
    </row>
    <row r="1706" spans="1:20" x14ac:dyDescent="0.35">
      <c r="A1706" s="21"/>
      <c r="B1706" s="23"/>
      <c r="C1706" s="26"/>
      <c r="D1706" s="27"/>
      <c r="E1706" s="27"/>
      <c r="F1706" s="28"/>
      <c r="G1706" s="25"/>
      <c r="H1706" s="25"/>
      <c r="I1706" s="25"/>
      <c r="J1706" s="25"/>
      <c r="K1706" s="25"/>
      <c r="L1706" s="25"/>
      <c r="M1706" s="25"/>
      <c r="N1706" s="25"/>
      <c r="O1706" s="25"/>
      <c r="P1706" s="25"/>
      <c r="Q1706" s="25"/>
      <c r="R1706" s="25"/>
      <c r="S1706" s="25"/>
      <c r="T1706" s="22"/>
    </row>
    <row r="1707" spans="1:20" x14ac:dyDescent="0.35">
      <c r="A1707" s="21"/>
      <c r="B1707" s="23"/>
      <c r="C1707" s="26"/>
      <c r="D1707" s="27"/>
      <c r="E1707" s="27"/>
      <c r="F1707" s="28"/>
      <c r="G1707" s="25"/>
      <c r="H1707" s="25"/>
      <c r="I1707" s="25"/>
      <c r="J1707" s="25"/>
      <c r="K1707" s="25"/>
      <c r="L1707" s="25"/>
      <c r="M1707" s="25"/>
      <c r="N1707" s="25"/>
      <c r="O1707" s="25"/>
      <c r="P1707" s="25"/>
      <c r="Q1707" s="25"/>
      <c r="R1707" s="25"/>
      <c r="S1707" s="25"/>
      <c r="T1707" s="22"/>
    </row>
    <row r="1708" spans="1:20" x14ac:dyDescent="0.35">
      <c r="A1708" s="21"/>
      <c r="B1708" s="23"/>
      <c r="C1708" s="26"/>
      <c r="D1708" s="27"/>
      <c r="E1708" s="27"/>
      <c r="F1708" s="28"/>
      <c r="G1708" s="25"/>
      <c r="H1708" s="25"/>
      <c r="I1708" s="25"/>
      <c r="J1708" s="25"/>
      <c r="K1708" s="25"/>
      <c r="L1708" s="25"/>
      <c r="M1708" s="25"/>
      <c r="N1708" s="25"/>
      <c r="O1708" s="25"/>
      <c r="P1708" s="25"/>
      <c r="Q1708" s="25"/>
      <c r="R1708" s="25"/>
      <c r="S1708" s="25"/>
      <c r="T1708" s="22"/>
    </row>
    <row r="1709" spans="1:20" x14ac:dyDescent="0.35">
      <c r="A1709" s="21"/>
      <c r="B1709" s="23"/>
      <c r="C1709" s="26"/>
      <c r="D1709" s="27"/>
      <c r="E1709" s="27"/>
      <c r="F1709" s="28"/>
      <c r="G1709" s="25"/>
      <c r="H1709" s="25"/>
      <c r="I1709" s="25"/>
      <c r="J1709" s="25"/>
      <c r="K1709" s="25"/>
      <c r="L1709" s="25"/>
      <c r="M1709" s="25"/>
      <c r="N1709" s="25"/>
      <c r="O1709" s="25"/>
      <c r="P1709" s="25"/>
      <c r="Q1709" s="25"/>
      <c r="R1709" s="25"/>
      <c r="S1709" s="25"/>
      <c r="T1709" s="22"/>
    </row>
    <row r="1710" spans="1:20" x14ac:dyDescent="0.35">
      <c r="A1710" s="21"/>
      <c r="B1710" s="23"/>
      <c r="C1710" s="26"/>
      <c r="D1710" s="27"/>
      <c r="E1710" s="27"/>
      <c r="F1710" s="28"/>
      <c r="G1710" s="25"/>
      <c r="H1710" s="25"/>
      <c r="I1710" s="25"/>
      <c r="J1710" s="25"/>
      <c r="K1710" s="25"/>
      <c r="L1710" s="25"/>
      <c r="M1710" s="25"/>
      <c r="N1710" s="25"/>
      <c r="O1710" s="25"/>
      <c r="P1710" s="25"/>
      <c r="Q1710" s="25"/>
      <c r="R1710" s="25"/>
      <c r="S1710" s="25"/>
      <c r="T1710" s="22"/>
    </row>
    <row r="1711" spans="1:20" x14ac:dyDescent="0.35">
      <c r="A1711" s="21"/>
      <c r="B1711" s="23"/>
      <c r="C1711" s="26"/>
      <c r="D1711" s="27"/>
      <c r="E1711" s="27"/>
      <c r="F1711" s="28"/>
      <c r="G1711" s="25"/>
      <c r="H1711" s="25"/>
      <c r="I1711" s="25"/>
      <c r="J1711" s="25"/>
      <c r="K1711" s="25"/>
      <c r="L1711" s="25"/>
      <c r="M1711" s="25"/>
      <c r="N1711" s="25"/>
      <c r="O1711" s="25"/>
      <c r="P1711" s="25"/>
      <c r="Q1711" s="25"/>
      <c r="R1711" s="25"/>
      <c r="S1711" s="25"/>
      <c r="T1711" s="22"/>
    </row>
    <row r="1712" spans="1:20" x14ac:dyDescent="0.35">
      <c r="A1712" s="21"/>
      <c r="B1712" s="23"/>
      <c r="C1712" s="26"/>
      <c r="D1712" s="27"/>
      <c r="E1712" s="27"/>
      <c r="F1712" s="28"/>
      <c r="G1712" s="25"/>
      <c r="H1712" s="25"/>
      <c r="I1712" s="25"/>
      <c r="J1712" s="25"/>
      <c r="K1712" s="25"/>
      <c r="L1712" s="25"/>
      <c r="M1712" s="25"/>
      <c r="N1712" s="25"/>
      <c r="O1712" s="25"/>
      <c r="P1712" s="25"/>
      <c r="Q1712" s="25"/>
      <c r="R1712" s="25"/>
      <c r="S1712" s="25"/>
      <c r="T1712" s="22"/>
    </row>
    <row r="1713" spans="1:20" x14ac:dyDescent="0.35">
      <c r="A1713" s="21"/>
      <c r="B1713" s="23"/>
      <c r="C1713" s="26"/>
      <c r="D1713" s="27"/>
      <c r="E1713" s="27"/>
      <c r="F1713" s="28"/>
      <c r="G1713" s="25"/>
      <c r="H1713" s="25"/>
      <c r="I1713" s="25"/>
      <c r="J1713" s="25"/>
      <c r="K1713" s="25"/>
      <c r="L1713" s="25"/>
      <c r="M1713" s="25"/>
      <c r="N1713" s="25"/>
      <c r="O1713" s="25"/>
      <c r="P1713" s="25"/>
      <c r="Q1713" s="25"/>
      <c r="R1713" s="25"/>
      <c r="S1713" s="25"/>
      <c r="T1713" s="22"/>
    </row>
    <row r="1714" spans="1:20" x14ac:dyDescent="0.35">
      <c r="A1714" s="21"/>
      <c r="B1714" s="23"/>
      <c r="C1714" s="26"/>
      <c r="D1714" s="27"/>
      <c r="E1714" s="27"/>
      <c r="F1714" s="28"/>
      <c r="G1714" s="25"/>
      <c r="H1714" s="25"/>
      <c r="I1714" s="25"/>
      <c r="J1714" s="25"/>
      <c r="K1714" s="25"/>
      <c r="L1714" s="25"/>
      <c r="M1714" s="25"/>
      <c r="N1714" s="25"/>
      <c r="O1714" s="25"/>
      <c r="P1714" s="25"/>
      <c r="Q1714" s="25"/>
      <c r="R1714" s="25"/>
      <c r="S1714" s="25"/>
      <c r="T1714" s="22"/>
    </row>
    <row r="1715" spans="1:20" x14ac:dyDescent="0.35">
      <c r="A1715" s="21"/>
      <c r="B1715" s="23"/>
      <c r="C1715" s="26"/>
      <c r="D1715" s="27"/>
      <c r="E1715" s="27"/>
      <c r="F1715" s="28"/>
      <c r="G1715" s="25"/>
      <c r="H1715" s="25"/>
      <c r="I1715" s="25"/>
      <c r="J1715" s="25"/>
      <c r="K1715" s="25"/>
      <c r="L1715" s="25"/>
      <c r="M1715" s="25"/>
      <c r="N1715" s="25"/>
      <c r="O1715" s="25"/>
      <c r="P1715" s="25"/>
      <c r="Q1715" s="25"/>
      <c r="R1715" s="25"/>
      <c r="S1715" s="25"/>
      <c r="T1715" s="14"/>
    </row>
    <row r="1716" spans="1:20" x14ac:dyDescent="0.35">
      <c r="A1716" s="21"/>
      <c r="B1716" s="23"/>
      <c r="C1716" s="26"/>
      <c r="D1716" s="27"/>
      <c r="E1716" s="27"/>
      <c r="F1716" s="28"/>
      <c r="G1716" s="25"/>
      <c r="H1716" s="25"/>
      <c r="I1716" s="25"/>
      <c r="J1716" s="25"/>
      <c r="K1716" s="25"/>
      <c r="L1716" s="25"/>
      <c r="M1716" s="25"/>
      <c r="N1716" s="25"/>
      <c r="O1716" s="25"/>
      <c r="P1716" s="25"/>
      <c r="Q1716" s="25"/>
      <c r="R1716" s="25"/>
      <c r="S1716" s="25"/>
      <c r="T1716" s="14"/>
    </row>
    <row r="1717" spans="1:20" x14ac:dyDescent="0.35">
      <c r="A1717" s="21"/>
      <c r="B1717" s="23"/>
      <c r="C1717" s="26"/>
      <c r="D1717" s="27"/>
      <c r="E1717" s="27"/>
      <c r="F1717" s="28"/>
      <c r="G1717" s="25"/>
      <c r="H1717" s="25"/>
      <c r="I1717" s="25"/>
      <c r="J1717" s="25"/>
      <c r="K1717" s="25"/>
      <c r="L1717" s="25"/>
      <c r="M1717" s="25"/>
      <c r="N1717" s="25"/>
      <c r="O1717" s="25"/>
      <c r="P1717" s="25"/>
      <c r="Q1717" s="25"/>
      <c r="R1717" s="25"/>
      <c r="S1717" s="25"/>
      <c r="T1717" s="14"/>
    </row>
    <row r="1718" spans="1:20" x14ac:dyDescent="0.35">
      <c r="A1718" s="21"/>
      <c r="B1718" s="23"/>
      <c r="C1718" s="26"/>
      <c r="D1718" s="27"/>
      <c r="E1718" s="27"/>
      <c r="F1718" s="28"/>
      <c r="G1718" s="25"/>
      <c r="H1718" s="25"/>
      <c r="I1718" s="25"/>
      <c r="J1718" s="25"/>
      <c r="K1718" s="25"/>
      <c r="L1718" s="25"/>
      <c r="M1718" s="25"/>
      <c r="N1718" s="25"/>
      <c r="O1718" s="25"/>
      <c r="P1718" s="25"/>
      <c r="Q1718" s="25"/>
      <c r="R1718" s="25"/>
      <c r="S1718" s="25"/>
      <c r="T1718" s="14"/>
    </row>
    <row r="1719" spans="1:20" x14ac:dyDescent="0.35">
      <c r="A1719" s="21"/>
      <c r="B1719" s="23"/>
      <c r="C1719" s="26"/>
      <c r="D1719" s="27"/>
      <c r="E1719" s="27"/>
      <c r="F1719" s="28"/>
      <c r="G1719" s="25"/>
      <c r="H1719" s="25"/>
      <c r="I1719" s="25"/>
      <c r="J1719" s="25"/>
      <c r="K1719" s="25"/>
      <c r="L1719" s="25"/>
      <c r="M1719" s="25"/>
      <c r="N1719" s="25"/>
      <c r="O1719" s="25"/>
      <c r="P1719" s="25"/>
      <c r="Q1719" s="25"/>
      <c r="R1719" s="25"/>
      <c r="S1719" s="25"/>
      <c r="T1719" s="14"/>
    </row>
    <row r="1720" spans="1:20" x14ac:dyDescent="0.35">
      <c r="A1720" s="21"/>
      <c r="B1720" s="23"/>
      <c r="C1720" s="26"/>
      <c r="D1720" s="27"/>
      <c r="E1720" s="27"/>
      <c r="F1720" s="28"/>
      <c r="G1720" s="25"/>
      <c r="H1720" s="25"/>
      <c r="I1720" s="25"/>
      <c r="J1720" s="25"/>
      <c r="K1720" s="25"/>
      <c r="L1720" s="25"/>
      <c r="M1720" s="25"/>
      <c r="N1720" s="25"/>
      <c r="O1720" s="25"/>
      <c r="P1720" s="25"/>
      <c r="Q1720" s="25"/>
      <c r="R1720" s="25"/>
      <c r="S1720" s="25"/>
      <c r="T1720" s="14"/>
    </row>
    <row r="1721" spans="1:20" x14ac:dyDescent="0.35">
      <c r="A1721" s="21"/>
      <c r="B1721" s="23"/>
      <c r="C1721" s="26"/>
      <c r="D1721" s="27"/>
      <c r="E1721" s="27"/>
      <c r="F1721" s="28"/>
      <c r="G1721" s="25"/>
      <c r="H1721" s="25"/>
      <c r="I1721" s="25"/>
      <c r="J1721" s="25"/>
      <c r="K1721" s="25"/>
      <c r="L1721" s="25"/>
      <c r="M1721" s="25"/>
      <c r="N1721" s="25"/>
      <c r="O1721" s="25"/>
      <c r="P1721" s="25"/>
      <c r="Q1721" s="25"/>
      <c r="R1721" s="25"/>
      <c r="S1721" s="25"/>
      <c r="T1721" s="14"/>
    </row>
    <row r="1722" spans="1:20" x14ac:dyDescent="0.35">
      <c r="B1722" s="17"/>
      <c r="C1722" s="13"/>
      <c r="D1722" s="13"/>
      <c r="E1722" s="13"/>
      <c r="F1722" s="14"/>
      <c r="G1722" s="14"/>
      <c r="H1722" s="14"/>
      <c r="I1722" s="14"/>
      <c r="J1722" s="14"/>
      <c r="K1722" s="14"/>
      <c r="L1722" s="14"/>
      <c r="M1722" s="14"/>
      <c r="N1722" s="14"/>
      <c r="O1722" s="14"/>
      <c r="P1722" s="14"/>
      <c r="Q1722" s="14"/>
      <c r="R1722" s="14"/>
      <c r="S1722" s="14"/>
      <c r="T1722" s="14"/>
    </row>
    <row r="1723" spans="1:20" x14ac:dyDescent="0.35">
      <c r="B1723" s="17"/>
      <c r="C1723" s="13"/>
      <c r="D1723" s="13"/>
      <c r="E1723" s="13"/>
      <c r="F1723" s="14"/>
      <c r="G1723" s="14"/>
      <c r="H1723" s="14"/>
      <c r="I1723" s="14"/>
      <c r="J1723" s="14"/>
      <c r="K1723" s="14"/>
      <c r="L1723" s="14"/>
      <c r="M1723" s="14"/>
      <c r="N1723" s="14"/>
      <c r="O1723" s="14"/>
      <c r="P1723" s="14"/>
      <c r="Q1723" s="14"/>
      <c r="R1723" s="14"/>
      <c r="S1723" s="14"/>
      <c r="T1723" s="14"/>
    </row>
    <row r="1724" spans="1:20" x14ac:dyDescent="0.35">
      <c r="B1724" s="17"/>
      <c r="C1724" s="13"/>
      <c r="D1724" s="13"/>
      <c r="E1724" s="13"/>
      <c r="F1724" s="14"/>
      <c r="G1724" s="14"/>
      <c r="H1724" s="14"/>
      <c r="I1724" s="14"/>
      <c r="J1724" s="14"/>
      <c r="K1724" s="14"/>
      <c r="L1724" s="14"/>
      <c r="M1724" s="14"/>
      <c r="N1724" s="14"/>
      <c r="O1724" s="14"/>
      <c r="P1724" s="14"/>
      <c r="Q1724" s="14"/>
      <c r="R1724" s="14"/>
      <c r="S1724" s="14"/>
      <c r="T1724" s="14"/>
    </row>
    <row r="1725" spans="1:20" x14ac:dyDescent="0.35">
      <c r="B1725" s="17"/>
      <c r="C1725" s="13"/>
      <c r="D1725" s="13"/>
      <c r="E1725" s="13"/>
      <c r="F1725" s="14"/>
      <c r="G1725" s="14"/>
      <c r="H1725" s="14"/>
      <c r="I1725" s="14"/>
      <c r="J1725" s="14"/>
      <c r="K1725" s="14"/>
      <c r="L1725" s="14"/>
      <c r="M1725" s="14"/>
      <c r="N1725" s="14"/>
      <c r="O1725" s="14"/>
      <c r="P1725" s="14"/>
      <c r="Q1725" s="14"/>
      <c r="R1725" s="14"/>
      <c r="S1725" s="14"/>
      <c r="T1725" s="14"/>
    </row>
    <row r="1726" spans="1:20" x14ac:dyDescent="0.35">
      <c r="B1726" s="17"/>
      <c r="C1726" s="13"/>
      <c r="D1726" s="13"/>
      <c r="E1726" s="13"/>
      <c r="F1726" s="14"/>
      <c r="G1726" s="14"/>
      <c r="H1726" s="14"/>
      <c r="I1726" s="14"/>
      <c r="J1726" s="14"/>
      <c r="K1726" s="14"/>
      <c r="L1726" s="14"/>
      <c r="M1726" s="14"/>
      <c r="N1726" s="14"/>
      <c r="O1726" s="14"/>
      <c r="P1726" s="14"/>
      <c r="Q1726" s="14"/>
      <c r="R1726" s="14"/>
      <c r="S1726" s="14"/>
      <c r="T1726" s="14"/>
    </row>
    <row r="1727" spans="1:20" x14ac:dyDescent="0.35">
      <c r="B1727" s="17"/>
      <c r="C1727" s="13"/>
      <c r="D1727" s="13"/>
      <c r="E1727" s="13"/>
      <c r="F1727" s="14"/>
      <c r="G1727" s="14"/>
      <c r="H1727" s="14"/>
      <c r="I1727" s="14"/>
      <c r="J1727" s="14"/>
      <c r="K1727" s="14"/>
      <c r="L1727" s="14"/>
      <c r="M1727" s="14"/>
      <c r="N1727" s="14"/>
      <c r="O1727" s="14"/>
      <c r="P1727" s="14"/>
      <c r="Q1727" s="14"/>
      <c r="R1727" s="14"/>
      <c r="S1727" s="14"/>
      <c r="T1727" s="14"/>
    </row>
    <row r="1728" spans="1:20" x14ac:dyDescent="0.35">
      <c r="B1728" s="17"/>
      <c r="C1728" s="13"/>
      <c r="D1728" s="13"/>
      <c r="E1728" s="13"/>
      <c r="F1728" s="14"/>
      <c r="G1728" s="14"/>
      <c r="H1728" s="14"/>
      <c r="I1728" s="14"/>
      <c r="J1728" s="14"/>
      <c r="K1728" s="14"/>
      <c r="L1728" s="14"/>
      <c r="M1728" s="14"/>
      <c r="N1728" s="14"/>
      <c r="O1728" s="14"/>
      <c r="P1728" s="14"/>
      <c r="Q1728" s="14"/>
      <c r="R1728" s="14"/>
      <c r="S1728" s="14"/>
      <c r="T1728" s="14"/>
    </row>
    <row r="1729" spans="1:20" x14ac:dyDescent="0.35">
      <c r="B1729" s="17"/>
      <c r="C1729" s="13"/>
      <c r="D1729" s="13"/>
      <c r="E1729" s="13"/>
      <c r="F1729" s="14"/>
      <c r="G1729" s="14"/>
      <c r="H1729" s="14"/>
      <c r="I1729" s="14"/>
      <c r="J1729" s="14"/>
      <c r="K1729" s="14"/>
      <c r="L1729" s="14"/>
      <c r="M1729" s="14"/>
      <c r="N1729" s="14"/>
      <c r="O1729" s="14"/>
      <c r="P1729" s="14"/>
      <c r="Q1729" s="14"/>
      <c r="R1729" s="14"/>
      <c r="S1729" s="14"/>
      <c r="T1729" s="14"/>
    </row>
    <row r="1730" spans="1:20" x14ac:dyDescent="0.35">
      <c r="B1730" s="17"/>
      <c r="C1730" s="18"/>
      <c r="D1730" s="19"/>
      <c r="E1730" s="19"/>
      <c r="F1730" s="22"/>
      <c r="G1730" s="22"/>
      <c r="H1730" s="22"/>
      <c r="I1730" s="22"/>
      <c r="J1730" s="22"/>
      <c r="K1730" s="22"/>
      <c r="L1730" s="22"/>
      <c r="M1730" s="22"/>
      <c r="N1730" s="22"/>
      <c r="O1730" s="22"/>
      <c r="P1730" s="22"/>
      <c r="Q1730" s="22"/>
      <c r="R1730" s="22"/>
      <c r="S1730" s="22"/>
      <c r="T1730" s="22"/>
    </row>
    <row r="1731" spans="1:20" x14ac:dyDescent="0.35">
      <c r="B1731" s="17"/>
      <c r="C1731" s="18"/>
      <c r="D1731" s="19"/>
      <c r="E1731" s="19"/>
      <c r="F1731" s="22"/>
      <c r="G1731" s="22"/>
      <c r="H1731" s="22"/>
      <c r="I1731" s="22"/>
      <c r="J1731" s="22"/>
      <c r="K1731" s="22"/>
      <c r="L1731" s="22"/>
      <c r="M1731" s="22"/>
      <c r="N1731" s="22"/>
      <c r="O1731" s="22"/>
      <c r="P1731" s="22"/>
      <c r="Q1731" s="22"/>
      <c r="R1731" s="22"/>
      <c r="S1731" s="22"/>
      <c r="T1731" s="22"/>
    </row>
    <row r="1732" spans="1:20" x14ac:dyDescent="0.35">
      <c r="B1732" s="17"/>
      <c r="C1732" s="18"/>
      <c r="D1732" s="19"/>
      <c r="E1732" s="19"/>
      <c r="F1732" s="22"/>
      <c r="G1732" s="22"/>
      <c r="H1732" s="22"/>
      <c r="I1732" s="22"/>
      <c r="J1732" s="22"/>
      <c r="K1732" s="22"/>
      <c r="L1732" s="22"/>
      <c r="M1732" s="22"/>
      <c r="N1732" s="22"/>
      <c r="O1732" s="22"/>
      <c r="P1732" s="22"/>
      <c r="Q1732" s="22"/>
      <c r="R1732" s="22"/>
      <c r="S1732" s="22"/>
      <c r="T1732" s="22"/>
    </row>
    <row r="1733" spans="1:20" x14ac:dyDescent="0.35">
      <c r="B1733" s="17"/>
      <c r="C1733" s="18"/>
      <c r="D1733" s="19"/>
      <c r="E1733" s="19"/>
      <c r="F1733" s="22"/>
      <c r="G1733" s="22"/>
      <c r="H1733" s="22"/>
      <c r="I1733" s="22"/>
      <c r="J1733" s="22"/>
      <c r="K1733" s="22"/>
      <c r="L1733" s="22"/>
      <c r="M1733" s="22"/>
      <c r="N1733" s="22"/>
      <c r="O1733" s="22"/>
      <c r="P1733" s="22"/>
      <c r="Q1733" s="22"/>
      <c r="R1733" s="22"/>
      <c r="S1733" s="22"/>
      <c r="T1733" s="22"/>
    </row>
    <row r="1734" spans="1:20" x14ac:dyDescent="0.35">
      <c r="A1734" s="16"/>
      <c r="B1734" s="5"/>
      <c r="C1734" s="5"/>
      <c r="D1734" s="5"/>
      <c r="E1734" s="5"/>
      <c r="F1734" s="5"/>
      <c r="G1734" s="5"/>
      <c r="H1734" s="5"/>
      <c r="I1734" s="5"/>
      <c r="J1734" s="5"/>
      <c r="K1734" s="5"/>
      <c r="L1734" s="5"/>
      <c r="M1734" s="5"/>
      <c r="N1734" s="5"/>
      <c r="O1734" s="5"/>
      <c r="P1734" s="5"/>
      <c r="Q1734" s="5"/>
      <c r="R1734" s="5"/>
      <c r="S1734" s="5"/>
      <c r="T1734" s="22"/>
    </row>
    <row r="1735" spans="1:20" x14ac:dyDescent="0.35">
      <c r="A1735" s="21"/>
      <c r="B1735" s="23"/>
      <c r="C1735" s="26"/>
      <c r="D1735" s="27"/>
      <c r="E1735" s="27"/>
      <c r="F1735" s="28"/>
      <c r="G1735" s="25"/>
      <c r="H1735" s="25"/>
      <c r="I1735" s="25"/>
      <c r="J1735" s="25"/>
      <c r="K1735" s="25"/>
      <c r="L1735" s="25"/>
      <c r="M1735" s="25"/>
      <c r="N1735" s="25"/>
      <c r="O1735" s="25"/>
      <c r="P1735" s="25"/>
      <c r="Q1735" s="25"/>
      <c r="R1735" s="25"/>
      <c r="S1735" s="25"/>
      <c r="T1735" s="22"/>
    </row>
    <row r="1736" spans="1:20" x14ac:dyDescent="0.35">
      <c r="A1736" s="21"/>
      <c r="B1736" s="23"/>
      <c r="C1736" s="26"/>
      <c r="D1736" s="27"/>
      <c r="E1736" s="27"/>
      <c r="F1736" s="28"/>
      <c r="G1736" s="25"/>
      <c r="H1736" s="25"/>
      <c r="I1736" s="25"/>
      <c r="J1736" s="25"/>
      <c r="K1736" s="25"/>
      <c r="L1736" s="25"/>
      <c r="M1736" s="25"/>
      <c r="N1736" s="25"/>
      <c r="O1736" s="25"/>
      <c r="P1736" s="25"/>
      <c r="Q1736" s="25"/>
      <c r="R1736" s="25"/>
      <c r="S1736" s="25"/>
      <c r="T1736" s="22"/>
    </row>
    <row r="1737" spans="1:20" x14ac:dyDescent="0.35">
      <c r="A1737" s="21"/>
      <c r="B1737" s="23"/>
      <c r="C1737" s="26"/>
      <c r="D1737" s="27"/>
      <c r="E1737" s="27"/>
      <c r="F1737" s="28"/>
      <c r="G1737" s="25"/>
      <c r="H1737" s="25"/>
      <c r="I1737" s="25"/>
      <c r="J1737" s="25"/>
      <c r="K1737" s="25"/>
      <c r="L1737" s="25"/>
      <c r="M1737" s="25"/>
      <c r="N1737" s="25"/>
      <c r="O1737" s="25"/>
      <c r="P1737" s="25"/>
      <c r="Q1737" s="25"/>
      <c r="R1737" s="25"/>
      <c r="S1737" s="25"/>
      <c r="T1737" s="22"/>
    </row>
    <row r="1738" spans="1:20" x14ac:dyDescent="0.35">
      <c r="A1738" s="21"/>
      <c r="B1738" s="23"/>
      <c r="C1738" s="26"/>
      <c r="D1738" s="27"/>
      <c r="E1738" s="27"/>
      <c r="F1738" s="28"/>
      <c r="G1738" s="25"/>
      <c r="H1738" s="25"/>
      <c r="I1738" s="25"/>
      <c r="J1738" s="25"/>
      <c r="K1738" s="25"/>
      <c r="L1738" s="25"/>
      <c r="M1738" s="25"/>
      <c r="N1738" s="25"/>
      <c r="O1738" s="25"/>
      <c r="P1738" s="25"/>
      <c r="Q1738" s="25"/>
      <c r="R1738" s="25"/>
      <c r="S1738" s="25"/>
      <c r="T1738" s="22"/>
    </row>
    <row r="1739" spans="1:20" x14ac:dyDescent="0.35">
      <c r="A1739" s="21"/>
      <c r="B1739" s="23"/>
      <c r="C1739" s="26"/>
      <c r="D1739" s="27"/>
      <c r="E1739" s="27"/>
      <c r="F1739" s="28"/>
      <c r="G1739" s="25"/>
      <c r="H1739" s="25"/>
      <c r="I1739" s="25"/>
      <c r="J1739" s="25"/>
      <c r="K1739" s="25"/>
      <c r="L1739" s="25"/>
      <c r="M1739" s="25"/>
      <c r="N1739" s="25"/>
      <c r="O1739" s="25"/>
      <c r="P1739" s="25"/>
      <c r="Q1739" s="25"/>
      <c r="R1739" s="25"/>
      <c r="S1739" s="25"/>
      <c r="T1739" s="22"/>
    </row>
    <row r="1740" spans="1:20" x14ac:dyDescent="0.35">
      <c r="A1740" s="21"/>
      <c r="B1740" s="23"/>
      <c r="C1740" s="26"/>
      <c r="D1740" s="27"/>
      <c r="E1740" s="27"/>
      <c r="F1740" s="28"/>
      <c r="G1740" s="25"/>
      <c r="H1740" s="25"/>
      <c r="I1740" s="25"/>
      <c r="J1740" s="25"/>
      <c r="K1740" s="25"/>
      <c r="L1740" s="25"/>
      <c r="M1740" s="25"/>
      <c r="N1740" s="25"/>
      <c r="O1740" s="25"/>
      <c r="P1740" s="25"/>
      <c r="Q1740" s="25"/>
      <c r="R1740" s="25"/>
      <c r="S1740" s="25"/>
      <c r="T1740" s="22"/>
    </row>
    <row r="1741" spans="1:20" x14ac:dyDescent="0.35">
      <c r="A1741" s="21"/>
      <c r="B1741" s="23"/>
      <c r="C1741" s="26"/>
      <c r="D1741" s="27"/>
      <c r="E1741" s="27"/>
      <c r="F1741" s="28"/>
      <c r="G1741" s="25"/>
      <c r="H1741" s="25"/>
      <c r="I1741" s="25"/>
      <c r="J1741" s="25"/>
      <c r="K1741" s="25"/>
      <c r="L1741" s="25"/>
      <c r="M1741" s="25"/>
      <c r="N1741" s="25"/>
      <c r="O1741" s="25"/>
      <c r="P1741" s="25"/>
      <c r="Q1741" s="25"/>
      <c r="R1741" s="25"/>
      <c r="S1741" s="25"/>
      <c r="T1741" s="22"/>
    </row>
    <row r="1742" spans="1:20" x14ac:dyDescent="0.35">
      <c r="A1742" s="21"/>
      <c r="B1742" s="23"/>
      <c r="C1742" s="26"/>
      <c r="D1742" s="27"/>
      <c r="E1742" s="27"/>
      <c r="F1742" s="28"/>
      <c r="G1742" s="25"/>
      <c r="H1742" s="25"/>
      <c r="I1742" s="25"/>
      <c r="J1742" s="25"/>
      <c r="K1742" s="25"/>
      <c r="L1742" s="25"/>
      <c r="M1742" s="25"/>
      <c r="N1742" s="25"/>
      <c r="O1742" s="25"/>
      <c r="P1742" s="25"/>
      <c r="Q1742" s="25"/>
      <c r="R1742" s="25"/>
      <c r="S1742" s="25"/>
      <c r="T1742" s="22"/>
    </row>
    <row r="1743" spans="1:20" x14ac:dyDescent="0.35">
      <c r="A1743" s="21"/>
      <c r="B1743" s="23"/>
      <c r="C1743" s="26"/>
      <c r="D1743" s="27"/>
      <c r="E1743" s="27"/>
      <c r="F1743" s="28"/>
      <c r="G1743" s="25"/>
      <c r="H1743" s="25"/>
      <c r="I1743" s="25"/>
      <c r="J1743" s="25"/>
      <c r="K1743" s="25"/>
      <c r="L1743" s="25"/>
      <c r="M1743" s="25"/>
      <c r="N1743" s="25"/>
      <c r="O1743" s="25"/>
      <c r="P1743" s="25"/>
      <c r="Q1743" s="25"/>
      <c r="R1743" s="25"/>
      <c r="S1743" s="25"/>
      <c r="T1743" s="22"/>
    </row>
    <row r="1744" spans="1:20" x14ac:dyDescent="0.35">
      <c r="A1744" s="21"/>
      <c r="B1744" s="23"/>
      <c r="C1744" s="26"/>
      <c r="D1744" s="27"/>
      <c r="E1744" s="27"/>
      <c r="F1744" s="28"/>
      <c r="G1744" s="25"/>
      <c r="H1744" s="25"/>
      <c r="I1744" s="25"/>
      <c r="J1744" s="25"/>
      <c r="K1744" s="25"/>
      <c r="L1744" s="25"/>
      <c r="M1744" s="25"/>
      <c r="N1744" s="25"/>
      <c r="O1744" s="25"/>
      <c r="P1744" s="25"/>
      <c r="Q1744" s="25"/>
      <c r="R1744" s="25"/>
      <c r="S1744" s="25"/>
      <c r="T1744" s="22"/>
    </row>
    <row r="1745" spans="1:20" x14ac:dyDescent="0.35">
      <c r="A1745" s="21"/>
      <c r="B1745" s="23"/>
      <c r="C1745" s="26"/>
      <c r="D1745" s="27"/>
      <c r="E1745" s="27"/>
      <c r="F1745" s="28"/>
      <c r="G1745" s="25"/>
      <c r="H1745" s="25"/>
      <c r="I1745" s="25"/>
      <c r="J1745" s="25"/>
      <c r="K1745" s="25"/>
      <c r="L1745" s="25"/>
      <c r="M1745" s="25"/>
      <c r="N1745" s="25"/>
      <c r="O1745" s="25"/>
      <c r="P1745" s="25"/>
      <c r="Q1745" s="25"/>
      <c r="R1745" s="25"/>
      <c r="S1745" s="25"/>
      <c r="T1745" s="22"/>
    </row>
    <row r="1746" spans="1:20" x14ac:dyDescent="0.35">
      <c r="A1746" s="21"/>
      <c r="B1746" s="23"/>
      <c r="C1746" s="26"/>
      <c r="D1746" s="27"/>
      <c r="E1746" s="27"/>
      <c r="F1746" s="28"/>
      <c r="G1746" s="25"/>
      <c r="H1746" s="25"/>
      <c r="I1746" s="25"/>
      <c r="J1746" s="25"/>
      <c r="K1746" s="25"/>
      <c r="L1746" s="25"/>
      <c r="M1746" s="25"/>
      <c r="N1746" s="25"/>
      <c r="O1746" s="25"/>
      <c r="P1746" s="25"/>
      <c r="Q1746" s="25"/>
      <c r="R1746" s="25"/>
      <c r="S1746" s="25"/>
      <c r="T1746" s="14"/>
    </row>
    <row r="1747" spans="1:20" x14ac:dyDescent="0.35">
      <c r="A1747" s="21"/>
      <c r="B1747" s="23"/>
      <c r="C1747" s="26"/>
      <c r="D1747" s="27"/>
      <c r="E1747" s="27"/>
      <c r="F1747" s="28"/>
      <c r="G1747" s="25"/>
      <c r="H1747" s="25"/>
      <c r="I1747" s="25"/>
      <c r="J1747" s="25"/>
      <c r="K1747" s="25"/>
      <c r="L1747" s="25"/>
      <c r="M1747" s="25"/>
      <c r="N1747" s="25"/>
      <c r="O1747" s="25"/>
      <c r="P1747" s="25"/>
      <c r="Q1747" s="25"/>
      <c r="R1747" s="25"/>
      <c r="S1747" s="25"/>
      <c r="T1747" s="14"/>
    </row>
    <row r="1748" spans="1:20" x14ac:dyDescent="0.35">
      <c r="A1748" s="21"/>
      <c r="B1748" s="23"/>
      <c r="C1748" s="26"/>
      <c r="D1748" s="27"/>
      <c r="E1748" s="27"/>
      <c r="F1748" s="28"/>
      <c r="G1748" s="25"/>
      <c r="H1748" s="25"/>
      <c r="I1748" s="25"/>
      <c r="J1748" s="25"/>
      <c r="K1748" s="25"/>
      <c r="L1748" s="25"/>
      <c r="M1748" s="25"/>
      <c r="N1748" s="25"/>
      <c r="O1748" s="25"/>
      <c r="P1748" s="25"/>
      <c r="Q1748" s="25"/>
      <c r="R1748" s="25"/>
      <c r="S1748" s="25"/>
      <c r="T1748" s="14"/>
    </row>
    <row r="1749" spans="1:20" x14ac:dyDescent="0.35">
      <c r="A1749" s="21"/>
      <c r="B1749" s="23"/>
      <c r="C1749" s="26"/>
      <c r="D1749" s="27"/>
      <c r="E1749" s="27"/>
      <c r="F1749" s="28"/>
      <c r="G1749" s="25"/>
      <c r="H1749" s="25"/>
      <c r="I1749" s="25"/>
      <c r="J1749" s="25"/>
      <c r="K1749" s="25"/>
      <c r="L1749" s="25"/>
      <c r="M1749" s="25"/>
      <c r="N1749" s="25"/>
      <c r="O1749" s="25"/>
      <c r="P1749" s="25"/>
      <c r="Q1749" s="25"/>
      <c r="R1749" s="25"/>
      <c r="S1749" s="25"/>
      <c r="T1749" s="14"/>
    </row>
    <row r="1750" spans="1:20" x14ac:dyDescent="0.35">
      <c r="A1750" s="21"/>
      <c r="B1750" s="23"/>
      <c r="C1750" s="26"/>
      <c r="D1750" s="27"/>
      <c r="E1750" s="27"/>
      <c r="F1750" s="28"/>
      <c r="G1750" s="25"/>
      <c r="H1750" s="25"/>
      <c r="I1750" s="25"/>
      <c r="J1750" s="25"/>
      <c r="K1750" s="25"/>
      <c r="L1750" s="25"/>
      <c r="M1750" s="25"/>
      <c r="N1750" s="25"/>
      <c r="O1750" s="25"/>
      <c r="P1750" s="25"/>
      <c r="Q1750" s="25"/>
      <c r="R1750" s="25"/>
      <c r="S1750" s="25"/>
      <c r="T1750" s="14"/>
    </row>
    <row r="1751" spans="1:20" x14ac:dyDescent="0.35">
      <c r="A1751" s="21"/>
      <c r="B1751" s="23"/>
      <c r="C1751" s="26"/>
      <c r="D1751" s="27"/>
      <c r="E1751" s="27"/>
      <c r="F1751" s="28"/>
      <c r="G1751" s="25"/>
      <c r="H1751" s="25"/>
      <c r="I1751" s="25"/>
      <c r="J1751" s="25"/>
      <c r="K1751" s="25"/>
      <c r="L1751" s="25"/>
      <c r="M1751" s="25"/>
      <c r="N1751" s="25"/>
      <c r="O1751" s="25"/>
      <c r="P1751" s="25"/>
      <c r="Q1751" s="25"/>
      <c r="R1751" s="25"/>
      <c r="S1751" s="25"/>
      <c r="T1751" s="14"/>
    </row>
    <row r="1752" spans="1:20" x14ac:dyDescent="0.35">
      <c r="A1752" s="21"/>
      <c r="B1752" s="23"/>
      <c r="C1752" s="26"/>
      <c r="D1752" s="27"/>
      <c r="E1752" s="27"/>
      <c r="F1752" s="28"/>
      <c r="G1752" s="25"/>
      <c r="H1752" s="25"/>
      <c r="I1752" s="25"/>
      <c r="J1752" s="25"/>
      <c r="K1752" s="25"/>
      <c r="L1752" s="25"/>
      <c r="M1752" s="25"/>
      <c r="N1752" s="25"/>
      <c r="O1752" s="25"/>
      <c r="P1752" s="25"/>
      <c r="Q1752" s="25"/>
      <c r="R1752" s="25"/>
      <c r="S1752" s="25"/>
      <c r="T1752" s="14"/>
    </row>
    <row r="1753" spans="1:20" x14ac:dyDescent="0.35">
      <c r="A1753" s="21"/>
      <c r="B1753" s="23"/>
      <c r="C1753" s="26"/>
      <c r="D1753" s="27"/>
      <c r="E1753" s="27"/>
      <c r="F1753" s="28"/>
      <c r="G1753" s="25"/>
      <c r="H1753" s="25"/>
      <c r="I1753" s="25"/>
      <c r="J1753" s="25"/>
      <c r="K1753" s="25"/>
      <c r="L1753" s="25"/>
      <c r="M1753" s="25"/>
      <c r="N1753" s="25"/>
      <c r="O1753" s="25"/>
      <c r="P1753" s="25"/>
      <c r="Q1753" s="25"/>
      <c r="R1753" s="25"/>
      <c r="S1753" s="25"/>
      <c r="T1753" s="22"/>
    </row>
    <row r="1754" spans="1:20" x14ac:dyDescent="0.35">
      <c r="A1754" s="21"/>
      <c r="B1754" s="23"/>
      <c r="C1754" s="26"/>
      <c r="D1754" s="27"/>
      <c r="E1754" s="27"/>
      <c r="F1754" s="28"/>
      <c r="G1754" s="25"/>
      <c r="H1754" s="25"/>
      <c r="I1754" s="25"/>
      <c r="J1754" s="25"/>
      <c r="K1754" s="25"/>
      <c r="L1754" s="25"/>
      <c r="M1754" s="25"/>
      <c r="N1754" s="25"/>
      <c r="O1754" s="25"/>
      <c r="P1754" s="25"/>
      <c r="Q1754" s="25"/>
      <c r="R1754" s="25"/>
      <c r="S1754" s="25"/>
      <c r="T1754" s="22"/>
    </row>
    <row r="1755" spans="1:20" x14ac:dyDescent="0.35">
      <c r="A1755" s="21"/>
      <c r="B1755" s="23"/>
      <c r="C1755" s="26"/>
      <c r="D1755" s="27"/>
      <c r="E1755" s="27"/>
      <c r="F1755" s="28"/>
      <c r="G1755" s="25"/>
      <c r="H1755" s="25"/>
      <c r="I1755" s="25"/>
      <c r="J1755" s="25"/>
      <c r="K1755" s="25"/>
      <c r="L1755" s="25"/>
      <c r="M1755" s="25"/>
      <c r="N1755" s="25"/>
      <c r="O1755" s="25"/>
      <c r="P1755" s="25"/>
      <c r="Q1755" s="25"/>
      <c r="R1755" s="25"/>
      <c r="S1755" s="25"/>
      <c r="T1755" s="22"/>
    </row>
    <row r="1756" spans="1:20" x14ac:dyDescent="0.35">
      <c r="A1756" s="21"/>
      <c r="B1756" s="23"/>
      <c r="C1756" s="26"/>
      <c r="D1756" s="27"/>
      <c r="E1756" s="27"/>
      <c r="F1756" s="28"/>
      <c r="G1756" s="25"/>
      <c r="H1756" s="25"/>
      <c r="I1756" s="25"/>
      <c r="J1756" s="25"/>
      <c r="K1756" s="25"/>
      <c r="L1756" s="25"/>
      <c r="M1756" s="25"/>
      <c r="N1756" s="25"/>
      <c r="O1756" s="25"/>
      <c r="P1756" s="25"/>
      <c r="Q1756" s="25"/>
      <c r="R1756" s="25"/>
      <c r="S1756" s="25"/>
      <c r="T1756" s="22"/>
    </row>
    <row r="1757" spans="1:20" x14ac:dyDescent="0.35">
      <c r="A1757" s="21"/>
      <c r="B1757" s="23"/>
      <c r="C1757" s="26"/>
      <c r="D1757" s="27"/>
      <c r="E1757" s="27"/>
      <c r="F1757" s="28"/>
      <c r="G1757" s="25"/>
      <c r="H1757" s="25"/>
      <c r="I1757" s="25"/>
      <c r="J1757" s="25"/>
      <c r="K1757" s="25"/>
      <c r="L1757" s="25"/>
      <c r="M1757" s="25"/>
      <c r="N1757" s="25"/>
      <c r="O1757" s="25"/>
      <c r="P1757" s="25"/>
      <c r="Q1757" s="25"/>
      <c r="R1757" s="25"/>
      <c r="S1757" s="25"/>
      <c r="T1757" s="22"/>
    </row>
    <row r="1758" spans="1:20" x14ac:dyDescent="0.35">
      <c r="A1758" s="21"/>
      <c r="B1758" s="23"/>
      <c r="C1758" s="26"/>
      <c r="D1758" s="27"/>
      <c r="E1758" s="27"/>
      <c r="F1758" s="28"/>
      <c r="G1758" s="25"/>
      <c r="H1758" s="25"/>
      <c r="I1758" s="25"/>
      <c r="J1758" s="25"/>
      <c r="K1758" s="25"/>
      <c r="L1758" s="25"/>
      <c r="M1758" s="25"/>
      <c r="N1758" s="25"/>
      <c r="O1758" s="25"/>
      <c r="P1758" s="25"/>
      <c r="Q1758" s="25"/>
      <c r="R1758" s="25"/>
      <c r="S1758" s="25"/>
      <c r="T1758" s="22"/>
    </row>
    <row r="1759" spans="1:20" x14ac:dyDescent="0.35">
      <c r="A1759" s="21"/>
      <c r="B1759" s="23"/>
      <c r="C1759" s="26"/>
      <c r="D1759" s="27"/>
      <c r="E1759" s="27"/>
      <c r="F1759" s="28"/>
      <c r="G1759" s="25"/>
      <c r="H1759" s="25"/>
      <c r="I1759" s="25"/>
      <c r="J1759" s="25"/>
      <c r="K1759" s="25"/>
      <c r="L1759" s="25"/>
      <c r="M1759" s="25"/>
      <c r="N1759" s="25"/>
      <c r="O1759" s="25"/>
      <c r="P1759" s="25"/>
      <c r="Q1759" s="25"/>
      <c r="R1759" s="25"/>
      <c r="S1759" s="25"/>
      <c r="T1759" s="22"/>
    </row>
    <row r="1760" spans="1:20" x14ac:dyDescent="0.35">
      <c r="A1760" s="21"/>
      <c r="B1760" s="23"/>
      <c r="C1760" s="26"/>
      <c r="D1760" s="27"/>
      <c r="E1760" s="27"/>
      <c r="F1760" s="28"/>
      <c r="G1760" s="25"/>
      <c r="H1760" s="25"/>
      <c r="I1760" s="25"/>
      <c r="J1760" s="25"/>
      <c r="K1760" s="25"/>
      <c r="L1760" s="25"/>
      <c r="M1760" s="25"/>
      <c r="N1760" s="25"/>
      <c r="O1760" s="25"/>
      <c r="P1760" s="25"/>
      <c r="Q1760" s="25"/>
      <c r="R1760" s="25"/>
      <c r="S1760" s="25"/>
      <c r="T1760" s="22"/>
    </row>
    <row r="1761" spans="1:20" x14ac:dyDescent="0.35">
      <c r="A1761" s="21"/>
      <c r="B1761" s="23"/>
      <c r="C1761" s="26"/>
      <c r="D1761" s="27"/>
      <c r="E1761" s="27"/>
      <c r="F1761" s="28"/>
      <c r="G1761" s="25"/>
      <c r="H1761" s="25"/>
      <c r="I1761" s="25"/>
      <c r="J1761" s="25"/>
      <c r="K1761" s="25"/>
      <c r="L1761" s="25"/>
      <c r="M1761" s="25"/>
      <c r="N1761" s="25"/>
      <c r="O1761" s="25"/>
      <c r="P1761" s="25"/>
      <c r="Q1761" s="25"/>
      <c r="R1761" s="25"/>
      <c r="S1761" s="25"/>
      <c r="T1761" s="22"/>
    </row>
    <row r="1762" spans="1:20" x14ac:dyDescent="0.35">
      <c r="A1762" s="21"/>
      <c r="B1762" s="23"/>
      <c r="C1762" s="26"/>
      <c r="D1762" s="27"/>
      <c r="E1762" s="27"/>
      <c r="F1762" s="28"/>
      <c r="G1762" s="25"/>
      <c r="H1762" s="25"/>
      <c r="I1762" s="25"/>
      <c r="J1762" s="25"/>
      <c r="K1762" s="25"/>
      <c r="L1762" s="25"/>
      <c r="M1762" s="25"/>
      <c r="N1762" s="25"/>
      <c r="O1762" s="25"/>
      <c r="P1762" s="25"/>
      <c r="Q1762" s="25"/>
      <c r="R1762" s="25"/>
      <c r="S1762" s="25"/>
      <c r="T1762" s="14"/>
    </row>
    <row r="1763" spans="1:20" x14ac:dyDescent="0.35">
      <c r="A1763" s="21"/>
      <c r="B1763" s="23"/>
      <c r="C1763" s="26"/>
      <c r="D1763" s="27"/>
      <c r="E1763" s="27"/>
      <c r="F1763" s="28"/>
      <c r="G1763" s="25"/>
      <c r="H1763" s="25"/>
      <c r="I1763" s="25"/>
      <c r="J1763" s="25"/>
      <c r="K1763" s="25"/>
      <c r="L1763" s="25"/>
      <c r="M1763" s="25"/>
      <c r="N1763" s="25"/>
      <c r="O1763" s="25"/>
      <c r="P1763" s="25"/>
      <c r="Q1763" s="25"/>
      <c r="R1763" s="25"/>
      <c r="S1763" s="25"/>
      <c r="T1763" s="14"/>
    </row>
    <row r="1764" spans="1:20" x14ac:dyDescent="0.35">
      <c r="A1764" s="21"/>
      <c r="B1764" s="23"/>
      <c r="C1764" s="26"/>
      <c r="D1764" s="27"/>
      <c r="E1764" s="27"/>
      <c r="F1764" s="28"/>
      <c r="G1764" s="25"/>
      <c r="H1764" s="25"/>
      <c r="I1764" s="25"/>
      <c r="J1764" s="25"/>
      <c r="K1764" s="25"/>
      <c r="L1764" s="25"/>
      <c r="M1764" s="25"/>
      <c r="N1764" s="25"/>
      <c r="O1764" s="25"/>
      <c r="P1764" s="25"/>
      <c r="Q1764" s="25"/>
      <c r="R1764" s="25"/>
      <c r="S1764" s="25"/>
      <c r="T1764" s="14"/>
    </row>
    <row r="1765" spans="1:20" x14ac:dyDescent="0.35">
      <c r="A1765" s="21"/>
      <c r="B1765" s="23"/>
      <c r="C1765" s="26"/>
      <c r="D1765" s="27"/>
      <c r="E1765" s="27"/>
      <c r="F1765" s="28"/>
      <c r="G1765" s="25"/>
      <c r="H1765" s="25"/>
      <c r="I1765" s="25"/>
      <c r="J1765" s="25"/>
      <c r="K1765" s="25"/>
      <c r="L1765" s="25"/>
      <c r="M1765" s="25"/>
      <c r="N1765" s="25"/>
      <c r="O1765" s="25"/>
      <c r="P1765" s="25"/>
      <c r="Q1765" s="25"/>
      <c r="R1765" s="25"/>
      <c r="S1765" s="25"/>
      <c r="T1765" s="14"/>
    </row>
    <row r="1766" spans="1:20" x14ac:dyDescent="0.35">
      <c r="A1766" s="21"/>
      <c r="B1766" s="23"/>
      <c r="C1766" s="26"/>
      <c r="D1766" s="27"/>
      <c r="E1766" s="27"/>
      <c r="F1766" s="28"/>
      <c r="G1766" s="25"/>
      <c r="H1766" s="25"/>
      <c r="I1766" s="25"/>
      <c r="J1766" s="25"/>
      <c r="K1766" s="25"/>
      <c r="L1766" s="25"/>
      <c r="M1766" s="25"/>
      <c r="N1766" s="25"/>
      <c r="O1766" s="25"/>
      <c r="P1766" s="25"/>
      <c r="Q1766" s="25"/>
      <c r="R1766" s="25"/>
      <c r="S1766" s="25"/>
      <c r="T1766" s="14"/>
    </row>
    <row r="1767" spans="1:20" x14ac:dyDescent="0.35">
      <c r="A1767" s="21"/>
      <c r="B1767" s="23"/>
      <c r="C1767" s="26"/>
      <c r="D1767" s="27"/>
      <c r="E1767" s="27"/>
      <c r="F1767" s="28"/>
      <c r="G1767" s="25"/>
      <c r="H1767" s="25"/>
      <c r="I1767" s="25"/>
      <c r="J1767" s="25"/>
      <c r="K1767" s="25"/>
      <c r="L1767" s="25"/>
      <c r="M1767" s="25"/>
      <c r="N1767" s="25"/>
      <c r="O1767" s="25"/>
      <c r="P1767" s="25"/>
      <c r="Q1767" s="25"/>
      <c r="R1767" s="25"/>
      <c r="S1767" s="25"/>
      <c r="T1767" s="14"/>
    </row>
    <row r="1768" spans="1:20" x14ac:dyDescent="0.35">
      <c r="A1768" s="21"/>
      <c r="B1768" s="23"/>
      <c r="C1768" s="26"/>
      <c r="D1768" s="27"/>
      <c r="E1768" s="27"/>
      <c r="F1768" s="28"/>
      <c r="G1768" s="25"/>
      <c r="H1768" s="25"/>
      <c r="I1768" s="25"/>
      <c r="J1768" s="25"/>
      <c r="K1768" s="25"/>
      <c r="L1768" s="25"/>
      <c r="M1768" s="25"/>
      <c r="N1768" s="25"/>
      <c r="O1768" s="25"/>
      <c r="P1768" s="25"/>
      <c r="Q1768" s="25"/>
      <c r="R1768" s="25"/>
      <c r="S1768" s="25"/>
      <c r="T1768" s="14"/>
    </row>
    <row r="1769" spans="1:20" x14ac:dyDescent="0.35">
      <c r="A1769" s="21"/>
      <c r="B1769" s="23"/>
      <c r="C1769" s="26"/>
      <c r="D1769" s="27"/>
      <c r="E1769" s="27"/>
      <c r="F1769" s="28"/>
      <c r="G1769" s="25"/>
      <c r="H1769" s="25"/>
      <c r="I1769" s="25"/>
      <c r="J1769" s="25"/>
      <c r="K1769" s="25"/>
      <c r="L1769" s="25"/>
      <c r="M1769" s="25"/>
      <c r="N1769" s="25"/>
      <c r="O1769" s="25"/>
      <c r="P1769" s="25"/>
      <c r="Q1769" s="25"/>
      <c r="R1769" s="25"/>
      <c r="S1769" s="25"/>
      <c r="T1769" s="14"/>
    </row>
    <row r="1770" spans="1:20" x14ac:dyDescent="0.35">
      <c r="A1770" s="21"/>
      <c r="B1770" s="23"/>
      <c r="C1770" s="26"/>
      <c r="D1770" s="27"/>
      <c r="E1770" s="27"/>
      <c r="F1770" s="28"/>
      <c r="G1770" s="25"/>
      <c r="H1770" s="25"/>
      <c r="I1770" s="25"/>
      <c r="J1770" s="25"/>
      <c r="K1770" s="25"/>
      <c r="L1770" s="25"/>
      <c r="M1770" s="25"/>
      <c r="N1770" s="25"/>
      <c r="O1770" s="25"/>
      <c r="P1770" s="25"/>
      <c r="Q1770" s="25"/>
      <c r="R1770" s="25"/>
      <c r="S1770" s="25"/>
      <c r="T1770" s="14"/>
    </row>
    <row r="1771" spans="1:20" x14ac:dyDescent="0.35">
      <c r="A1771" s="21"/>
      <c r="B1771" s="23"/>
      <c r="C1771" s="26"/>
      <c r="D1771" s="27"/>
      <c r="E1771" s="27"/>
      <c r="F1771" s="28"/>
      <c r="G1771" s="25"/>
      <c r="H1771" s="25"/>
      <c r="I1771" s="25"/>
      <c r="J1771" s="25"/>
      <c r="K1771" s="25"/>
      <c r="L1771" s="25"/>
      <c r="M1771" s="25"/>
      <c r="N1771" s="25"/>
      <c r="O1771" s="25"/>
      <c r="P1771" s="25"/>
      <c r="Q1771" s="25"/>
      <c r="R1771" s="25"/>
      <c r="S1771" s="25"/>
      <c r="T1771" s="14"/>
    </row>
    <row r="1772" spans="1:20" x14ac:dyDescent="0.35">
      <c r="A1772" s="21"/>
      <c r="B1772" s="23"/>
      <c r="C1772" s="26"/>
      <c r="D1772" s="27"/>
      <c r="E1772" s="27"/>
      <c r="F1772" s="28"/>
      <c r="G1772" s="25"/>
      <c r="H1772" s="25"/>
      <c r="I1772" s="25"/>
      <c r="J1772" s="25"/>
      <c r="K1772" s="25"/>
      <c r="L1772" s="25"/>
      <c r="M1772" s="25"/>
      <c r="N1772" s="25"/>
      <c r="O1772" s="25"/>
      <c r="P1772" s="25"/>
      <c r="Q1772" s="25"/>
      <c r="R1772" s="25"/>
      <c r="S1772" s="25"/>
      <c r="T1772" s="14"/>
    </row>
    <row r="1773" spans="1:20" x14ac:dyDescent="0.35">
      <c r="A1773" s="21"/>
      <c r="B1773" s="23"/>
      <c r="C1773" s="26"/>
      <c r="D1773" s="27"/>
      <c r="E1773" s="27"/>
      <c r="F1773" s="28"/>
      <c r="G1773" s="25"/>
      <c r="H1773" s="25"/>
      <c r="I1773" s="25"/>
      <c r="J1773" s="25"/>
      <c r="K1773" s="25"/>
      <c r="L1773" s="25"/>
      <c r="M1773" s="25"/>
      <c r="N1773" s="25"/>
      <c r="O1773" s="25"/>
      <c r="P1773" s="25"/>
      <c r="Q1773" s="25"/>
      <c r="R1773" s="25"/>
      <c r="S1773" s="25"/>
      <c r="T1773" s="14"/>
    </row>
    <row r="1774" spans="1:20" x14ac:dyDescent="0.35">
      <c r="A1774" s="21"/>
      <c r="B1774" s="23"/>
      <c r="C1774" s="26"/>
      <c r="D1774" s="27"/>
      <c r="E1774" s="27"/>
      <c r="F1774" s="28"/>
      <c r="G1774" s="25"/>
      <c r="H1774" s="25"/>
      <c r="I1774" s="25"/>
      <c r="J1774" s="25"/>
      <c r="K1774" s="25"/>
      <c r="L1774" s="25"/>
      <c r="M1774" s="25"/>
      <c r="N1774" s="25"/>
      <c r="O1774" s="25"/>
      <c r="P1774" s="25"/>
      <c r="Q1774" s="25"/>
      <c r="R1774" s="25"/>
      <c r="S1774" s="25"/>
      <c r="T1774" s="14"/>
    </row>
    <row r="1775" spans="1:20" x14ac:dyDescent="0.35">
      <c r="A1775" s="21"/>
      <c r="B1775" s="23"/>
      <c r="C1775" s="26"/>
      <c r="D1775" s="27"/>
      <c r="E1775" s="27"/>
      <c r="F1775" s="28"/>
      <c r="G1775" s="25"/>
      <c r="H1775" s="25"/>
      <c r="I1775" s="25"/>
      <c r="J1775" s="25"/>
      <c r="K1775" s="25"/>
      <c r="L1775" s="25"/>
      <c r="M1775" s="25"/>
      <c r="N1775" s="25"/>
      <c r="O1775" s="25"/>
      <c r="P1775" s="25"/>
      <c r="Q1775" s="25"/>
      <c r="R1775" s="25"/>
      <c r="S1775" s="25"/>
      <c r="T1775" s="14"/>
    </row>
    <row r="1776" spans="1:20" x14ac:dyDescent="0.35">
      <c r="A1776" s="21"/>
      <c r="B1776" s="23"/>
      <c r="C1776" s="26"/>
      <c r="D1776" s="27"/>
      <c r="E1776" s="27"/>
      <c r="F1776" s="28"/>
      <c r="G1776" s="25"/>
      <c r="H1776" s="25"/>
      <c r="I1776" s="25"/>
      <c r="J1776" s="25"/>
      <c r="K1776" s="25"/>
      <c r="L1776" s="25"/>
      <c r="M1776" s="25"/>
      <c r="N1776" s="25"/>
      <c r="O1776" s="25"/>
      <c r="P1776" s="25"/>
      <c r="Q1776" s="25"/>
      <c r="R1776" s="25"/>
      <c r="S1776" s="25"/>
      <c r="T1776" s="14"/>
    </row>
    <row r="1777" spans="1:20" x14ac:dyDescent="0.35">
      <c r="A1777" s="21"/>
      <c r="B1777" s="23"/>
      <c r="C1777" s="26"/>
      <c r="D1777" s="27"/>
      <c r="E1777" s="27"/>
      <c r="F1777" s="28"/>
      <c r="G1777" s="25"/>
      <c r="H1777" s="25"/>
      <c r="I1777" s="25"/>
      <c r="J1777" s="25"/>
      <c r="K1777" s="25"/>
      <c r="L1777" s="25"/>
      <c r="M1777" s="25"/>
      <c r="N1777" s="25"/>
      <c r="O1777" s="25"/>
      <c r="P1777" s="25"/>
      <c r="Q1777" s="25"/>
      <c r="R1777" s="25"/>
      <c r="S1777" s="25"/>
      <c r="T1777" s="22"/>
    </row>
    <row r="1778" spans="1:20" x14ac:dyDescent="0.35">
      <c r="A1778" s="21"/>
      <c r="B1778" s="23"/>
      <c r="C1778" s="26"/>
      <c r="D1778" s="27"/>
      <c r="E1778" s="27"/>
      <c r="F1778" s="28"/>
      <c r="G1778" s="25"/>
      <c r="H1778" s="25"/>
      <c r="I1778" s="25"/>
      <c r="J1778" s="25"/>
      <c r="K1778" s="25"/>
      <c r="L1778" s="25"/>
      <c r="M1778" s="25"/>
      <c r="N1778" s="25"/>
      <c r="O1778" s="25"/>
      <c r="P1778" s="25"/>
      <c r="Q1778" s="25"/>
      <c r="R1778" s="25"/>
      <c r="S1778" s="25"/>
      <c r="T1778" s="22"/>
    </row>
    <row r="1779" spans="1:20" x14ac:dyDescent="0.35">
      <c r="A1779" s="21"/>
      <c r="B1779" s="23"/>
      <c r="C1779" s="26"/>
      <c r="D1779" s="27"/>
      <c r="E1779" s="27"/>
      <c r="F1779" s="28"/>
      <c r="G1779" s="25"/>
      <c r="H1779" s="25"/>
      <c r="I1779" s="25"/>
      <c r="J1779" s="25"/>
      <c r="K1779" s="25"/>
      <c r="L1779" s="25"/>
      <c r="M1779" s="25"/>
      <c r="N1779" s="25"/>
      <c r="O1779" s="25"/>
      <c r="P1779" s="25"/>
      <c r="Q1779" s="25"/>
      <c r="R1779" s="25"/>
      <c r="S1779" s="25"/>
      <c r="T1779" s="22"/>
    </row>
    <row r="1780" spans="1:20" x14ac:dyDescent="0.35">
      <c r="A1780" s="21"/>
      <c r="B1780" s="23"/>
      <c r="C1780" s="26"/>
      <c r="D1780" s="27"/>
      <c r="E1780" s="27"/>
      <c r="F1780" s="28"/>
      <c r="G1780" s="25"/>
      <c r="H1780" s="25"/>
      <c r="I1780" s="25"/>
      <c r="J1780" s="25"/>
      <c r="K1780" s="25"/>
      <c r="L1780" s="25"/>
      <c r="M1780" s="25"/>
      <c r="N1780" s="25"/>
      <c r="O1780" s="25"/>
      <c r="P1780" s="25"/>
      <c r="Q1780" s="25"/>
      <c r="R1780" s="25"/>
      <c r="S1780" s="25"/>
      <c r="T1780" s="22"/>
    </row>
    <row r="1781" spans="1:20" x14ac:dyDescent="0.35">
      <c r="A1781" s="21"/>
      <c r="B1781" s="23"/>
      <c r="C1781" s="26"/>
      <c r="D1781" s="27"/>
      <c r="E1781" s="27"/>
      <c r="F1781" s="28"/>
      <c r="G1781" s="25"/>
      <c r="H1781" s="25"/>
      <c r="I1781" s="25"/>
      <c r="J1781" s="25"/>
      <c r="K1781" s="25"/>
      <c r="L1781" s="25"/>
      <c r="M1781" s="25"/>
      <c r="N1781" s="25"/>
      <c r="O1781" s="25"/>
      <c r="P1781" s="25"/>
      <c r="Q1781" s="25"/>
      <c r="R1781" s="25"/>
      <c r="S1781" s="25"/>
      <c r="T1781" s="22"/>
    </row>
    <row r="1782" spans="1:20" x14ac:dyDescent="0.35">
      <c r="A1782" s="21"/>
      <c r="B1782" s="23"/>
      <c r="C1782" s="26"/>
      <c r="D1782" s="27"/>
      <c r="E1782" s="27"/>
      <c r="F1782" s="28"/>
      <c r="G1782" s="25"/>
      <c r="H1782" s="25"/>
      <c r="I1782" s="25"/>
      <c r="J1782" s="25"/>
      <c r="K1782" s="25"/>
      <c r="L1782" s="25"/>
      <c r="M1782" s="25"/>
      <c r="N1782" s="25"/>
      <c r="O1782" s="25"/>
      <c r="P1782" s="25"/>
      <c r="Q1782" s="25"/>
      <c r="R1782" s="25"/>
      <c r="S1782" s="25"/>
      <c r="T1782" s="22"/>
    </row>
    <row r="1783" spans="1:20" x14ac:dyDescent="0.35">
      <c r="A1783" s="21"/>
      <c r="B1783" s="23"/>
      <c r="C1783" s="26"/>
      <c r="D1783" s="27"/>
      <c r="E1783" s="27"/>
      <c r="F1783" s="28"/>
      <c r="G1783" s="25"/>
      <c r="H1783" s="25"/>
      <c r="I1783" s="25"/>
      <c r="J1783" s="25"/>
      <c r="K1783" s="25"/>
      <c r="L1783" s="25"/>
      <c r="M1783" s="25"/>
      <c r="N1783" s="25"/>
      <c r="O1783" s="25"/>
      <c r="P1783" s="25"/>
      <c r="Q1783" s="25"/>
      <c r="R1783" s="25"/>
      <c r="S1783" s="25"/>
      <c r="T1783" s="22"/>
    </row>
    <row r="1784" spans="1:20" x14ac:dyDescent="0.35">
      <c r="A1784" s="21"/>
      <c r="B1784" s="23"/>
      <c r="C1784" s="26"/>
      <c r="D1784" s="27"/>
      <c r="E1784" s="27"/>
      <c r="F1784" s="28"/>
      <c r="G1784" s="25"/>
      <c r="H1784" s="25"/>
      <c r="I1784" s="25"/>
      <c r="J1784" s="25"/>
      <c r="K1784" s="25"/>
      <c r="L1784" s="25"/>
      <c r="M1784" s="25"/>
      <c r="N1784" s="25"/>
      <c r="O1784" s="25"/>
      <c r="P1784" s="25"/>
      <c r="Q1784" s="25"/>
      <c r="R1784" s="25"/>
      <c r="S1784" s="25"/>
      <c r="T1784" s="22"/>
    </row>
    <row r="1785" spans="1:20" x14ac:dyDescent="0.35">
      <c r="A1785" s="21"/>
      <c r="B1785" s="23"/>
      <c r="C1785" s="26"/>
      <c r="D1785" s="27"/>
      <c r="E1785" s="27"/>
      <c r="F1785" s="28"/>
      <c r="G1785" s="25"/>
      <c r="H1785" s="25"/>
      <c r="I1785" s="25"/>
      <c r="J1785" s="25"/>
      <c r="K1785" s="25"/>
      <c r="L1785" s="25"/>
      <c r="M1785" s="25"/>
      <c r="N1785" s="25"/>
      <c r="O1785" s="25"/>
      <c r="P1785" s="25"/>
      <c r="Q1785" s="25"/>
      <c r="R1785" s="25"/>
      <c r="S1785" s="25"/>
      <c r="T1785" s="22"/>
    </row>
    <row r="1786" spans="1:20" x14ac:dyDescent="0.35">
      <c r="A1786" s="21"/>
      <c r="B1786" s="23"/>
      <c r="C1786" s="26"/>
      <c r="D1786" s="27"/>
      <c r="E1786" s="27"/>
      <c r="F1786" s="28"/>
      <c r="G1786" s="25"/>
      <c r="H1786" s="25"/>
      <c r="I1786" s="25"/>
      <c r="J1786" s="25"/>
      <c r="K1786" s="25"/>
      <c r="L1786" s="25"/>
      <c r="M1786" s="25"/>
      <c r="N1786" s="25"/>
      <c r="O1786" s="25"/>
      <c r="P1786" s="25"/>
      <c r="Q1786" s="25"/>
      <c r="R1786" s="25"/>
      <c r="S1786" s="25"/>
      <c r="T1786" s="22"/>
    </row>
    <row r="1787" spans="1:20" x14ac:dyDescent="0.35">
      <c r="A1787" s="21"/>
      <c r="B1787" s="23"/>
      <c r="C1787" s="26"/>
      <c r="D1787" s="27"/>
      <c r="E1787" s="27"/>
      <c r="F1787" s="28"/>
      <c r="G1787" s="25"/>
      <c r="H1787" s="25"/>
      <c r="I1787" s="25"/>
      <c r="J1787" s="25"/>
      <c r="K1787" s="25"/>
      <c r="L1787" s="25"/>
      <c r="M1787" s="25"/>
      <c r="N1787" s="25"/>
      <c r="O1787" s="25"/>
      <c r="P1787" s="25"/>
      <c r="Q1787" s="25"/>
      <c r="R1787" s="25"/>
      <c r="S1787" s="25"/>
      <c r="T1787" s="22"/>
    </row>
    <row r="1788" spans="1:20" x14ac:dyDescent="0.35">
      <c r="A1788" s="21"/>
      <c r="B1788" s="23"/>
      <c r="C1788" s="26"/>
      <c r="D1788" s="27"/>
      <c r="E1788" s="27"/>
      <c r="F1788" s="28"/>
      <c r="G1788" s="25"/>
      <c r="H1788" s="25"/>
      <c r="I1788" s="25"/>
      <c r="J1788" s="25"/>
      <c r="K1788" s="25"/>
      <c r="L1788" s="25"/>
      <c r="M1788" s="25"/>
      <c r="N1788" s="25"/>
      <c r="O1788" s="25"/>
      <c r="P1788" s="25"/>
      <c r="Q1788" s="25"/>
      <c r="R1788" s="25"/>
      <c r="S1788" s="25"/>
      <c r="T1788" s="22"/>
    </row>
    <row r="1789" spans="1:20" x14ac:dyDescent="0.35">
      <c r="A1789" s="21"/>
      <c r="B1789" s="23"/>
      <c r="C1789" s="26"/>
      <c r="D1789" s="27"/>
      <c r="E1789" s="27"/>
      <c r="F1789" s="28"/>
      <c r="G1789" s="25"/>
      <c r="H1789" s="25"/>
      <c r="I1789" s="25"/>
      <c r="J1789" s="25"/>
      <c r="K1789" s="25"/>
      <c r="L1789" s="25"/>
      <c r="M1789" s="25"/>
      <c r="N1789" s="25"/>
      <c r="O1789" s="25"/>
      <c r="P1789" s="25"/>
      <c r="Q1789" s="25"/>
      <c r="R1789" s="25"/>
      <c r="S1789" s="25"/>
      <c r="T1789" s="22"/>
    </row>
    <row r="1790" spans="1:20" x14ac:dyDescent="0.35">
      <c r="A1790" s="21"/>
      <c r="B1790" s="23"/>
      <c r="C1790" s="26"/>
      <c r="D1790" s="27"/>
      <c r="E1790" s="27"/>
      <c r="F1790" s="28"/>
      <c r="G1790" s="25"/>
      <c r="H1790" s="25"/>
      <c r="I1790" s="25"/>
      <c r="J1790" s="25"/>
      <c r="K1790" s="25"/>
      <c r="L1790" s="25"/>
      <c r="M1790" s="25"/>
      <c r="N1790" s="25"/>
      <c r="O1790" s="25"/>
      <c r="P1790" s="25"/>
      <c r="Q1790" s="25"/>
      <c r="R1790" s="25"/>
      <c r="S1790" s="25"/>
      <c r="T1790" s="22"/>
    </row>
    <row r="1791" spans="1:20" x14ac:dyDescent="0.35">
      <c r="A1791" s="21"/>
      <c r="B1791" s="23"/>
      <c r="C1791" s="26"/>
      <c r="D1791" s="27"/>
      <c r="E1791" s="27"/>
      <c r="F1791" s="28"/>
      <c r="G1791" s="25"/>
      <c r="H1791" s="25"/>
      <c r="I1791" s="25"/>
      <c r="J1791" s="25"/>
      <c r="K1791" s="25"/>
      <c r="L1791" s="25"/>
      <c r="M1791" s="25"/>
      <c r="N1791" s="25"/>
      <c r="O1791" s="25"/>
      <c r="P1791" s="25"/>
      <c r="Q1791" s="25"/>
      <c r="R1791" s="25"/>
      <c r="S1791" s="25"/>
      <c r="T1791" s="22"/>
    </row>
    <row r="1792" spans="1:20" x14ac:dyDescent="0.35">
      <c r="A1792" s="21"/>
      <c r="B1792" s="23"/>
      <c r="C1792" s="26"/>
      <c r="D1792" s="27"/>
      <c r="E1792" s="27"/>
      <c r="F1792" s="28"/>
      <c r="G1792" s="25"/>
      <c r="H1792" s="25"/>
      <c r="I1792" s="25"/>
      <c r="J1792" s="25"/>
      <c r="K1792" s="25"/>
      <c r="L1792" s="25"/>
      <c r="M1792" s="25"/>
      <c r="N1792" s="25"/>
      <c r="O1792" s="25"/>
      <c r="P1792" s="25"/>
      <c r="Q1792" s="25"/>
      <c r="R1792" s="25"/>
      <c r="S1792" s="25"/>
      <c r="T1792" s="22"/>
    </row>
    <row r="1793" spans="1:20" x14ac:dyDescent="0.35">
      <c r="A1793" s="21"/>
      <c r="B1793" s="23"/>
      <c r="C1793" s="26"/>
      <c r="D1793" s="27"/>
      <c r="E1793" s="27"/>
      <c r="F1793" s="28"/>
      <c r="G1793" s="25"/>
      <c r="H1793" s="25"/>
      <c r="I1793" s="25"/>
      <c r="J1793" s="25"/>
      <c r="K1793" s="25"/>
      <c r="L1793" s="25"/>
      <c r="M1793" s="25"/>
      <c r="N1793" s="25"/>
      <c r="O1793" s="25"/>
      <c r="P1793" s="25"/>
      <c r="Q1793" s="25"/>
      <c r="R1793" s="25"/>
      <c r="S1793" s="25"/>
      <c r="T1793" s="14"/>
    </row>
    <row r="1794" spans="1:20" x14ac:dyDescent="0.35">
      <c r="A1794" s="21"/>
      <c r="B1794" s="23"/>
      <c r="C1794" s="26"/>
      <c r="D1794" s="27"/>
      <c r="E1794" s="27"/>
      <c r="F1794" s="28"/>
      <c r="G1794" s="25"/>
      <c r="H1794" s="25"/>
      <c r="I1794" s="25"/>
      <c r="J1794" s="25"/>
      <c r="K1794" s="25"/>
      <c r="L1794" s="25"/>
      <c r="M1794" s="25"/>
      <c r="N1794" s="25"/>
      <c r="O1794" s="25"/>
      <c r="P1794" s="25"/>
      <c r="Q1794" s="25"/>
      <c r="R1794" s="25"/>
      <c r="S1794" s="25"/>
      <c r="T1794" s="14"/>
    </row>
    <row r="1795" spans="1:20" x14ac:dyDescent="0.35">
      <c r="A1795" s="21"/>
      <c r="B1795" s="23"/>
      <c r="C1795" s="26"/>
      <c r="D1795" s="27"/>
      <c r="E1795" s="27"/>
      <c r="F1795" s="28"/>
      <c r="G1795" s="25"/>
      <c r="H1795" s="25"/>
      <c r="I1795" s="25"/>
      <c r="J1795" s="25"/>
      <c r="K1795" s="25"/>
      <c r="L1795" s="25"/>
      <c r="M1795" s="25"/>
      <c r="N1795" s="25"/>
      <c r="O1795" s="25"/>
      <c r="P1795" s="25"/>
      <c r="Q1795" s="25"/>
      <c r="R1795" s="25"/>
      <c r="S1795" s="25"/>
      <c r="T1795" s="14"/>
    </row>
    <row r="1796" spans="1:20" x14ac:dyDescent="0.35">
      <c r="A1796" s="21"/>
      <c r="B1796" s="23"/>
      <c r="C1796" s="26"/>
      <c r="D1796" s="27"/>
      <c r="E1796" s="27"/>
      <c r="F1796" s="28"/>
      <c r="G1796" s="25"/>
      <c r="H1796" s="25"/>
      <c r="I1796" s="25"/>
      <c r="J1796" s="25"/>
      <c r="K1796" s="25"/>
      <c r="L1796" s="25"/>
      <c r="M1796" s="25"/>
      <c r="N1796" s="25"/>
      <c r="O1796" s="25"/>
      <c r="P1796" s="25"/>
      <c r="Q1796" s="25"/>
      <c r="R1796" s="25"/>
      <c r="S1796" s="25"/>
      <c r="T1796" s="14"/>
    </row>
    <row r="1797" spans="1:20" x14ac:dyDescent="0.35">
      <c r="A1797" s="21"/>
      <c r="B1797" s="23"/>
      <c r="C1797" s="26"/>
      <c r="D1797" s="27"/>
      <c r="E1797" s="27"/>
      <c r="F1797" s="28"/>
      <c r="G1797" s="25"/>
      <c r="H1797" s="25"/>
      <c r="I1797" s="25"/>
      <c r="J1797" s="25"/>
      <c r="K1797" s="25"/>
      <c r="L1797" s="25"/>
      <c r="M1797" s="25"/>
      <c r="N1797" s="25"/>
      <c r="O1797" s="25"/>
      <c r="P1797" s="25"/>
      <c r="Q1797" s="25"/>
      <c r="R1797" s="25"/>
      <c r="S1797" s="25"/>
      <c r="T1797" s="14"/>
    </row>
    <row r="1798" spans="1:20" x14ac:dyDescent="0.35">
      <c r="A1798" s="21"/>
      <c r="B1798" s="23"/>
      <c r="C1798" s="26"/>
      <c r="D1798" s="27"/>
      <c r="E1798" s="27"/>
      <c r="F1798" s="28"/>
      <c r="G1798" s="25"/>
      <c r="H1798" s="25"/>
      <c r="I1798" s="25"/>
      <c r="J1798" s="25"/>
      <c r="K1798" s="25"/>
      <c r="L1798" s="25"/>
      <c r="M1798" s="25"/>
      <c r="N1798" s="25"/>
      <c r="O1798" s="25"/>
      <c r="P1798" s="25"/>
      <c r="Q1798" s="25"/>
      <c r="R1798" s="25"/>
      <c r="S1798" s="25"/>
      <c r="T1798" s="14"/>
    </row>
    <row r="1799" spans="1:20" x14ac:dyDescent="0.35">
      <c r="A1799" s="21"/>
      <c r="B1799" s="23"/>
      <c r="C1799" s="26"/>
      <c r="D1799" s="27"/>
      <c r="E1799" s="27"/>
      <c r="F1799" s="28"/>
      <c r="G1799" s="25"/>
      <c r="H1799" s="25"/>
      <c r="I1799" s="25"/>
      <c r="J1799" s="25"/>
      <c r="K1799" s="25"/>
      <c r="L1799" s="25"/>
      <c r="M1799" s="25"/>
      <c r="N1799" s="25"/>
      <c r="O1799" s="25"/>
      <c r="P1799" s="25"/>
      <c r="Q1799" s="25"/>
      <c r="R1799" s="25"/>
      <c r="S1799" s="25"/>
      <c r="T1799" s="14"/>
    </row>
    <row r="1800" spans="1:20" x14ac:dyDescent="0.35">
      <c r="A1800" s="21"/>
      <c r="B1800" s="23"/>
      <c r="C1800" s="26"/>
      <c r="D1800" s="27"/>
      <c r="E1800" s="27"/>
      <c r="F1800" s="28"/>
      <c r="G1800" s="25"/>
      <c r="H1800" s="25"/>
      <c r="I1800" s="25"/>
      <c r="J1800" s="25"/>
      <c r="K1800" s="25"/>
      <c r="L1800" s="25"/>
      <c r="M1800" s="25"/>
      <c r="N1800" s="25"/>
      <c r="O1800" s="25"/>
      <c r="P1800" s="25"/>
      <c r="Q1800" s="25"/>
      <c r="R1800" s="25"/>
      <c r="S1800" s="25"/>
      <c r="T1800" s="22"/>
    </row>
    <row r="1801" spans="1:20" x14ac:dyDescent="0.35">
      <c r="A1801" s="21"/>
      <c r="B1801" s="23"/>
      <c r="C1801" s="26"/>
      <c r="D1801" s="27"/>
      <c r="E1801" s="27"/>
      <c r="F1801" s="28"/>
      <c r="G1801" s="25"/>
      <c r="H1801" s="25"/>
      <c r="I1801" s="25"/>
      <c r="J1801" s="25"/>
      <c r="K1801" s="25"/>
      <c r="L1801" s="25"/>
      <c r="M1801" s="25"/>
      <c r="N1801" s="25"/>
      <c r="O1801" s="25"/>
      <c r="P1801" s="25"/>
      <c r="Q1801" s="25"/>
      <c r="R1801" s="25"/>
      <c r="S1801" s="25"/>
      <c r="T1801" s="22"/>
    </row>
    <row r="1802" spans="1:20" x14ac:dyDescent="0.35">
      <c r="A1802" s="21"/>
      <c r="B1802" s="23"/>
      <c r="C1802" s="26"/>
      <c r="D1802" s="27"/>
      <c r="E1802" s="27"/>
      <c r="F1802" s="28"/>
      <c r="G1802" s="25"/>
      <c r="H1802" s="25"/>
      <c r="I1802" s="25"/>
      <c r="J1802" s="25"/>
      <c r="K1802" s="25"/>
      <c r="L1802" s="25"/>
      <c r="M1802" s="25"/>
      <c r="N1802" s="25"/>
      <c r="O1802" s="25"/>
      <c r="P1802" s="25"/>
      <c r="Q1802" s="25"/>
      <c r="R1802" s="25"/>
      <c r="S1802" s="25"/>
      <c r="T1802" s="22"/>
    </row>
    <row r="1803" spans="1:20" x14ac:dyDescent="0.35">
      <c r="A1803" s="21"/>
      <c r="B1803" s="23"/>
      <c r="C1803" s="26"/>
      <c r="D1803" s="27"/>
      <c r="E1803" s="27"/>
      <c r="F1803" s="28"/>
      <c r="G1803" s="25"/>
      <c r="H1803" s="25"/>
      <c r="I1803" s="25"/>
      <c r="J1803" s="25"/>
      <c r="K1803" s="25"/>
      <c r="L1803" s="25"/>
      <c r="M1803" s="25"/>
      <c r="N1803" s="25"/>
      <c r="O1803" s="25"/>
      <c r="P1803" s="25"/>
      <c r="Q1803" s="25"/>
      <c r="R1803" s="25"/>
      <c r="S1803" s="25"/>
      <c r="T1803" s="22"/>
    </row>
    <row r="1804" spans="1:20" x14ac:dyDescent="0.35">
      <c r="A1804" s="21"/>
      <c r="B1804" s="23"/>
      <c r="C1804" s="26"/>
      <c r="D1804" s="27"/>
      <c r="E1804" s="27"/>
      <c r="F1804" s="28"/>
      <c r="G1804" s="25"/>
      <c r="H1804" s="25"/>
      <c r="I1804" s="25"/>
      <c r="J1804" s="25"/>
      <c r="K1804" s="25"/>
      <c r="L1804" s="25"/>
      <c r="M1804" s="25"/>
      <c r="N1804" s="25"/>
      <c r="O1804" s="25"/>
      <c r="P1804" s="25"/>
      <c r="Q1804" s="25"/>
      <c r="R1804" s="25"/>
      <c r="S1804" s="25"/>
      <c r="T1804" s="22"/>
    </row>
    <row r="1805" spans="1:20" x14ac:dyDescent="0.35">
      <c r="A1805" s="21"/>
      <c r="B1805" s="23"/>
      <c r="C1805" s="26"/>
      <c r="D1805" s="27"/>
      <c r="E1805" s="27"/>
      <c r="F1805" s="28"/>
      <c r="G1805" s="25"/>
      <c r="H1805" s="25"/>
      <c r="I1805" s="25"/>
      <c r="J1805" s="25"/>
      <c r="K1805" s="25"/>
      <c r="L1805" s="25"/>
      <c r="M1805" s="25"/>
      <c r="N1805" s="25"/>
      <c r="O1805" s="25"/>
      <c r="P1805" s="25"/>
      <c r="Q1805" s="25"/>
      <c r="R1805" s="25"/>
      <c r="S1805" s="25"/>
      <c r="T1805" s="22"/>
    </row>
    <row r="1806" spans="1:20" x14ac:dyDescent="0.35">
      <c r="A1806" s="21"/>
      <c r="B1806" s="23"/>
      <c r="C1806" s="26"/>
      <c r="D1806" s="27"/>
      <c r="E1806" s="27"/>
      <c r="F1806" s="28"/>
      <c r="G1806" s="25"/>
      <c r="H1806" s="25"/>
      <c r="I1806" s="25"/>
      <c r="J1806" s="25"/>
      <c r="K1806" s="25"/>
      <c r="L1806" s="25"/>
      <c r="M1806" s="25"/>
      <c r="N1806" s="25"/>
      <c r="O1806" s="25"/>
      <c r="P1806" s="25"/>
      <c r="Q1806" s="25"/>
      <c r="R1806" s="25"/>
      <c r="S1806" s="25"/>
      <c r="T1806" s="22"/>
    </row>
    <row r="1807" spans="1:20" x14ac:dyDescent="0.35">
      <c r="A1807" s="21"/>
      <c r="B1807" s="23"/>
      <c r="C1807" s="26"/>
      <c r="D1807" s="27"/>
      <c r="E1807" s="27"/>
      <c r="F1807" s="28"/>
      <c r="G1807" s="25"/>
      <c r="H1807" s="25"/>
      <c r="I1807" s="25"/>
      <c r="J1807" s="25"/>
      <c r="K1807" s="25"/>
      <c r="L1807" s="25"/>
      <c r="M1807" s="25"/>
      <c r="N1807" s="25"/>
      <c r="O1807" s="25"/>
      <c r="P1807" s="25"/>
      <c r="Q1807" s="25"/>
      <c r="R1807" s="25"/>
      <c r="S1807" s="25"/>
      <c r="T1807" s="22"/>
    </row>
    <row r="1808" spans="1:20" x14ac:dyDescent="0.35">
      <c r="A1808" s="21"/>
      <c r="B1808" s="23"/>
      <c r="C1808" s="26"/>
      <c r="D1808" s="27"/>
      <c r="E1808" s="27"/>
      <c r="F1808" s="28"/>
      <c r="G1808" s="25"/>
      <c r="H1808" s="25"/>
      <c r="I1808" s="25"/>
      <c r="J1808" s="25"/>
      <c r="K1808" s="25"/>
      <c r="L1808" s="25"/>
      <c r="M1808" s="25"/>
      <c r="N1808" s="25"/>
      <c r="O1808" s="25"/>
      <c r="P1808" s="25"/>
      <c r="Q1808" s="25"/>
      <c r="R1808" s="25"/>
      <c r="S1808" s="25"/>
      <c r="T1808" s="22"/>
    </row>
    <row r="1809" spans="1:20" x14ac:dyDescent="0.35">
      <c r="A1809" s="21"/>
      <c r="B1809" s="23"/>
      <c r="C1809" s="26"/>
      <c r="D1809" s="27"/>
      <c r="E1809" s="27"/>
      <c r="F1809" s="28"/>
      <c r="G1809" s="25"/>
      <c r="H1809" s="25"/>
      <c r="I1809" s="25"/>
      <c r="J1809" s="25"/>
      <c r="K1809" s="25"/>
      <c r="L1809" s="25"/>
      <c r="M1809" s="25"/>
      <c r="N1809" s="25"/>
      <c r="O1809" s="25"/>
      <c r="P1809" s="25"/>
      <c r="Q1809" s="25"/>
      <c r="R1809" s="25"/>
      <c r="S1809" s="25"/>
      <c r="T1809" s="14"/>
    </row>
    <row r="1810" spans="1:20" x14ac:dyDescent="0.35">
      <c r="A1810" s="21"/>
      <c r="B1810" s="23"/>
      <c r="C1810" s="26"/>
      <c r="D1810" s="27"/>
      <c r="E1810" s="27"/>
      <c r="F1810" s="28"/>
      <c r="G1810" s="25"/>
      <c r="H1810" s="25"/>
      <c r="I1810" s="25"/>
      <c r="J1810" s="25"/>
      <c r="K1810" s="25"/>
      <c r="L1810" s="25"/>
      <c r="M1810" s="25"/>
      <c r="N1810" s="25"/>
      <c r="O1810" s="25"/>
      <c r="P1810" s="25"/>
      <c r="Q1810" s="25"/>
      <c r="R1810" s="25"/>
      <c r="S1810" s="25"/>
      <c r="T1810" s="14"/>
    </row>
    <row r="1811" spans="1:20" x14ac:dyDescent="0.35">
      <c r="A1811" s="21"/>
      <c r="B1811" s="23"/>
      <c r="C1811" s="26"/>
      <c r="D1811" s="27"/>
      <c r="E1811" s="27"/>
      <c r="F1811" s="28"/>
      <c r="G1811" s="25"/>
      <c r="H1811" s="25"/>
      <c r="I1811" s="25"/>
      <c r="J1811" s="25"/>
      <c r="K1811" s="25"/>
      <c r="L1811" s="25"/>
      <c r="M1811" s="25"/>
      <c r="N1811" s="25"/>
      <c r="O1811" s="25"/>
      <c r="P1811" s="25"/>
      <c r="Q1811" s="25"/>
      <c r="R1811" s="25"/>
      <c r="S1811" s="25"/>
      <c r="T1811" s="14"/>
    </row>
    <row r="1812" spans="1:20" x14ac:dyDescent="0.35">
      <c r="A1812" s="21"/>
      <c r="B1812" s="23"/>
      <c r="C1812" s="26"/>
      <c r="D1812" s="27"/>
      <c r="E1812" s="27"/>
      <c r="F1812" s="28"/>
      <c r="G1812" s="25"/>
      <c r="H1812" s="25"/>
      <c r="I1812" s="25"/>
      <c r="J1812" s="25"/>
      <c r="K1812" s="25"/>
      <c r="L1812" s="25"/>
      <c r="M1812" s="25"/>
      <c r="N1812" s="25"/>
      <c r="O1812" s="25"/>
      <c r="P1812" s="25"/>
      <c r="Q1812" s="25"/>
      <c r="R1812" s="25"/>
      <c r="S1812" s="25"/>
      <c r="T1812" s="14"/>
    </row>
    <row r="1813" spans="1:20" x14ac:dyDescent="0.35">
      <c r="A1813" s="21"/>
      <c r="B1813" s="23"/>
      <c r="C1813" s="26"/>
      <c r="D1813" s="27"/>
      <c r="E1813" s="27"/>
      <c r="F1813" s="28"/>
      <c r="G1813" s="25"/>
      <c r="H1813" s="25"/>
      <c r="I1813" s="25"/>
      <c r="J1813" s="25"/>
      <c r="K1813" s="25"/>
      <c r="L1813" s="25"/>
      <c r="M1813" s="25"/>
      <c r="N1813" s="25"/>
      <c r="O1813" s="25"/>
      <c r="P1813" s="25"/>
      <c r="Q1813" s="25"/>
      <c r="R1813" s="25"/>
      <c r="S1813" s="25"/>
      <c r="T1813" s="14"/>
    </row>
    <row r="1814" spans="1:20" x14ac:dyDescent="0.35">
      <c r="A1814" s="21"/>
      <c r="B1814" s="23"/>
      <c r="C1814" s="26"/>
      <c r="D1814" s="27"/>
      <c r="E1814" s="27"/>
      <c r="F1814" s="28"/>
      <c r="G1814" s="25"/>
      <c r="H1814" s="25"/>
      <c r="I1814" s="25"/>
      <c r="J1814" s="25"/>
      <c r="K1814" s="25"/>
      <c r="L1814" s="25"/>
      <c r="M1814" s="25"/>
      <c r="N1814" s="25"/>
      <c r="O1814" s="25"/>
      <c r="P1814" s="25"/>
      <c r="Q1814" s="25"/>
      <c r="R1814" s="25"/>
      <c r="S1814" s="25"/>
      <c r="T1814" s="14"/>
    </row>
    <row r="1815" spans="1:20" x14ac:dyDescent="0.35">
      <c r="A1815" s="21"/>
      <c r="B1815" s="23"/>
      <c r="C1815" s="26"/>
      <c r="D1815" s="27"/>
      <c r="E1815" s="27"/>
      <c r="F1815" s="28"/>
      <c r="G1815" s="25"/>
      <c r="H1815" s="25"/>
      <c r="I1815" s="25"/>
      <c r="J1815" s="25"/>
      <c r="K1815" s="25"/>
      <c r="L1815" s="25"/>
      <c r="M1815" s="25"/>
      <c r="N1815" s="25"/>
      <c r="O1815" s="25"/>
      <c r="P1815" s="25"/>
      <c r="Q1815" s="25"/>
      <c r="R1815" s="25"/>
      <c r="S1815" s="25"/>
      <c r="T1815" s="14"/>
    </row>
    <row r="1816" spans="1:20" x14ac:dyDescent="0.35">
      <c r="A1816" s="21"/>
      <c r="B1816" s="23"/>
      <c r="C1816" s="26"/>
      <c r="D1816" s="27"/>
      <c r="E1816" s="27"/>
      <c r="F1816" s="28"/>
      <c r="G1816" s="25"/>
      <c r="H1816" s="25"/>
      <c r="I1816" s="25"/>
      <c r="J1816" s="25"/>
      <c r="K1816" s="25"/>
      <c r="L1816" s="25"/>
      <c r="M1816" s="25"/>
      <c r="N1816" s="25"/>
      <c r="O1816" s="25"/>
      <c r="P1816" s="25"/>
      <c r="Q1816" s="25"/>
      <c r="R1816" s="25"/>
      <c r="S1816" s="25"/>
      <c r="T1816" s="14"/>
    </row>
    <row r="1817" spans="1:20" x14ac:dyDescent="0.35">
      <c r="A1817" s="21"/>
      <c r="B1817" s="23"/>
      <c r="C1817" s="26"/>
      <c r="D1817" s="27"/>
      <c r="E1817" s="27"/>
      <c r="F1817" s="28"/>
      <c r="G1817" s="25"/>
      <c r="H1817" s="25"/>
      <c r="I1817" s="25"/>
      <c r="J1817" s="25"/>
      <c r="K1817" s="25"/>
      <c r="L1817" s="25"/>
      <c r="M1817" s="25"/>
      <c r="N1817" s="25"/>
      <c r="O1817" s="25"/>
      <c r="P1817" s="25"/>
      <c r="Q1817" s="25"/>
      <c r="R1817" s="25"/>
      <c r="S1817" s="25"/>
      <c r="T1817" s="14"/>
    </row>
    <row r="1818" spans="1:20" x14ac:dyDescent="0.35">
      <c r="A1818" s="21"/>
      <c r="B1818" s="23"/>
      <c r="C1818" s="26"/>
      <c r="D1818" s="27"/>
      <c r="E1818" s="27"/>
      <c r="F1818" s="28"/>
      <c r="G1818" s="25"/>
      <c r="H1818" s="25"/>
      <c r="I1818" s="25"/>
      <c r="J1818" s="25"/>
      <c r="K1818" s="25"/>
      <c r="L1818" s="25"/>
      <c r="M1818" s="25"/>
      <c r="N1818" s="25"/>
      <c r="O1818" s="25"/>
      <c r="P1818" s="25"/>
      <c r="Q1818" s="25"/>
      <c r="R1818" s="25"/>
      <c r="S1818" s="25"/>
      <c r="T1818" s="14"/>
    </row>
    <row r="1819" spans="1:20" x14ac:dyDescent="0.35">
      <c r="A1819" s="21"/>
      <c r="B1819" s="23"/>
      <c r="C1819" s="26"/>
      <c r="D1819" s="27"/>
      <c r="E1819" s="27"/>
      <c r="F1819" s="28"/>
      <c r="G1819" s="25"/>
      <c r="H1819" s="25"/>
      <c r="I1819" s="25"/>
      <c r="J1819" s="25"/>
      <c r="K1819" s="25"/>
      <c r="L1819" s="25"/>
      <c r="M1819" s="25"/>
      <c r="N1819" s="25"/>
      <c r="O1819" s="25"/>
      <c r="P1819" s="25"/>
      <c r="Q1819" s="25"/>
      <c r="R1819" s="25"/>
      <c r="S1819" s="25"/>
      <c r="T1819" s="14"/>
    </row>
    <row r="1820" spans="1:20" x14ac:dyDescent="0.35">
      <c r="A1820" s="21"/>
      <c r="B1820" s="23"/>
      <c r="C1820" s="26"/>
      <c r="D1820" s="27"/>
      <c r="E1820" s="27"/>
      <c r="F1820" s="28"/>
      <c r="G1820" s="25"/>
      <c r="H1820" s="25"/>
      <c r="I1820" s="25"/>
      <c r="J1820" s="25"/>
      <c r="K1820" s="25"/>
      <c r="L1820" s="25"/>
      <c r="M1820" s="25"/>
      <c r="N1820" s="25"/>
      <c r="O1820" s="25"/>
      <c r="P1820" s="25"/>
      <c r="Q1820" s="25"/>
      <c r="R1820" s="25"/>
      <c r="S1820" s="25"/>
      <c r="T1820" s="14"/>
    </row>
    <row r="1821" spans="1:20" x14ac:dyDescent="0.35">
      <c r="A1821" s="21"/>
      <c r="B1821" s="23"/>
      <c r="C1821" s="26"/>
      <c r="D1821" s="27"/>
      <c r="E1821" s="27"/>
      <c r="F1821" s="28"/>
      <c r="G1821" s="25"/>
      <c r="H1821" s="25"/>
      <c r="I1821" s="25"/>
      <c r="J1821" s="25"/>
      <c r="K1821" s="25"/>
      <c r="L1821" s="25"/>
      <c r="M1821" s="25"/>
      <c r="N1821" s="25"/>
      <c r="O1821" s="25"/>
      <c r="P1821" s="25"/>
      <c r="Q1821" s="25"/>
      <c r="R1821" s="25"/>
      <c r="S1821" s="25"/>
      <c r="T1821" s="14"/>
    </row>
    <row r="1822" spans="1:20" x14ac:dyDescent="0.35">
      <c r="A1822" s="21"/>
      <c r="B1822" s="23"/>
      <c r="C1822" s="26"/>
      <c r="D1822" s="27"/>
      <c r="E1822" s="27"/>
      <c r="F1822" s="28"/>
      <c r="G1822" s="25"/>
      <c r="H1822" s="25"/>
      <c r="I1822" s="25"/>
      <c r="J1822" s="25"/>
      <c r="K1822" s="25"/>
      <c r="L1822" s="25"/>
      <c r="M1822" s="25"/>
      <c r="N1822" s="25"/>
      <c r="O1822" s="25"/>
      <c r="P1822" s="25"/>
      <c r="Q1822" s="25"/>
      <c r="R1822" s="25"/>
      <c r="S1822" s="25"/>
      <c r="T1822" s="14"/>
    </row>
    <row r="1823" spans="1:20" x14ac:dyDescent="0.35">
      <c r="A1823" s="21"/>
      <c r="B1823" s="23"/>
      <c r="C1823" s="26"/>
      <c r="D1823" s="27"/>
      <c r="E1823" s="27"/>
      <c r="F1823" s="28"/>
      <c r="G1823" s="25"/>
      <c r="H1823" s="25"/>
      <c r="I1823" s="25"/>
      <c r="J1823" s="25"/>
      <c r="K1823" s="25"/>
      <c r="L1823" s="25"/>
      <c r="M1823" s="25"/>
      <c r="N1823" s="25"/>
      <c r="O1823" s="25"/>
      <c r="P1823" s="25"/>
      <c r="Q1823" s="25"/>
      <c r="R1823" s="25"/>
      <c r="S1823" s="25"/>
      <c r="T1823" s="14"/>
    </row>
    <row r="1824" spans="1:20" x14ac:dyDescent="0.35">
      <c r="A1824" s="21"/>
      <c r="B1824" s="23"/>
      <c r="C1824" s="26"/>
      <c r="D1824" s="27"/>
      <c r="E1824" s="27"/>
      <c r="F1824" s="28"/>
      <c r="G1824" s="25"/>
      <c r="H1824" s="25"/>
      <c r="I1824" s="25"/>
      <c r="J1824" s="25"/>
      <c r="K1824" s="25"/>
      <c r="L1824" s="25"/>
      <c r="M1824" s="25"/>
      <c r="N1824" s="25"/>
      <c r="O1824" s="25"/>
      <c r="P1824" s="25"/>
      <c r="Q1824" s="25"/>
      <c r="R1824" s="25"/>
      <c r="S1824" s="25"/>
      <c r="T1824" s="22"/>
    </row>
    <row r="1825" spans="1:20" x14ac:dyDescent="0.35">
      <c r="A1825" s="21"/>
      <c r="B1825" s="23"/>
      <c r="C1825" s="26"/>
      <c r="D1825" s="27"/>
      <c r="E1825" s="27"/>
      <c r="F1825" s="28"/>
      <c r="G1825" s="25"/>
      <c r="H1825" s="25"/>
      <c r="I1825" s="25"/>
      <c r="J1825" s="25"/>
      <c r="K1825" s="25"/>
      <c r="L1825" s="25"/>
      <c r="M1825" s="25"/>
      <c r="N1825" s="25"/>
      <c r="O1825" s="25"/>
      <c r="P1825" s="25"/>
      <c r="Q1825" s="25"/>
      <c r="R1825" s="25"/>
      <c r="S1825" s="25"/>
      <c r="T1825" s="22"/>
    </row>
    <row r="1826" spans="1:20" x14ac:dyDescent="0.35">
      <c r="A1826" s="21"/>
      <c r="B1826" s="23"/>
      <c r="C1826" s="26"/>
      <c r="D1826" s="27"/>
      <c r="E1826" s="27"/>
      <c r="F1826" s="28"/>
      <c r="G1826" s="25"/>
      <c r="H1826" s="25"/>
      <c r="I1826" s="25"/>
      <c r="J1826" s="25"/>
      <c r="K1826" s="25"/>
      <c r="L1826" s="25"/>
      <c r="M1826" s="25"/>
      <c r="N1826" s="25"/>
      <c r="O1826" s="25"/>
      <c r="P1826" s="25"/>
      <c r="Q1826" s="25"/>
      <c r="R1826" s="25"/>
      <c r="S1826" s="25"/>
      <c r="T1826" s="22"/>
    </row>
    <row r="1827" spans="1:20" x14ac:dyDescent="0.35">
      <c r="A1827" s="21"/>
      <c r="B1827" s="23"/>
      <c r="C1827" s="26"/>
      <c r="D1827" s="27"/>
      <c r="E1827" s="27"/>
      <c r="F1827" s="28"/>
      <c r="G1827" s="25"/>
      <c r="H1827" s="25"/>
      <c r="I1827" s="25"/>
      <c r="J1827" s="25"/>
      <c r="K1827" s="25"/>
      <c r="L1827" s="25"/>
      <c r="M1827" s="25"/>
      <c r="N1827" s="25"/>
      <c r="O1827" s="25"/>
      <c r="P1827" s="25"/>
      <c r="Q1827" s="25"/>
      <c r="R1827" s="25"/>
      <c r="S1827" s="25"/>
      <c r="T1827" s="22"/>
    </row>
    <row r="1828" spans="1:20" x14ac:dyDescent="0.35">
      <c r="A1828" s="21"/>
      <c r="B1828" s="23"/>
      <c r="C1828" s="26"/>
      <c r="D1828" s="27"/>
      <c r="E1828" s="27"/>
      <c r="F1828" s="28"/>
      <c r="G1828" s="25"/>
      <c r="H1828" s="25"/>
      <c r="I1828" s="25"/>
      <c r="J1828" s="25"/>
      <c r="K1828" s="25"/>
      <c r="L1828" s="25"/>
      <c r="M1828" s="25"/>
      <c r="N1828" s="25"/>
      <c r="O1828" s="25"/>
      <c r="P1828" s="25"/>
      <c r="Q1828" s="25"/>
      <c r="R1828" s="25"/>
      <c r="S1828" s="25"/>
      <c r="T1828" s="22"/>
    </row>
    <row r="1829" spans="1:20" x14ac:dyDescent="0.35">
      <c r="A1829" s="21"/>
      <c r="B1829" s="23"/>
      <c r="C1829" s="26"/>
      <c r="D1829" s="27"/>
      <c r="E1829" s="27"/>
      <c r="F1829" s="28"/>
      <c r="G1829" s="25"/>
      <c r="H1829" s="25"/>
      <c r="I1829" s="25"/>
      <c r="J1829" s="25"/>
      <c r="K1829" s="25"/>
      <c r="L1829" s="25"/>
      <c r="M1829" s="25"/>
      <c r="N1829" s="25"/>
      <c r="O1829" s="25"/>
      <c r="P1829" s="25"/>
      <c r="Q1829" s="25"/>
      <c r="R1829" s="25"/>
      <c r="S1829" s="25"/>
      <c r="T1829" s="22"/>
    </row>
    <row r="1830" spans="1:20" x14ac:dyDescent="0.35">
      <c r="A1830" s="21"/>
      <c r="B1830" s="23"/>
      <c r="C1830" s="26"/>
      <c r="D1830" s="27"/>
      <c r="E1830" s="27"/>
      <c r="F1830" s="28"/>
      <c r="G1830" s="25"/>
      <c r="H1830" s="25"/>
      <c r="I1830" s="25"/>
      <c r="J1830" s="25"/>
      <c r="K1830" s="25"/>
      <c r="L1830" s="25"/>
      <c r="M1830" s="25"/>
      <c r="N1830" s="25"/>
      <c r="O1830" s="25"/>
      <c r="P1830" s="25"/>
      <c r="Q1830" s="25"/>
      <c r="R1830" s="25"/>
      <c r="S1830" s="25"/>
      <c r="T1830" s="22"/>
    </row>
    <row r="1831" spans="1:20" x14ac:dyDescent="0.35">
      <c r="A1831" s="21"/>
      <c r="B1831" s="23"/>
      <c r="C1831" s="26"/>
      <c r="D1831" s="27"/>
      <c r="E1831" s="27"/>
      <c r="F1831" s="28"/>
      <c r="G1831" s="25"/>
      <c r="H1831" s="25"/>
      <c r="I1831" s="25"/>
      <c r="J1831" s="25"/>
      <c r="K1831" s="25"/>
      <c r="L1831" s="25"/>
      <c r="M1831" s="25"/>
      <c r="N1831" s="25"/>
      <c r="O1831" s="25"/>
      <c r="P1831" s="25"/>
      <c r="Q1831" s="25"/>
      <c r="R1831" s="25"/>
      <c r="S1831" s="25"/>
      <c r="T1831" s="22"/>
    </row>
    <row r="1832" spans="1:20" x14ac:dyDescent="0.35">
      <c r="A1832" s="21"/>
      <c r="B1832" s="23"/>
      <c r="C1832" s="26"/>
      <c r="D1832" s="27"/>
      <c r="E1832" s="27"/>
      <c r="F1832" s="28"/>
      <c r="G1832" s="25"/>
      <c r="H1832" s="25"/>
      <c r="I1832" s="25"/>
      <c r="J1832" s="25"/>
      <c r="K1832" s="25"/>
      <c r="L1832" s="25"/>
      <c r="M1832" s="25"/>
      <c r="N1832" s="25"/>
      <c r="O1832" s="25"/>
      <c r="P1832" s="25"/>
      <c r="Q1832" s="25"/>
      <c r="R1832" s="25"/>
      <c r="S1832" s="25"/>
      <c r="T1832" s="22"/>
    </row>
    <row r="1833" spans="1:20" x14ac:dyDescent="0.35">
      <c r="A1833" s="21"/>
      <c r="B1833" s="23"/>
      <c r="C1833" s="26"/>
      <c r="D1833" s="27"/>
      <c r="E1833" s="27"/>
      <c r="F1833" s="28"/>
      <c r="G1833" s="25"/>
      <c r="H1833" s="25"/>
      <c r="I1833" s="25"/>
      <c r="J1833" s="25"/>
      <c r="K1833" s="25"/>
      <c r="L1833" s="25"/>
      <c r="M1833" s="25"/>
      <c r="N1833" s="25"/>
      <c r="O1833" s="25"/>
      <c r="P1833" s="25"/>
      <c r="Q1833" s="25"/>
      <c r="R1833" s="25"/>
      <c r="S1833" s="25"/>
      <c r="T1833" s="22"/>
    </row>
    <row r="1834" spans="1:20" x14ac:dyDescent="0.35">
      <c r="A1834" s="21"/>
      <c r="B1834" s="23"/>
      <c r="C1834" s="26"/>
      <c r="D1834" s="27"/>
      <c r="E1834" s="27"/>
      <c r="F1834" s="28"/>
      <c r="G1834" s="25"/>
      <c r="H1834" s="25"/>
      <c r="I1834" s="25"/>
      <c r="J1834" s="25"/>
      <c r="K1834" s="25"/>
      <c r="L1834" s="25"/>
      <c r="M1834" s="25"/>
      <c r="N1834" s="25"/>
      <c r="O1834" s="25"/>
      <c r="P1834" s="25"/>
      <c r="Q1834" s="25"/>
      <c r="R1834" s="25"/>
      <c r="S1834" s="25"/>
      <c r="T1834" s="22"/>
    </row>
    <row r="1835" spans="1:20" x14ac:dyDescent="0.35">
      <c r="A1835" s="21"/>
      <c r="B1835" s="23"/>
      <c r="C1835" s="26"/>
      <c r="D1835" s="27"/>
      <c r="E1835" s="27"/>
      <c r="F1835" s="28"/>
      <c r="G1835" s="25"/>
      <c r="H1835" s="25"/>
      <c r="I1835" s="25"/>
      <c r="J1835" s="25"/>
      <c r="K1835" s="25"/>
      <c r="L1835" s="25"/>
      <c r="M1835" s="25"/>
      <c r="N1835" s="25"/>
      <c r="O1835" s="25"/>
      <c r="P1835" s="25"/>
      <c r="Q1835" s="25"/>
      <c r="R1835" s="25"/>
      <c r="S1835" s="25"/>
      <c r="T1835" s="22"/>
    </row>
    <row r="1836" spans="1:20" x14ac:dyDescent="0.35">
      <c r="A1836" s="21"/>
      <c r="B1836" s="23"/>
      <c r="C1836" s="26"/>
      <c r="D1836" s="27"/>
      <c r="E1836" s="27"/>
      <c r="F1836" s="28"/>
      <c r="G1836" s="25"/>
      <c r="H1836" s="25"/>
      <c r="I1836" s="25"/>
      <c r="J1836" s="25"/>
      <c r="K1836" s="25"/>
      <c r="L1836" s="25"/>
      <c r="M1836" s="25"/>
      <c r="N1836" s="25"/>
      <c r="O1836" s="25"/>
      <c r="P1836" s="25"/>
      <c r="Q1836" s="25"/>
      <c r="R1836" s="25"/>
      <c r="S1836" s="25"/>
      <c r="T1836" s="22"/>
    </row>
    <row r="1837" spans="1:20" x14ac:dyDescent="0.35">
      <c r="A1837" s="21"/>
      <c r="B1837" s="23"/>
      <c r="C1837" s="26"/>
      <c r="D1837" s="27"/>
      <c r="E1837" s="27"/>
      <c r="F1837" s="28"/>
      <c r="G1837" s="25"/>
      <c r="H1837" s="25"/>
      <c r="I1837" s="25"/>
      <c r="J1837" s="25"/>
      <c r="K1837" s="25"/>
      <c r="L1837" s="25"/>
      <c r="M1837" s="25"/>
      <c r="N1837" s="25"/>
      <c r="O1837" s="25"/>
      <c r="P1837" s="25"/>
      <c r="Q1837" s="25"/>
      <c r="R1837" s="25"/>
      <c r="S1837" s="25"/>
      <c r="T1837" s="22"/>
    </row>
    <row r="1838" spans="1:20" x14ac:dyDescent="0.35">
      <c r="A1838" s="21"/>
      <c r="B1838" s="23"/>
      <c r="C1838" s="26"/>
      <c r="D1838" s="27"/>
      <c r="E1838" s="27"/>
      <c r="F1838" s="28"/>
      <c r="G1838" s="25"/>
      <c r="H1838" s="25"/>
      <c r="I1838" s="25"/>
      <c r="J1838" s="25"/>
      <c r="K1838" s="25"/>
      <c r="L1838" s="25"/>
      <c r="M1838" s="25"/>
      <c r="N1838" s="25"/>
      <c r="O1838" s="25"/>
      <c r="P1838" s="25"/>
      <c r="Q1838" s="25"/>
      <c r="R1838" s="25"/>
      <c r="S1838" s="25"/>
      <c r="T1838" s="22"/>
    </row>
    <row r="1839" spans="1:20" x14ac:dyDescent="0.35">
      <c r="A1839" s="21"/>
      <c r="B1839" s="23"/>
      <c r="C1839" s="26"/>
      <c r="D1839" s="27"/>
      <c r="E1839" s="27"/>
      <c r="F1839" s="28"/>
      <c r="G1839" s="25"/>
      <c r="H1839" s="25"/>
      <c r="I1839" s="25"/>
      <c r="J1839" s="25"/>
      <c r="K1839" s="25"/>
      <c r="L1839" s="25"/>
      <c r="M1839" s="25"/>
      <c r="N1839" s="25"/>
      <c r="O1839" s="25"/>
      <c r="P1839" s="25"/>
      <c r="Q1839" s="25"/>
      <c r="R1839" s="25"/>
      <c r="S1839" s="25"/>
      <c r="T1839" s="22"/>
    </row>
    <row r="1840" spans="1:20" x14ac:dyDescent="0.35">
      <c r="A1840" s="21"/>
      <c r="B1840" s="23"/>
      <c r="C1840" s="26"/>
      <c r="D1840" s="27"/>
      <c r="E1840" s="27"/>
      <c r="F1840" s="28"/>
      <c r="G1840" s="25"/>
      <c r="H1840" s="25"/>
      <c r="I1840" s="25"/>
      <c r="J1840" s="25"/>
      <c r="K1840" s="25"/>
      <c r="L1840" s="25"/>
      <c r="M1840" s="25"/>
      <c r="N1840" s="25"/>
      <c r="O1840" s="25"/>
      <c r="P1840" s="25"/>
      <c r="Q1840" s="25"/>
      <c r="R1840" s="25"/>
      <c r="S1840" s="25"/>
      <c r="T1840" s="14"/>
    </row>
    <row r="1841" spans="1:20" x14ac:dyDescent="0.35">
      <c r="A1841" s="21"/>
      <c r="B1841" s="23"/>
      <c r="C1841" s="26"/>
      <c r="D1841" s="27"/>
      <c r="E1841" s="27"/>
      <c r="F1841" s="28"/>
      <c r="G1841" s="25"/>
      <c r="H1841" s="25"/>
      <c r="I1841" s="25"/>
      <c r="J1841" s="25"/>
      <c r="K1841" s="25"/>
      <c r="L1841" s="25"/>
      <c r="M1841" s="25"/>
      <c r="N1841" s="25"/>
      <c r="O1841" s="25"/>
      <c r="P1841" s="25"/>
      <c r="Q1841" s="25"/>
      <c r="R1841" s="25"/>
      <c r="S1841" s="25"/>
      <c r="T1841" s="14"/>
    </row>
    <row r="1842" spans="1:20" x14ac:dyDescent="0.35">
      <c r="A1842" s="21"/>
      <c r="B1842" s="23"/>
      <c r="C1842" s="26"/>
      <c r="D1842" s="27"/>
      <c r="E1842" s="27"/>
      <c r="F1842" s="28"/>
      <c r="G1842" s="25"/>
      <c r="H1842" s="25"/>
      <c r="I1842" s="25"/>
      <c r="J1842" s="25"/>
      <c r="K1842" s="25"/>
      <c r="L1842" s="25"/>
      <c r="M1842" s="25"/>
      <c r="N1842" s="25"/>
      <c r="O1842" s="25"/>
      <c r="P1842" s="25"/>
      <c r="Q1842" s="25"/>
      <c r="R1842" s="25"/>
      <c r="S1842" s="25"/>
      <c r="T1842" s="14"/>
    </row>
    <row r="1843" spans="1:20" x14ac:dyDescent="0.35">
      <c r="A1843" s="21"/>
      <c r="B1843" s="23"/>
      <c r="C1843" s="26"/>
      <c r="D1843" s="27"/>
      <c r="E1843" s="27"/>
      <c r="F1843" s="28"/>
      <c r="G1843" s="25"/>
      <c r="H1843" s="25"/>
      <c r="I1843" s="25"/>
      <c r="J1843" s="25"/>
      <c r="K1843" s="25"/>
      <c r="L1843" s="25"/>
      <c r="M1843" s="25"/>
      <c r="N1843" s="25"/>
      <c r="O1843" s="25"/>
      <c r="P1843" s="25"/>
      <c r="Q1843" s="25"/>
      <c r="R1843" s="25"/>
      <c r="S1843" s="25"/>
      <c r="T1843" s="14"/>
    </row>
    <row r="1844" spans="1:20" x14ac:dyDescent="0.35">
      <c r="A1844" s="21"/>
      <c r="B1844" s="23"/>
      <c r="C1844" s="26"/>
      <c r="D1844" s="27"/>
      <c r="E1844" s="27"/>
      <c r="F1844" s="28"/>
      <c r="G1844" s="25"/>
      <c r="H1844" s="25"/>
      <c r="I1844" s="25"/>
      <c r="J1844" s="25"/>
      <c r="K1844" s="25"/>
      <c r="L1844" s="25"/>
      <c r="M1844" s="25"/>
      <c r="N1844" s="25"/>
      <c r="O1844" s="25"/>
      <c r="P1844" s="25"/>
      <c r="Q1844" s="25"/>
      <c r="R1844" s="25"/>
      <c r="S1844" s="25"/>
      <c r="T1844" s="14"/>
    </row>
    <row r="1845" spans="1:20" x14ac:dyDescent="0.35">
      <c r="A1845" s="21"/>
      <c r="B1845" s="23"/>
      <c r="C1845" s="26"/>
      <c r="D1845" s="27"/>
      <c r="E1845" s="27"/>
      <c r="F1845" s="28"/>
      <c r="G1845" s="25"/>
      <c r="H1845" s="25"/>
      <c r="I1845" s="25"/>
      <c r="J1845" s="25"/>
      <c r="K1845" s="25"/>
      <c r="L1845" s="25"/>
      <c r="M1845" s="25"/>
      <c r="N1845" s="25"/>
      <c r="O1845" s="25"/>
      <c r="P1845" s="25"/>
      <c r="Q1845" s="25"/>
      <c r="R1845" s="25"/>
      <c r="S1845" s="25"/>
      <c r="T1845" s="14"/>
    </row>
    <row r="1846" spans="1:20" x14ac:dyDescent="0.35">
      <c r="A1846" s="21"/>
      <c r="B1846" s="23"/>
      <c r="C1846" s="26"/>
      <c r="D1846" s="27"/>
      <c r="E1846" s="27"/>
      <c r="F1846" s="28"/>
      <c r="G1846" s="25"/>
      <c r="H1846" s="25"/>
      <c r="I1846" s="25"/>
      <c r="J1846" s="25"/>
      <c r="K1846" s="25"/>
      <c r="L1846" s="25"/>
      <c r="M1846" s="25"/>
      <c r="N1846" s="25"/>
      <c r="O1846" s="25"/>
      <c r="P1846" s="25"/>
      <c r="Q1846" s="25"/>
      <c r="R1846" s="25"/>
      <c r="S1846" s="25"/>
      <c r="T1846" s="14"/>
    </row>
    <row r="1847" spans="1:20" x14ac:dyDescent="0.35">
      <c r="A1847" s="21"/>
      <c r="B1847" s="23"/>
      <c r="C1847" s="26"/>
      <c r="D1847" s="27"/>
      <c r="E1847" s="27"/>
      <c r="F1847" s="28"/>
      <c r="G1847" s="25"/>
      <c r="H1847" s="25"/>
      <c r="I1847" s="25"/>
      <c r="J1847" s="25"/>
      <c r="K1847" s="25"/>
      <c r="L1847" s="25"/>
      <c r="M1847" s="25"/>
      <c r="N1847" s="25"/>
      <c r="O1847" s="25"/>
      <c r="P1847" s="25"/>
      <c r="Q1847" s="25"/>
      <c r="R1847" s="25"/>
      <c r="S1847" s="25"/>
      <c r="T1847" s="14"/>
    </row>
    <row r="1848" spans="1:20" x14ac:dyDescent="0.35">
      <c r="A1848" s="21"/>
      <c r="B1848" s="23"/>
      <c r="C1848" s="26"/>
      <c r="D1848" s="27"/>
      <c r="E1848" s="27"/>
      <c r="F1848" s="28"/>
      <c r="G1848" s="25"/>
      <c r="H1848" s="25"/>
      <c r="I1848" s="25"/>
      <c r="J1848" s="25"/>
      <c r="K1848" s="25"/>
      <c r="L1848" s="25"/>
      <c r="M1848" s="25"/>
      <c r="N1848" s="25"/>
      <c r="O1848" s="25"/>
      <c r="P1848" s="25"/>
      <c r="Q1848" s="25"/>
      <c r="R1848" s="25"/>
      <c r="S1848" s="25"/>
      <c r="T1848" s="14"/>
    </row>
    <row r="1849" spans="1:20" x14ac:dyDescent="0.35">
      <c r="A1849" s="21"/>
      <c r="B1849" s="23"/>
      <c r="C1849" s="26"/>
      <c r="D1849" s="27"/>
      <c r="E1849" s="27"/>
      <c r="F1849" s="28"/>
      <c r="G1849" s="25"/>
      <c r="H1849" s="25"/>
      <c r="I1849" s="25"/>
      <c r="J1849" s="25"/>
      <c r="K1849" s="25"/>
      <c r="L1849" s="25"/>
      <c r="M1849" s="25"/>
      <c r="N1849" s="25"/>
      <c r="O1849" s="25"/>
      <c r="P1849" s="25"/>
      <c r="Q1849" s="25"/>
      <c r="R1849" s="25"/>
      <c r="S1849" s="25"/>
      <c r="T1849" s="14"/>
    </row>
    <row r="1850" spans="1:20" x14ac:dyDescent="0.35">
      <c r="A1850" s="21"/>
      <c r="B1850" s="23"/>
      <c r="C1850" s="26"/>
      <c r="D1850" s="27"/>
      <c r="E1850" s="27"/>
      <c r="F1850" s="28"/>
      <c r="G1850" s="25"/>
      <c r="H1850" s="25"/>
      <c r="I1850" s="25"/>
      <c r="J1850" s="25"/>
      <c r="K1850" s="25"/>
      <c r="L1850" s="25"/>
      <c r="M1850" s="25"/>
      <c r="N1850" s="25"/>
      <c r="O1850" s="25"/>
      <c r="P1850" s="25"/>
      <c r="Q1850" s="25"/>
      <c r="R1850" s="25"/>
      <c r="S1850" s="25"/>
      <c r="T1850" s="14"/>
    </row>
    <row r="1851" spans="1:20" x14ac:dyDescent="0.35">
      <c r="A1851" s="21"/>
      <c r="B1851" s="23"/>
      <c r="C1851" s="26"/>
      <c r="D1851" s="27"/>
      <c r="E1851" s="27"/>
      <c r="F1851" s="28"/>
      <c r="G1851" s="25"/>
      <c r="H1851" s="25"/>
      <c r="I1851" s="25"/>
      <c r="J1851" s="25"/>
      <c r="K1851" s="25"/>
      <c r="L1851" s="25"/>
      <c r="M1851" s="25"/>
      <c r="N1851" s="25"/>
      <c r="O1851" s="25"/>
      <c r="P1851" s="25"/>
      <c r="Q1851" s="25"/>
      <c r="R1851" s="25"/>
      <c r="S1851" s="25"/>
      <c r="T1851" s="14"/>
    </row>
    <row r="1852" spans="1:20" x14ac:dyDescent="0.35">
      <c r="A1852" s="21"/>
      <c r="B1852" s="23"/>
      <c r="C1852" s="26"/>
      <c r="D1852" s="27"/>
      <c r="E1852" s="27"/>
      <c r="F1852" s="28"/>
      <c r="G1852" s="25"/>
      <c r="H1852" s="25"/>
      <c r="I1852" s="25"/>
      <c r="J1852" s="25"/>
      <c r="K1852" s="25"/>
      <c r="L1852" s="25"/>
      <c r="M1852" s="25"/>
      <c r="N1852" s="25"/>
      <c r="O1852" s="25"/>
      <c r="P1852" s="25"/>
      <c r="Q1852" s="25"/>
      <c r="R1852" s="25"/>
      <c r="S1852" s="25"/>
      <c r="T1852" s="14"/>
    </row>
    <row r="1853" spans="1:20" x14ac:dyDescent="0.35">
      <c r="A1853" s="21"/>
      <c r="B1853" s="23"/>
      <c r="C1853" s="26"/>
      <c r="D1853" s="27"/>
      <c r="E1853" s="27"/>
      <c r="F1853" s="28"/>
      <c r="G1853" s="25"/>
      <c r="H1853" s="25"/>
      <c r="I1853" s="25"/>
      <c r="J1853" s="25"/>
      <c r="K1853" s="25"/>
      <c r="L1853" s="25"/>
      <c r="M1853" s="25"/>
      <c r="N1853" s="25"/>
      <c r="O1853" s="25"/>
      <c r="P1853" s="25"/>
      <c r="Q1853" s="25"/>
      <c r="R1853" s="25"/>
      <c r="S1853" s="25"/>
      <c r="T1853" s="14"/>
    </row>
    <row r="1854" spans="1:20" x14ac:dyDescent="0.35">
      <c r="A1854" s="21"/>
      <c r="B1854" s="23"/>
      <c r="C1854" s="26"/>
      <c r="D1854" s="27"/>
      <c r="E1854" s="27"/>
      <c r="F1854" s="28"/>
      <c r="G1854" s="25"/>
      <c r="H1854" s="25"/>
      <c r="I1854" s="25"/>
      <c r="J1854" s="25"/>
      <c r="K1854" s="25"/>
      <c r="L1854" s="25"/>
      <c r="M1854" s="25"/>
      <c r="N1854" s="25"/>
      <c r="O1854" s="25"/>
      <c r="P1854" s="25"/>
      <c r="Q1854" s="25"/>
      <c r="R1854" s="25"/>
      <c r="S1854" s="25"/>
      <c r="T1854" s="22"/>
    </row>
    <row r="1855" spans="1:20" x14ac:dyDescent="0.35">
      <c r="A1855" s="21"/>
      <c r="B1855" s="23"/>
      <c r="C1855" s="26"/>
      <c r="D1855" s="27"/>
      <c r="E1855" s="27"/>
      <c r="F1855" s="28"/>
      <c r="G1855" s="25"/>
      <c r="H1855" s="25"/>
      <c r="I1855" s="25"/>
      <c r="J1855" s="25"/>
      <c r="K1855" s="25"/>
      <c r="L1855" s="25"/>
      <c r="M1855" s="25"/>
      <c r="N1855" s="25"/>
      <c r="O1855" s="25"/>
      <c r="P1855" s="25"/>
      <c r="Q1855" s="25"/>
      <c r="R1855" s="25"/>
      <c r="S1855" s="25"/>
      <c r="T1855" s="22"/>
    </row>
    <row r="1856" spans="1:20" x14ac:dyDescent="0.35">
      <c r="A1856" s="21"/>
      <c r="B1856" s="23"/>
      <c r="C1856" s="26"/>
      <c r="D1856" s="27"/>
      <c r="E1856" s="27"/>
      <c r="F1856" s="28"/>
      <c r="G1856" s="25"/>
      <c r="H1856" s="25"/>
      <c r="I1856" s="25"/>
      <c r="J1856" s="25"/>
      <c r="K1856" s="25"/>
      <c r="L1856" s="25"/>
      <c r="M1856" s="25"/>
      <c r="N1856" s="25"/>
      <c r="O1856" s="25"/>
      <c r="P1856" s="25"/>
      <c r="Q1856" s="25"/>
      <c r="R1856" s="25"/>
      <c r="S1856" s="25"/>
      <c r="T1856" s="22"/>
    </row>
    <row r="1857" spans="1:20" x14ac:dyDescent="0.35">
      <c r="A1857" s="21"/>
      <c r="B1857" s="23"/>
      <c r="C1857" s="26"/>
      <c r="D1857" s="27"/>
      <c r="E1857" s="27"/>
      <c r="F1857" s="28"/>
      <c r="G1857" s="25"/>
      <c r="H1857" s="25"/>
      <c r="I1857" s="25"/>
      <c r="J1857" s="25"/>
      <c r="K1857" s="25"/>
      <c r="L1857" s="25"/>
      <c r="M1857" s="25"/>
      <c r="N1857" s="25"/>
      <c r="O1857" s="25"/>
      <c r="P1857" s="25"/>
      <c r="Q1857" s="25"/>
      <c r="R1857" s="25"/>
      <c r="S1857" s="25"/>
      <c r="T1857" s="22"/>
    </row>
    <row r="1858" spans="1:20" x14ac:dyDescent="0.35">
      <c r="A1858" s="21"/>
      <c r="B1858" s="23"/>
      <c r="C1858" s="26"/>
      <c r="D1858" s="27"/>
      <c r="E1858" s="27"/>
      <c r="F1858" s="28"/>
      <c r="G1858" s="25"/>
      <c r="H1858" s="25"/>
      <c r="I1858" s="25"/>
      <c r="J1858" s="25"/>
      <c r="K1858" s="25"/>
      <c r="L1858" s="25"/>
      <c r="M1858" s="25"/>
      <c r="N1858" s="25"/>
      <c r="O1858" s="25"/>
      <c r="P1858" s="25"/>
      <c r="Q1858" s="25"/>
      <c r="R1858" s="25"/>
      <c r="S1858" s="25"/>
      <c r="T1858" s="22"/>
    </row>
    <row r="1859" spans="1:20" x14ac:dyDescent="0.35">
      <c r="A1859" s="21"/>
      <c r="B1859" s="23"/>
      <c r="C1859" s="26"/>
      <c r="D1859" s="27"/>
      <c r="E1859" s="27"/>
      <c r="F1859" s="28"/>
      <c r="G1859" s="25"/>
      <c r="H1859" s="25"/>
      <c r="I1859" s="25"/>
      <c r="J1859" s="25"/>
      <c r="K1859" s="25"/>
      <c r="L1859" s="25"/>
      <c r="M1859" s="25"/>
      <c r="N1859" s="25"/>
      <c r="O1859" s="25"/>
      <c r="P1859" s="25"/>
      <c r="Q1859" s="25"/>
      <c r="R1859" s="25"/>
      <c r="S1859" s="25"/>
      <c r="T1859" s="22"/>
    </row>
    <row r="1860" spans="1:20" x14ac:dyDescent="0.35">
      <c r="A1860" s="21"/>
      <c r="B1860" s="23"/>
      <c r="C1860" s="26"/>
      <c r="D1860" s="27"/>
      <c r="E1860" s="27"/>
      <c r="F1860" s="28"/>
      <c r="G1860" s="25"/>
      <c r="H1860" s="25"/>
      <c r="I1860" s="25"/>
      <c r="J1860" s="25"/>
      <c r="K1860" s="25"/>
      <c r="L1860" s="25"/>
      <c r="M1860" s="25"/>
      <c r="N1860" s="25"/>
      <c r="O1860" s="25"/>
      <c r="P1860" s="25"/>
      <c r="Q1860" s="25"/>
      <c r="R1860" s="25"/>
      <c r="S1860" s="25"/>
      <c r="T1860" s="22"/>
    </row>
    <row r="1861" spans="1:20" x14ac:dyDescent="0.35">
      <c r="A1861" s="21"/>
      <c r="B1861" s="23"/>
      <c r="C1861" s="26"/>
      <c r="D1861" s="27"/>
      <c r="E1861" s="27"/>
      <c r="F1861" s="28"/>
      <c r="G1861" s="25"/>
      <c r="H1861" s="25"/>
      <c r="I1861" s="25"/>
      <c r="J1861" s="25"/>
      <c r="K1861" s="25"/>
      <c r="L1861" s="25"/>
      <c r="M1861" s="25"/>
      <c r="N1861" s="25"/>
      <c r="O1861" s="25"/>
      <c r="P1861" s="25"/>
      <c r="Q1861" s="25"/>
      <c r="R1861" s="25"/>
      <c r="S1861" s="25"/>
      <c r="T1861" s="22"/>
    </row>
    <row r="1862" spans="1:20" x14ac:dyDescent="0.35">
      <c r="A1862" s="21"/>
      <c r="B1862" s="23"/>
      <c r="C1862" s="26"/>
      <c r="D1862" s="27"/>
      <c r="E1862" s="27"/>
      <c r="F1862" s="28"/>
      <c r="G1862" s="25"/>
      <c r="H1862" s="25"/>
      <c r="I1862" s="25"/>
      <c r="J1862" s="25"/>
      <c r="K1862" s="25"/>
      <c r="L1862" s="25"/>
      <c r="M1862" s="25"/>
      <c r="N1862" s="25"/>
      <c r="O1862" s="25"/>
      <c r="P1862" s="25"/>
      <c r="Q1862" s="25"/>
      <c r="R1862" s="25"/>
      <c r="S1862" s="25"/>
      <c r="T1862" s="22"/>
    </row>
    <row r="1863" spans="1:20" x14ac:dyDescent="0.35">
      <c r="A1863" s="21"/>
      <c r="B1863" s="23"/>
      <c r="C1863" s="26"/>
      <c r="D1863" s="27"/>
      <c r="E1863" s="27"/>
      <c r="F1863" s="28"/>
      <c r="G1863" s="25"/>
      <c r="H1863" s="25"/>
      <c r="I1863" s="25"/>
      <c r="J1863" s="25"/>
      <c r="K1863" s="25"/>
      <c r="L1863" s="25"/>
      <c r="M1863" s="25"/>
      <c r="N1863" s="25"/>
      <c r="O1863" s="25"/>
      <c r="P1863" s="25"/>
      <c r="Q1863" s="25"/>
      <c r="R1863" s="25"/>
      <c r="S1863" s="25"/>
      <c r="T1863" s="14"/>
    </row>
    <row r="1864" spans="1:20" x14ac:dyDescent="0.35">
      <c r="A1864" s="21"/>
      <c r="B1864" s="23"/>
      <c r="C1864" s="26"/>
      <c r="D1864" s="27"/>
      <c r="E1864" s="27"/>
      <c r="F1864" s="28"/>
      <c r="G1864" s="25"/>
      <c r="H1864" s="25"/>
      <c r="I1864" s="25"/>
      <c r="J1864" s="25"/>
      <c r="K1864" s="25"/>
      <c r="L1864" s="25"/>
      <c r="M1864" s="25"/>
      <c r="N1864" s="25"/>
      <c r="O1864" s="25"/>
      <c r="P1864" s="25"/>
      <c r="Q1864" s="25"/>
      <c r="R1864" s="25"/>
      <c r="S1864" s="25"/>
      <c r="T1864" s="14"/>
    </row>
    <row r="1865" spans="1:20" x14ac:dyDescent="0.35">
      <c r="A1865" s="21"/>
      <c r="B1865" s="23"/>
      <c r="C1865" s="26"/>
      <c r="D1865" s="27"/>
      <c r="E1865" s="27"/>
      <c r="F1865" s="28"/>
      <c r="G1865" s="25"/>
      <c r="H1865" s="25"/>
      <c r="I1865" s="25"/>
      <c r="J1865" s="25"/>
      <c r="K1865" s="25"/>
      <c r="L1865" s="25"/>
      <c r="M1865" s="25"/>
      <c r="N1865" s="25"/>
      <c r="O1865" s="25"/>
      <c r="P1865" s="25"/>
      <c r="Q1865" s="25"/>
      <c r="R1865" s="25"/>
      <c r="S1865" s="25"/>
      <c r="T1865" s="14"/>
    </row>
    <row r="1866" spans="1:20" x14ac:dyDescent="0.35">
      <c r="A1866" s="21"/>
      <c r="B1866" s="23"/>
      <c r="C1866" s="26"/>
      <c r="D1866" s="27"/>
      <c r="E1866" s="27"/>
      <c r="F1866" s="28"/>
      <c r="G1866" s="25"/>
      <c r="H1866" s="25"/>
      <c r="I1866" s="25"/>
      <c r="J1866" s="25"/>
      <c r="K1866" s="25"/>
      <c r="L1866" s="25"/>
      <c r="M1866" s="25"/>
      <c r="N1866" s="25"/>
      <c r="O1866" s="25"/>
      <c r="P1866" s="25"/>
      <c r="Q1866" s="25"/>
      <c r="R1866" s="25"/>
      <c r="S1866" s="25"/>
      <c r="T1866" s="14"/>
    </row>
    <row r="1867" spans="1:20" x14ac:dyDescent="0.35">
      <c r="A1867" s="21"/>
      <c r="B1867" s="23"/>
      <c r="C1867" s="26"/>
      <c r="D1867" s="27"/>
      <c r="E1867" s="27"/>
      <c r="F1867" s="28"/>
      <c r="G1867" s="25"/>
      <c r="H1867" s="25"/>
      <c r="I1867" s="25"/>
      <c r="J1867" s="25"/>
      <c r="K1867" s="25"/>
      <c r="L1867" s="25"/>
      <c r="M1867" s="25"/>
      <c r="N1867" s="25"/>
      <c r="O1867" s="25"/>
      <c r="P1867" s="25"/>
      <c r="Q1867" s="25"/>
      <c r="R1867" s="25"/>
      <c r="S1867" s="25"/>
      <c r="T1867" s="14"/>
    </row>
    <row r="1868" spans="1:20" x14ac:dyDescent="0.35">
      <c r="A1868" s="21"/>
      <c r="B1868" s="23"/>
      <c r="C1868" s="26"/>
      <c r="D1868" s="27"/>
      <c r="E1868" s="27"/>
      <c r="F1868" s="28"/>
      <c r="G1868" s="25"/>
      <c r="H1868" s="25"/>
      <c r="I1868" s="25"/>
      <c r="J1868" s="25"/>
      <c r="K1868" s="25"/>
      <c r="L1868" s="25"/>
      <c r="M1868" s="25"/>
      <c r="N1868" s="25"/>
      <c r="O1868" s="25"/>
      <c r="P1868" s="25"/>
      <c r="Q1868" s="25"/>
      <c r="R1868" s="25"/>
      <c r="S1868" s="25"/>
      <c r="T1868" s="14"/>
    </row>
    <row r="1869" spans="1:20" x14ac:dyDescent="0.35">
      <c r="A1869" s="21"/>
      <c r="B1869" s="23"/>
      <c r="C1869" s="26"/>
      <c r="D1869" s="27"/>
      <c r="E1869" s="27"/>
      <c r="F1869" s="28"/>
      <c r="G1869" s="25"/>
      <c r="H1869" s="25"/>
      <c r="I1869" s="25"/>
      <c r="J1869" s="25"/>
      <c r="K1869" s="25"/>
      <c r="L1869" s="25"/>
      <c r="M1869" s="25"/>
      <c r="N1869" s="25"/>
      <c r="O1869" s="25"/>
      <c r="P1869" s="25"/>
      <c r="Q1869" s="25"/>
      <c r="R1869" s="25"/>
      <c r="S1869" s="25"/>
      <c r="T1869" s="14"/>
    </row>
    <row r="1870" spans="1:20" x14ac:dyDescent="0.35">
      <c r="A1870" s="21"/>
      <c r="B1870" s="23"/>
      <c r="C1870" s="26"/>
      <c r="D1870" s="27"/>
      <c r="E1870" s="27"/>
      <c r="F1870" s="28"/>
      <c r="G1870" s="25"/>
      <c r="H1870" s="25"/>
      <c r="I1870" s="25"/>
      <c r="J1870" s="25"/>
      <c r="K1870" s="25"/>
      <c r="L1870" s="25"/>
      <c r="M1870" s="25"/>
      <c r="N1870" s="25"/>
      <c r="O1870" s="25"/>
      <c r="P1870" s="25"/>
      <c r="Q1870" s="25"/>
      <c r="R1870" s="25"/>
      <c r="S1870" s="25"/>
      <c r="T1870" s="14"/>
    </row>
    <row r="1871" spans="1:20" x14ac:dyDescent="0.35">
      <c r="A1871" s="21"/>
      <c r="B1871" s="23"/>
      <c r="C1871" s="26"/>
      <c r="D1871" s="27"/>
      <c r="E1871" s="27"/>
      <c r="F1871" s="28"/>
      <c r="G1871" s="25"/>
      <c r="H1871" s="25"/>
      <c r="I1871" s="25"/>
      <c r="J1871" s="25"/>
      <c r="K1871" s="25"/>
      <c r="L1871" s="25"/>
      <c r="M1871" s="25"/>
      <c r="N1871" s="25"/>
      <c r="O1871" s="25"/>
      <c r="P1871" s="25"/>
      <c r="Q1871" s="25"/>
      <c r="R1871" s="25"/>
      <c r="S1871" s="25"/>
      <c r="T1871" s="14"/>
    </row>
    <row r="1872" spans="1:20" x14ac:dyDescent="0.35">
      <c r="A1872" s="21"/>
      <c r="B1872" s="23"/>
      <c r="C1872" s="26"/>
      <c r="D1872" s="27"/>
      <c r="E1872" s="27"/>
      <c r="F1872" s="28"/>
      <c r="G1872" s="25"/>
      <c r="H1872" s="25"/>
      <c r="I1872" s="25"/>
      <c r="J1872" s="25"/>
      <c r="K1872" s="25"/>
      <c r="L1872" s="25"/>
      <c r="M1872" s="25"/>
      <c r="N1872" s="25"/>
      <c r="O1872" s="25"/>
      <c r="P1872" s="25"/>
      <c r="Q1872" s="25"/>
      <c r="R1872" s="25"/>
      <c r="S1872" s="25"/>
      <c r="T1872" s="14"/>
    </row>
    <row r="1873" spans="1:20" x14ac:dyDescent="0.35">
      <c r="A1873" s="21"/>
      <c r="B1873" s="23"/>
      <c r="C1873" s="26"/>
      <c r="D1873" s="27"/>
      <c r="E1873" s="27"/>
      <c r="F1873" s="28"/>
      <c r="G1873" s="25"/>
      <c r="H1873" s="25"/>
      <c r="I1873" s="25"/>
      <c r="J1873" s="25"/>
      <c r="K1873" s="25"/>
      <c r="L1873" s="25"/>
      <c r="M1873" s="25"/>
      <c r="N1873" s="25"/>
      <c r="O1873" s="25"/>
      <c r="P1873" s="25"/>
      <c r="Q1873" s="25"/>
      <c r="R1873" s="25"/>
      <c r="S1873" s="25"/>
      <c r="T1873" s="14"/>
    </row>
    <row r="1874" spans="1:20" x14ac:dyDescent="0.35">
      <c r="A1874" s="21"/>
      <c r="B1874" s="23"/>
      <c r="C1874" s="26"/>
      <c r="D1874" s="27"/>
      <c r="E1874" s="27"/>
      <c r="F1874" s="28"/>
      <c r="G1874" s="25"/>
      <c r="H1874" s="25"/>
      <c r="I1874" s="25"/>
      <c r="J1874" s="25"/>
      <c r="K1874" s="25"/>
      <c r="L1874" s="25"/>
      <c r="M1874" s="25"/>
      <c r="N1874" s="25"/>
      <c r="O1874" s="25"/>
      <c r="P1874" s="25"/>
      <c r="Q1874" s="25"/>
      <c r="R1874" s="25"/>
      <c r="S1874" s="25"/>
      <c r="T1874" s="14"/>
    </row>
    <row r="1875" spans="1:20" x14ac:dyDescent="0.35">
      <c r="A1875" s="21"/>
      <c r="B1875" s="23"/>
      <c r="C1875" s="26"/>
      <c r="D1875" s="27"/>
      <c r="E1875" s="27"/>
      <c r="F1875" s="28"/>
      <c r="G1875" s="25"/>
      <c r="H1875" s="25"/>
      <c r="I1875" s="25"/>
      <c r="J1875" s="25"/>
      <c r="K1875" s="25"/>
      <c r="L1875" s="25"/>
      <c r="M1875" s="25"/>
      <c r="N1875" s="25"/>
      <c r="O1875" s="25"/>
      <c r="P1875" s="25"/>
      <c r="Q1875" s="25"/>
      <c r="R1875" s="25"/>
      <c r="S1875" s="25"/>
      <c r="T1875" s="14"/>
    </row>
    <row r="1876" spans="1:20" x14ac:dyDescent="0.35">
      <c r="A1876" s="21"/>
      <c r="B1876" s="23"/>
      <c r="C1876" s="26"/>
      <c r="D1876" s="27"/>
      <c r="E1876" s="27"/>
      <c r="F1876" s="28"/>
      <c r="G1876" s="25"/>
      <c r="H1876" s="25"/>
      <c r="I1876" s="25"/>
      <c r="J1876" s="25"/>
      <c r="K1876" s="25"/>
      <c r="L1876" s="25"/>
      <c r="M1876" s="25"/>
      <c r="N1876" s="25"/>
      <c r="O1876" s="25"/>
      <c r="P1876" s="25"/>
      <c r="Q1876" s="25"/>
      <c r="R1876" s="25"/>
      <c r="S1876" s="25"/>
      <c r="T1876" s="14"/>
    </row>
    <row r="1877" spans="1:20" x14ac:dyDescent="0.35">
      <c r="A1877" s="21"/>
      <c r="B1877" s="23"/>
      <c r="C1877" s="26"/>
      <c r="D1877" s="27"/>
      <c r="E1877" s="27"/>
      <c r="F1877" s="28"/>
      <c r="G1877" s="25"/>
      <c r="H1877" s="25"/>
      <c r="I1877" s="25"/>
      <c r="J1877" s="25"/>
      <c r="K1877" s="25"/>
      <c r="L1877" s="25"/>
      <c r="M1877" s="25"/>
      <c r="N1877" s="25"/>
      <c r="O1877" s="25"/>
      <c r="P1877" s="25"/>
      <c r="Q1877" s="25"/>
      <c r="R1877" s="25"/>
      <c r="S1877" s="25"/>
      <c r="T1877" s="14"/>
    </row>
    <row r="1878" spans="1:20" x14ac:dyDescent="0.35">
      <c r="A1878" s="21"/>
      <c r="B1878" s="23"/>
      <c r="C1878" s="26"/>
      <c r="D1878" s="27"/>
      <c r="E1878" s="27"/>
      <c r="F1878" s="28"/>
      <c r="G1878" s="25"/>
      <c r="H1878" s="25"/>
      <c r="I1878" s="25"/>
      <c r="J1878" s="25"/>
      <c r="K1878" s="25"/>
      <c r="L1878" s="25"/>
      <c r="M1878" s="25"/>
      <c r="N1878" s="25"/>
      <c r="O1878" s="25"/>
      <c r="P1878" s="25"/>
      <c r="Q1878" s="25"/>
      <c r="R1878" s="25"/>
      <c r="S1878" s="25"/>
      <c r="T1878" s="22"/>
    </row>
    <row r="1879" spans="1:20" x14ac:dyDescent="0.35">
      <c r="A1879" s="21"/>
      <c r="B1879" s="23"/>
      <c r="C1879" s="26"/>
      <c r="D1879" s="27"/>
      <c r="E1879" s="27"/>
      <c r="F1879" s="28"/>
      <c r="G1879" s="25"/>
      <c r="H1879" s="25"/>
      <c r="I1879" s="25"/>
      <c r="J1879" s="25"/>
      <c r="K1879" s="25"/>
      <c r="L1879" s="25"/>
      <c r="M1879" s="25"/>
      <c r="N1879" s="25"/>
      <c r="O1879" s="25"/>
      <c r="P1879" s="25"/>
      <c r="Q1879" s="25"/>
      <c r="R1879" s="25"/>
      <c r="S1879" s="25"/>
      <c r="T1879" s="22"/>
    </row>
    <row r="1880" spans="1:20" x14ac:dyDescent="0.35">
      <c r="A1880" s="21"/>
      <c r="B1880" s="23"/>
      <c r="C1880" s="26"/>
      <c r="D1880" s="27"/>
      <c r="E1880" s="27"/>
      <c r="F1880" s="28"/>
      <c r="G1880" s="25"/>
      <c r="H1880" s="25"/>
      <c r="I1880" s="25"/>
      <c r="J1880" s="25"/>
      <c r="K1880" s="25"/>
      <c r="L1880" s="25"/>
      <c r="M1880" s="25"/>
      <c r="N1880" s="25"/>
      <c r="O1880" s="25"/>
      <c r="P1880" s="25"/>
      <c r="Q1880" s="25"/>
      <c r="R1880" s="25"/>
      <c r="S1880" s="25"/>
      <c r="T1880" s="22"/>
    </row>
    <row r="1881" spans="1:20" x14ac:dyDescent="0.35">
      <c r="A1881" s="21"/>
      <c r="B1881" s="23"/>
      <c r="C1881" s="26"/>
      <c r="D1881" s="27"/>
      <c r="E1881" s="27"/>
      <c r="F1881" s="28"/>
      <c r="G1881" s="25"/>
      <c r="H1881" s="25"/>
      <c r="I1881" s="25"/>
      <c r="J1881" s="25"/>
      <c r="K1881" s="25"/>
      <c r="L1881" s="25"/>
      <c r="M1881" s="25"/>
      <c r="N1881" s="25"/>
      <c r="O1881" s="25"/>
      <c r="P1881" s="25"/>
      <c r="Q1881" s="25"/>
      <c r="R1881" s="25"/>
      <c r="S1881" s="25"/>
      <c r="T1881" s="22"/>
    </row>
    <row r="1882" spans="1:20" x14ac:dyDescent="0.35">
      <c r="A1882" s="21"/>
      <c r="B1882" s="23"/>
      <c r="C1882" s="26"/>
      <c r="D1882" s="27"/>
      <c r="E1882" s="27"/>
      <c r="F1882" s="28"/>
      <c r="G1882" s="25"/>
      <c r="H1882" s="25"/>
      <c r="I1882" s="25"/>
      <c r="J1882" s="25"/>
      <c r="K1882" s="25"/>
      <c r="L1882" s="25"/>
      <c r="M1882" s="25"/>
      <c r="N1882" s="25"/>
      <c r="O1882" s="25"/>
      <c r="P1882" s="25"/>
      <c r="Q1882" s="25"/>
      <c r="R1882" s="25"/>
      <c r="S1882" s="25"/>
      <c r="T1882" s="22"/>
    </row>
    <row r="1883" spans="1:20" x14ac:dyDescent="0.35">
      <c r="A1883" s="21"/>
      <c r="B1883" s="23"/>
      <c r="C1883" s="26"/>
      <c r="D1883" s="27"/>
      <c r="E1883" s="27"/>
      <c r="F1883" s="28"/>
      <c r="G1883" s="25"/>
      <c r="H1883" s="25"/>
      <c r="I1883" s="25"/>
      <c r="J1883" s="25"/>
      <c r="K1883" s="25"/>
      <c r="L1883" s="25"/>
      <c r="M1883" s="25"/>
      <c r="N1883" s="25"/>
      <c r="O1883" s="25"/>
      <c r="P1883" s="25"/>
      <c r="Q1883" s="25"/>
      <c r="R1883" s="25"/>
      <c r="S1883" s="25"/>
      <c r="T1883" s="22"/>
    </row>
    <row r="1884" spans="1:20" x14ac:dyDescent="0.35">
      <c r="A1884" s="21"/>
      <c r="B1884" s="23"/>
      <c r="C1884" s="26"/>
      <c r="D1884" s="27"/>
      <c r="E1884" s="27"/>
      <c r="F1884" s="28"/>
      <c r="G1884" s="25"/>
      <c r="H1884" s="25"/>
      <c r="I1884" s="25"/>
      <c r="J1884" s="25"/>
      <c r="K1884" s="25"/>
      <c r="L1884" s="25"/>
      <c r="M1884" s="25"/>
      <c r="N1884" s="25"/>
      <c r="O1884" s="25"/>
      <c r="P1884" s="25"/>
      <c r="Q1884" s="25"/>
      <c r="R1884" s="25"/>
      <c r="S1884" s="25"/>
      <c r="T1884" s="22"/>
    </row>
    <row r="1885" spans="1:20" x14ac:dyDescent="0.35">
      <c r="A1885" s="21"/>
      <c r="B1885" s="23"/>
      <c r="C1885" s="26"/>
      <c r="D1885" s="27"/>
      <c r="E1885" s="27"/>
      <c r="F1885" s="28"/>
      <c r="G1885" s="25"/>
      <c r="H1885" s="25"/>
      <c r="I1885" s="25"/>
      <c r="J1885" s="25"/>
      <c r="K1885" s="25"/>
      <c r="L1885" s="25"/>
      <c r="M1885" s="25"/>
      <c r="N1885" s="25"/>
      <c r="O1885" s="25"/>
      <c r="P1885" s="25"/>
      <c r="Q1885" s="25"/>
      <c r="R1885" s="25"/>
      <c r="S1885" s="25"/>
      <c r="T1885" s="22"/>
    </row>
    <row r="1886" spans="1:20" x14ac:dyDescent="0.35">
      <c r="A1886" s="21"/>
      <c r="B1886" s="23"/>
      <c r="C1886" s="26"/>
      <c r="D1886" s="27"/>
      <c r="E1886" s="27"/>
      <c r="F1886" s="28"/>
      <c r="G1886" s="25"/>
      <c r="H1886" s="25"/>
      <c r="I1886" s="25"/>
      <c r="J1886" s="25"/>
      <c r="K1886" s="25"/>
      <c r="L1886" s="25"/>
      <c r="M1886" s="25"/>
      <c r="N1886" s="25"/>
      <c r="O1886" s="25"/>
      <c r="P1886" s="25"/>
      <c r="Q1886" s="25"/>
      <c r="R1886" s="25"/>
      <c r="S1886" s="25"/>
      <c r="T1886" s="22"/>
    </row>
    <row r="1887" spans="1:20" x14ac:dyDescent="0.35">
      <c r="A1887" s="21"/>
      <c r="B1887" s="23"/>
      <c r="C1887" s="26"/>
      <c r="D1887" s="27"/>
      <c r="E1887" s="27"/>
      <c r="F1887" s="28"/>
      <c r="G1887" s="25"/>
      <c r="H1887" s="25"/>
      <c r="I1887" s="25"/>
      <c r="J1887" s="25"/>
      <c r="K1887" s="25"/>
      <c r="L1887" s="25"/>
      <c r="M1887" s="25"/>
      <c r="N1887" s="25"/>
      <c r="O1887" s="25"/>
      <c r="P1887" s="25"/>
      <c r="Q1887" s="25"/>
      <c r="R1887" s="25"/>
      <c r="S1887" s="25"/>
      <c r="T1887" s="22"/>
    </row>
    <row r="1888" spans="1:20" x14ac:dyDescent="0.35">
      <c r="A1888" s="21"/>
      <c r="B1888" s="23"/>
      <c r="C1888" s="26"/>
      <c r="D1888" s="27"/>
      <c r="E1888" s="27"/>
      <c r="F1888" s="28"/>
      <c r="G1888" s="25"/>
      <c r="H1888" s="25"/>
      <c r="I1888" s="25"/>
      <c r="J1888" s="25"/>
      <c r="K1888" s="25"/>
      <c r="L1888" s="25"/>
      <c r="M1888" s="25"/>
      <c r="N1888" s="25"/>
      <c r="O1888" s="25"/>
      <c r="P1888" s="25"/>
      <c r="Q1888" s="25"/>
      <c r="R1888" s="25"/>
      <c r="S1888" s="25"/>
      <c r="T1888" s="22"/>
    </row>
    <row r="1889" spans="1:20" x14ac:dyDescent="0.35">
      <c r="A1889" s="21"/>
      <c r="B1889" s="23"/>
      <c r="C1889" s="26"/>
      <c r="D1889" s="27"/>
      <c r="E1889" s="27"/>
      <c r="F1889" s="28"/>
      <c r="G1889" s="25"/>
      <c r="H1889" s="25"/>
      <c r="I1889" s="25"/>
      <c r="J1889" s="25"/>
      <c r="K1889" s="25"/>
      <c r="L1889" s="25"/>
      <c r="M1889" s="25"/>
      <c r="N1889" s="25"/>
      <c r="O1889" s="25"/>
      <c r="P1889" s="25"/>
      <c r="Q1889" s="25"/>
      <c r="R1889" s="25"/>
      <c r="S1889" s="25"/>
      <c r="T1889" s="22"/>
    </row>
    <row r="1890" spans="1:20" x14ac:dyDescent="0.35">
      <c r="A1890" s="21"/>
      <c r="B1890" s="23"/>
      <c r="C1890" s="26"/>
      <c r="D1890" s="27"/>
      <c r="E1890" s="27"/>
      <c r="F1890" s="28"/>
      <c r="G1890" s="25"/>
      <c r="H1890" s="25"/>
      <c r="I1890" s="25"/>
      <c r="J1890" s="25"/>
      <c r="K1890" s="25"/>
      <c r="L1890" s="25"/>
      <c r="M1890" s="25"/>
      <c r="N1890" s="25"/>
      <c r="O1890" s="25"/>
      <c r="P1890" s="25"/>
      <c r="Q1890" s="25"/>
      <c r="R1890" s="25"/>
      <c r="S1890" s="25"/>
      <c r="T1890" s="22"/>
    </row>
    <row r="1891" spans="1:20" x14ac:dyDescent="0.35">
      <c r="A1891" s="21"/>
      <c r="B1891" s="23"/>
      <c r="C1891" s="26"/>
      <c r="D1891" s="27"/>
      <c r="E1891" s="27"/>
      <c r="F1891" s="28"/>
      <c r="G1891" s="25"/>
      <c r="H1891" s="25"/>
      <c r="I1891" s="25"/>
      <c r="J1891" s="25"/>
      <c r="K1891" s="25"/>
      <c r="L1891" s="25"/>
      <c r="M1891" s="25"/>
      <c r="N1891" s="25"/>
      <c r="O1891" s="25"/>
      <c r="P1891" s="25"/>
      <c r="Q1891" s="25"/>
      <c r="R1891" s="25"/>
      <c r="S1891" s="25"/>
      <c r="T1891" s="22"/>
    </row>
    <row r="1892" spans="1:20" x14ac:dyDescent="0.35">
      <c r="A1892" s="21"/>
      <c r="B1892" s="23"/>
      <c r="C1892" s="26"/>
      <c r="D1892" s="27"/>
      <c r="E1892" s="27"/>
      <c r="F1892" s="28"/>
      <c r="G1892" s="25"/>
      <c r="H1892" s="25"/>
      <c r="I1892" s="25"/>
      <c r="J1892" s="25"/>
      <c r="K1892" s="25"/>
      <c r="L1892" s="25"/>
      <c r="M1892" s="25"/>
      <c r="N1892" s="25"/>
      <c r="O1892" s="25"/>
      <c r="P1892" s="25"/>
      <c r="Q1892" s="25"/>
      <c r="R1892" s="25"/>
      <c r="S1892" s="25"/>
      <c r="T1892" s="22"/>
    </row>
    <row r="1893" spans="1:20" x14ac:dyDescent="0.35">
      <c r="A1893" s="21"/>
      <c r="B1893" s="23"/>
      <c r="C1893" s="26"/>
      <c r="D1893" s="27"/>
      <c r="E1893" s="27"/>
      <c r="F1893" s="28"/>
      <c r="G1893" s="25"/>
      <c r="H1893" s="25"/>
      <c r="I1893" s="25"/>
      <c r="J1893" s="25"/>
      <c r="K1893" s="25"/>
      <c r="L1893" s="25"/>
      <c r="M1893" s="25"/>
      <c r="N1893" s="25"/>
      <c r="O1893" s="25"/>
      <c r="P1893" s="25"/>
      <c r="Q1893" s="25"/>
      <c r="R1893" s="25"/>
      <c r="S1893" s="25"/>
      <c r="T1893" s="22"/>
    </row>
    <row r="1894" spans="1:20" x14ac:dyDescent="0.35">
      <c r="A1894" s="21"/>
      <c r="B1894" s="23"/>
      <c r="C1894" s="26"/>
      <c r="D1894" s="27"/>
      <c r="E1894" s="27"/>
      <c r="F1894" s="28"/>
      <c r="G1894" s="25"/>
      <c r="H1894" s="25"/>
      <c r="I1894" s="25"/>
      <c r="J1894" s="25"/>
      <c r="K1894" s="25"/>
      <c r="L1894" s="25"/>
      <c r="M1894" s="25"/>
      <c r="N1894" s="25"/>
      <c r="O1894" s="25"/>
      <c r="P1894" s="25"/>
      <c r="Q1894" s="25"/>
      <c r="R1894" s="25"/>
      <c r="S1894" s="25"/>
      <c r="T1894" s="14"/>
    </row>
    <row r="1895" spans="1:20" x14ac:dyDescent="0.35">
      <c r="A1895" s="21"/>
      <c r="B1895" s="23"/>
      <c r="C1895" s="26"/>
      <c r="D1895" s="27"/>
      <c r="E1895" s="27"/>
      <c r="F1895" s="28"/>
      <c r="G1895" s="25"/>
      <c r="H1895" s="25"/>
      <c r="I1895" s="25"/>
      <c r="J1895" s="25"/>
      <c r="K1895" s="25"/>
      <c r="L1895" s="25"/>
      <c r="M1895" s="25"/>
      <c r="N1895" s="25"/>
      <c r="O1895" s="25"/>
      <c r="P1895" s="25"/>
      <c r="Q1895" s="25"/>
      <c r="R1895" s="25"/>
      <c r="S1895" s="25"/>
      <c r="T1895" s="14"/>
    </row>
    <row r="1896" spans="1:20" x14ac:dyDescent="0.35">
      <c r="A1896" s="21"/>
      <c r="B1896" s="23"/>
      <c r="C1896" s="26"/>
      <c r="D1896" s="27"/>
      <c r="E1896" s="27"/>
      <c r="F1896" s="28"/>
      <c r="G1896" s="25"/>
      <c r="H1896" s="25"/>
      <c r="I1896" s="25"/>
      <c r="J1896" s="25"/>
      <c r="K1896" s="25"/>
      <c r="L1896" s="25"/>
      <c r="M1896" s="25"/>
      <c r="N1896" s="25"/>
      <c r="O1896" s="25"/>
      <c r="P1896" s="25"/>
      <c r="Q1896" s="25"/>
      <c r="R1896" s="25"/>
      <c r="S1896" s="25"/>
      <c r="T1896" s="14"/>
    </row>
    <row r="1897" spans="1:20" x14ac:dyDescent="0.35">
      <c r="A1897" s="21"/>
      <c r="B1897" s="23"/>
      <c r="C1897" s="26"/>
      <c r="D1897" s="27"/>
      <c r="E1897" s="27"/>
      <c r="F1897" s="28"/>
      <c r="G1897" s="25"/>
      <c r="H1897" s="25"/>
      <c r="I1897" s="25"/>
      <c r="J1897" s="25"/>
      <c r="K1897" s="25"/>
      <c r="L1897" s="25"/>
      <c r="M1897" s="25"/>
      <c r="N1897" s="25"/>
      <c r="O1897" s="25"/>
      <c r="P1897" s="25"/>
      <c r="Q1897" s="25"/>
      <c r="R1897" s="25"/>
      <c r="S1897" s="25"/>
      <c r="T1897" s="14"/>
    </row>
    <row r="1898" spans="1:20" x14ac:dyDescent="0.35">
      <c r="A1898" s="21"/>
      <c r="B1898" s="23"/>
      <c r="C1898" s="26"/>
      <c r="D1898" s="27"/>
      <c r="E1898" s="27"/>
      <c r="F1898" s="28"/>
      <c r="G1898" s="25"/>
      <c r="H1898" s="25"/>
      <c r="I1898" s="25"/>
      <c r="J1898" s="25"/>
      <c r="K1898" s="25"/>
      <c r="L1898" s="25"/>
      <c r="M1898" s="25"/>
      <c r="N1898" s="25"/>
      <c r="O1898" s="25"/>
      <c r="P1898" s="25"/>
      <c r="Q1898" s="25"/>
      <c r="R1898" s="25"/>
      <c r="S1898" s="25"/>
      <c r="T1898" s="14"/>
    </row>
    <row r="1899" spans="1:20" x14ac:dyDescent="0.35">
      <c r="A1899" s="21"/>
      <c r="B1899" s="23"/>
      <c r="C1899" s="26"/>
      <c r="D1899" s="27"/>
      <c r="E1899" s="27"/>
      <c r="F1899" s="28"/>
      <c r="G1899" s="25"/>
      <c r="H1899" s="25"/>
      <c r="I1899" s="25"/>
      <c r="J1899" s="25"/>
      <c r="K1899" s="25"/>
      <c r="L1899" s="25"/>
      <c r="M1899" s="25"/>
      <c r="N1899" s="25"/>
      <c r="O1899" s="25"/>
      <c r="P1899" s="25"/>
      <c r="Q1899" s="25"/>
      <c r="R1899" s="25"/>
      <c r="S1899" s="25"/>
      <c r="T1899" s="14"/>
    </row>
    <row r="1900" spans="1:20" x14ac:dyDescent="0.35">
      <c r="A1900" s="21"/>
      <c r="B1900" s="23"/>
      <c r="C1900" s="26"/>
      <c r="D1900" s="27"/>
      <c r="E1900" s="27"/>
      <c r="F1900" s="28"/>
      <c r="G1900" s="25"/>
      <c r="H1900" s="25"/>
      <c r="I1900" s="25"/>
      <c r="J1900" s="25"/>
      <c r="K1900" s="25"/>
      <c r="L1900" s="25"/>
      <c r="M1900" s="25"/>
      <c r="N1900" s="25"/>
      <c r="O1900" s="25"/>
      <c r="P1900" s="25"/>
      <c r="Q1900" s="25"/>
      <c r="R1900" s="25"/>
      <c r="S1900" s="25"/>
      <c r="T1900" s="14"/>
    </row>
    <row r="1901" spans="1:20" x14ac:dyDescent="0.35">
      <c r="A1901" s="21"/>
      <c r="B1901" s="23"/>
      <c r="C1901" s="26"/>
      <c r="D1901" s="27"/>
      <c r="E1901" s="27"/>
      <c r="F1901" s="28"/>
      <c r="G1901" s="25"/>
      <c r="H1901" s="25"/>
      <c r="I1901" s="25"/>
      <c r="J1901" s="25"/>
      <c r="K1901" s="25"/>
      <c r="L1901" s="25"/>
      <c r="M1901" s="25"/>
      <c r="N1901" s="25"/>
      <c r="O1901" s="25"/>
      <c r="P1901" s="25"/>
      <c r="Q1901" s="25"/>
      <c r="R1901" s="25"/>
      <c r="S1901" s="25"/>
      <c r="T1901" s="22"/>
    </row>
    <row r="1902" spans="1:20" x14ac:dyDescent="0.35">
      <c r="A1902" s="21"/>
      <c r="B1902" s="23"/>
      <c r="C1902" s="26"/>
      <c r="D1902" s="27"/>
      <c r="E1902" s="27"/>
      <c r="F1902" s="28"/>
      <c r="G1902" s="25"/>
      <c r="H1902" s="25"/>
      <c r="I1902" s="25"/>
      <c r="J1902" s="25"/>
      <c r="K1902" s="25"/>
      <c r="L1902" s="25"/>
      <c r="M1902" s="25"/>
      <c r="N1902" s="25"/>
      <c r="O1902" s="25"/>
      <c r="P1902" s="25"/>
      <c r="Q1902" s="25"/>
      <c r="R1902" s="25"/>
      <c r="S1902" s="25"/>
      <c r="T1902" s="22"/>
    </row>
    <row r="1903" spans="1:20" x14ac:dyDescent="0.35">
      <c r="A1903" s="21"/>
      <c r="B1903" s="23"/>
      <c r="C1903" s="26"/>
      <c r="D1903" s="27"/>
      <c r="E1903" s="27"/>
      <c r="F1903" s="28"/>
      <c r="G1903" s="25"/>
      <c r="H1903" s="25"/>
      <c r="I1903" s="25"/>
      <c r="J1903" s="25"/>
      <c r="K1903" s="25"/>
      <c r="L1903" s="25"/>
      <c r="M1903" s="25"/>
      <c r="N1903" s="25"/>
      <c r="O1903" s="25"/>
      <c r="P1903" s="25"/>
      <c r="Q1903" s="25"/>
      <c r="R1903" s="25"/>
      <c r="S1903" s="25"/>
      <c r="T1903" s="22"/>
    </row>
    <row r="1904" spans="1:20" x14ac:dyDescent="0.35">
      <c r="A1904" s="21"/>
      <c r="B1904" s="23"/>
      <c r="C1904" s="26"/>
      <c r="D1904" s="27"/>
      <c r="E1904" s="27"/>
      <c r="F1904" s="28"/>
      <c r="G1904" s="25"/>
      <c r="H1904" s="25"/>
      <c r="I1904" s="25"/>
      <c r="J1904" s="25"/>
      <c r="K1904" s="25"/>
      <c r="L1904" s="25"/>
      <c r="M1904" s="25"/>
      <c r="N1904" s="25"/>
      <c r="O1904" s="25"/>
      <c r="P1904" s="25"/>
      <c r="Q1904" s="25"/>
      <c r="R1904" s="25"/>
      <c r="S1904" s="25"/>
      <c r="T1904" s="22"/>
    </row>
    <row r="1905" spans="1:20" x14ac:dyDescent="0.35">
      <c r="A1905" s="21"/>
      <c r="B1905" s="23"/>
      <c r="C1905" s="26"/>
      <c r="D1905" s="27"/>
      <c r="E1905" s="27"/>
      <c r="F1905" s="28"/>
      <c r="G1905" s="25"/>
      <c r="H1905" s="25"/>
      <c r="I1905" s="25"/>
      <c r="J1905" s="25"/>
      <c r="K1905" s="25"/>
      <c r="L1905" s="25"/>
      <c r="M1905" s="25"/>
      <c r="N1905" s="25"/>
      <c r="O1905" s="25"/>
      <c r="P1905" s="25"/>
      <c r="Q1905" s="25"/>
      <c r="R1905" s="25"/>
      <c r="S1905" s="25"/>
      <c r="T1905" s="22"/>
    </row>
    <row r="1906" spans="1:20" x14ac:dyDescent="0.35">
      <c r="A1906" s="21"/>
      <c r="B1906" s="23"/>
      <c r="C1906" s="26"/>
      <c r="D1906" s="27"/>
      <c r="E1906" s="27"/>
      <c r="F1906" s="28"/>
      <c r="G1906" s="25"/>
      <c r="H1906" s="25"/>
      <c r="I1906" s="25"/>
      <c r="J1906" s="25"/>
      <c r="K1906" s="25"/>
      <c r="L1906" s="25"/>
      <c r="M1906" s="25"/>
      <c r="N1906" s="25"/>
      <c r="O1906" s="25"/>
      <c r="P1906" s="25"/>
      <c r="Q1906" s="25"/>
      <c r="R1906" s="25"/>
      <c r="S1906" s="25"/>
      <c r="T1906" s="22"/>
    </row>
    <row r="1907" spans="1:20" x14ac:dyDescent="0.35">
      <c r="A1907" s="21"/>
      <c r="B1907" s="23"/>
      <c r="C1907" s="26"/>
      <c r="D1907" s="27"/>
      <c r="E1907" s="27"/>
      <c r="F1907" s="28"/>
      <c r="G1907" s="25"/>
      <c r="H1907" s="25"/>
      <c r="I1907" s="25"/>
      <c r="J1907" s="25"/>
      <c r="K1907" s="25"/>
      <c r="L1907" s="25"/>
      <c r="M1907" s="25"/>
      <c r="N1907" s="25"/>
      <c r="O1907" s="25"/>
      <c r="P1907" s="25"/>
      <c r="Q1907" s="25"/>
      <c r="R1907" s="25"/>
      <c r="S1907" s="25"/>
      <c r="T1907" s="22"/>
    </row>
    <row r="1908" spans="1:20" x14ac:dyDescent="0.35">
      <c r="A1908" s="21"/>
      <c r="B1908" s="23"/>
      <c r="C1908" s="26"/>
      <c r="D1908" s="27"/>
      <c r="E1908" s="27"/>
      <c r="F1908" s="28"/>
      <c r="G1908" s="25"/>
      <c r="H1908" s="25"/>
      <c r="I1908" s="25"/>
      <c r="J1908" s="25"/>
      <c r="K1908" s="25"/>
      <c r="L1908" s="25"/>
      <c r="M1908" s="25"/>
      <c r="N1908" s="25"/>
      <c r="O1908" s="25"/>
      <c r="P1908" s="25"/>
      <c r="Q1908" s="25"/>
      <c r="R1908" s="25"/>
      <c r="S1908" s="25"/>
      <c r="T1908" s="22"/>
    </row>
    <row r="1909" spans="1:20" x14ac:dyDescent="0.35">
      <c r="A1909" s="21"/>
      <c r="B1909" s="23"/>
      <c r="C1909" s="26"/>
      <c r="D1909" s="27"/>
      <c r="E1909" s="27"/>
      <c r="F1909" s="28"/>
      <c r="G1909" s="25"/>
      <c r="H1909" s="25"/>
      <c r="I1909" s="25"/>
      <c r="J1909" s="25"/>
      <c r="K1909" s="25"/>
      <c r="L1909" s="25"/>
      <c r="M1909" s="25"/>
      <c r="N1909" s="25"/>
      <c r="O1909" s="25"/>
      <c r="P1909" s="25"/>
      <c r="Q1909" s="25"/>
      <c r="R1909" s="25"/>
      <c r="S1909" s="25"/>
      <c r="T1909" s="22"/>
    </row>
    <row r="1910" spans="1:20" x14ac:dyDescent="0.35">
      <c r="A1910" s="21"/>
      <c r="B1910" s="23"/>
      <c r="C1910" s="26"/>
      <c r="D1910" s="27"/>
      <c r="E1910" s="27"/>
      <c r="F1910" s="28"/>
      <c r="G1910" s="25"/>
      <c r="H1910" s="25"/>
      <c r="I1910" s="25"/>
      <c r="J1910" s="25"/>
      <c r="K1910" s="25"/>
      <c r="L1910" s="25"/>
      <c r="M1910" s="25"/>
      <c r="N1910" s="25"/>
      <c r="O1910" s="25"/>
      <c r="P1910" s="25"/>
      <c r="Q1910" s="25"/>
      <c r="R1910" s="25"/>
      <c r="S1910" s="25"/>
      <c r="T1910" s="14"/>
    </row>
    <row r="1911" spans="1:20" x14ac:dyDescent="0.35">
      <c r="A1911" s="21"/>
      <c r="B1911" s="23"/>
      <c r="C1911" s="26"/>
      <c r="D1911" s="27"/>
      <c r="E1911" s="27"/>
      <c r="F1911" s="28"/>
      <c r="G1911" s="25"/>
      <c r="H1911" s="25"/>
      <c r="I1911" s="25"/>
      <c r="J1911" s="25"/>
      <c r="K1911" s="25"/>
      <c r="L1911" s="25"/>
      <c r="M1911" s="25"/>
      <c r="N1911" s="25"/>
      <c r="O1911" s="25"/>
      <c r="P1911" s="25"/>
      <c r="Q1911" s="25"/>
      <c r="R1911" s="25"/>
      <c r="S1911" s="25"/>
      <c r="T1911" s="14"/>
    </row>
    <row r="1912" spans="1:20" x14ac:dyDescent="0.35">
      <c r="A1912" s="21"/>
      <c r="B1912" s="23"/>
      <c r="C1912" s="26"/>
      <c r="D1912" s="27"/>
      <c r="E1912" s="27"/>
      <c r="F1912" s="28"/>
      <c r="G1912" s="25"/>
      <c r="H1912" s="25"/>
      <c r="I1912" s="25"/>
      <c r="J1912" s="25"/>
      <c r="K1912" s="25"/>
      <c r="L1912" s="25"/>
      <c r="M1912" s="25"/>
      <c r="N1912" s="25"/>
      <c r="O1912" s="25"/>
      <c r="P1912" s="25"/>
      <c r="Q1912" s="25"/>
      <c r="R1912" s="25"/>
      <c r="S1912" s="25"/>
      <c r="T1912" s="14"/>
    </row>
    <row r="1913" spans="1:20" x14ac:dyDescent="0.35">
      <c r="A1913" s="21"/>
      <c r="B1913" s="23"/>
      <c r="C1913" s="26"/>
      <c r="D1913" s="27"/>
      <c r="E1913" s="27"/>
      <c r="F1913" s="28"/>
      <c r="G1913" s="25"/>
      <c r="H1913" s="25"/>
      <c r="I1913" s="25"/>
      <c r="J1913" s="25"/>
      <c r="K1913" s="25"/>
      <c r="L1913" s="25"/>
      <c r="M1913" s="25"/>
      <c r="N1913" s="25"/>
      <c r="O1913" s="25"/>
      <c r="P1913" s="25"/>
      <c r="Q1913" s="25"/>
      <c r="R1913" s="25"/>
      <c r="S1913" s="25"/>
      <c r="T1913" s="14"/>
    </row>
    <row r="1914" spans="1:20" x14ac:dyDescent="0.35">
      <c r="A1914" s="21"/>
      <c r="B1914" s="23"/>
      <c r="C1914" s="26"/>
      <c r="D1914" s="27"/>
      <c r="E1914" s="27"/>
      <c r="F1914" s="28"/>
      <c r="G1914" s="25"/>
      <c r="H1914" s="25"/>
      <c r="I1914" s="25"/>
      <c r="J1914" s="25"/>
      <c r="K1914" s="25"/>
      <c r="L1914" s="25"/>
      <c r="M1914" s="25"/>
      <c r="N1914" s="25"/>
      <c r="O1914" s="25"/>
      <c r="P1914" s="25"/>
      <c r="Q1914" s="25"/>
      <c r="R1914" s="25"/>
      <c r="S1914" s="25"/>
      <c r="T1914" s="14"/>
    </row>
    <row r="1915" spans="1:20" x14ac:dyDescent="0.35">
      <c r="A1915" s="21"/>
      <c r="B1915" s="23"/>
      <c r="C1915" s="26"/>
      <c r="D1915" s="27"/>
      <c r="E1915" s="27"/>
      <c r="F1915" s="28"/>
      <c r="G1915" s="25"/>
      <c r="H1915" s="25"/>
      <c r="I1915" s="25"/>
      <c r="J1915" s="25"/>
      <c r="K1915" s="25"/>
      <c r="L1915" s="25"/>
      <c r="M1915" s="25"/>
      <c r="N1915" s="25"/>
      <c r="O1915" s="25"/>
      <c r="P1915" s="25"/>
      <c r="Q1915" s="25"/>
      <c r="R1915" s="25"/>
      <c r="S1915" s="25"/>
      <c r="T1915" s="14"/>
    </row>
    <row r="1916" spans="1:20" x14ac:dyDescent="0.35">
      <c r="A1916" s="21"/>
      <c r="B1916" s="23"/>
      <c r="C1916" s="26"/>
      <c r="D1916" s="27"/>
      <c r="E1916" s="27"/>
      <c r="F1916" s="28"/>
      <c r="G1916" s="25"/>
      <c r="H1916" s="25"/>
      <c r="I1916" s="25"/>
      <c r="J1916" s="25"/>
      <c r="K1916" s="25"/>
      <c r="L1916" s="25"/>
      <c r="M1916" s="25"/>
      <c r="N1916" s="25"/>
      <c r="O1916" s="25"/>
      <c r="P1916" s="25"/>
      <c r="Q1916" s="25"/>
      <c r="R1916" s="25"/>
      <c r="S1916" s="25"/>
      <c r="T1916" s="14"/>
    </row>
    <row r="1917" spans="1:20" x14ac:dyDescent="0.35">
      <c r="A1917" s="21"/>
      <c r="B1917" s="23"/>
      <c r="C1917" s="26"/>
      <c r="D1917" s="27"/>
      <c r="E1917" s="27"/>
      <c r="F1917" s="28"/>
      <c r="G1917" s="25"/>
      <c r="H1917" s="25"/>
      <c r="I1917" s="25"/>
      <c r="J1917" s="25"/>
      <c r="K1917" s="25"/>
      <c r="L1917" s="25"/>
      <c r="M1917" s="25"/>
      <c r="N1917" s="25"/>
      <c r="O1917" s="25"/>
      <c r="P1917" s="25"/>
      <c r="Q1917" s="25"/>
      <c r="R1917" s="25"/>
      <c r="S1917" s="25"/>
      <c r="T1917" s="14"/>
    </row>
    <row r="1918" spans="1:20" x14ac:dyDescent="0.35">
      <c r="A1918" s="21"/>
      <c r="B1918" s="23"/>
      <c r="C1918" s="26"/>
      <c r="D1918" s="27"/>
      <c r="E1918" s="27"/>
      <c r="F1918" s="28"/>
      <c r="G1918" s="25"/>
      <c r="H1918" s="25"/>
      <c r="I1918" s="25"/>
      <c r="J1918" s="25"/>
      <c r="K1918" s="25"/>
      <c r="L1918" s="25"/>
      <c r="M1918" s="25"/>
      <c r="N1918" s="25"/>
      <c r="O1918" s="25"/>
      <c r="P1918" s="25"/>
      <c r="Q1918" s="25"/>
      <c r="R1918" s="25"/>
      <c r="S1918" s="25"/>
      <c r="T1918" s="14"/>
    </row>
    <row r="1919" spans="1:20" x14ac:dyDescent="0.35">
      <c r="A1919" s="21"/>
      <c r="B1919" s="23"/>
      <c r="C1919" s="26"/>
      <c r="D1919" s="27"/>
      <c r="E1919" s="27"/>
      <c r="F1919" s="28"/>
      <c r="G1919" s="25"/>
      <c r="H1919" s="25"/>
      <c r="I1919" s="25"/>
      <c r="J1919" s="25"/>
      <c r="K1919" s="25"/>
      <c r="L1919" s="25"/>
      <c r="M1919" s="25"/>
      <c r="N1919" s="25"/>
      <c r="O1919" s="25"/>
      <c r="P1919" s="25"/>
      <c r="Q1919" s="25"/>
      <c r="R1919" s="25"/>
      <c r="S1919" s="25"/>
      <c r="T1919" s="14"/>
    </row>
    <row r="1920" spans="1:20" x14ac:dyDescent="0.35">
      <c r="A1920" s="21"/>
      <c r="B1920" s="23"/>
      <c r="C1920" s="26"/>
      <c r="D1920" s="27"/>
      <c r="E1920" s="27"/>
      <c r="F1920" s="28"/>
      <c r="G1920" s="25"/>
      <c r="H1920" s="25"/>
      <c r="I1920" s="25"/>
      <c r="J1920" s="25"/>
      <c r="K1920" s="25"/>
      <c r="L1920" s="25"/>
      <c r="M1920" s="25"/>
      <c r="N1920" s="25"/>
      <c r="O1920" s="25"/>
      <c r="P1920" s="25"/>
      <c r="Q1920" s="25"/>
      <c r="R1920" s="25"/>
      <c r="S1920" s="25"/>
      <c r="T1920" s="14"/>
    </row>
    <row r="1921" spans="1:20" x14ac:dyDescent="0.35">
      <c r="A1921" s="21"/>
      <c r="B1921" s="23"/>
      <c r="C1921" s="26"/>
      <c r="D1921" s="27"/>
      <c r="E1921" s="27"/>
      <c r="F1921" s="28"/>
      <c r="G1921" s="25"/>
      <c r="H1921" s="25"/>
      <c r="I1921" s="25"/>
      <c r="J1921" s="25"/>
      <c r="K1921" s="25"/>
      <c r="L1921" s="25"/>
      <c r="M1921" s="25"/>
      <c r="N1921" s="25"/>
      <c r="O1921" s="25"/>
      <c r="P1921" s="25"/>
      <c r="Q1921" s="25"/>
      <c r="R1921" s="25"/>
      <c r="S1921" s="25"/>
      <c r="T1921" s="14"/>
    </row>
    <row r="1922" spans="1:20" x14ac:dyDescent="0.35">
      <c r="A1922" s="21"/>
      <c r="B1922" s="23"/>
      <c r="C1922" s="26"/>
      <c r="D1922" s="27"/>
      <c r="E1922" s="27"/>
      <c r="F1922" s="28"/>
      <c r="G1922" s="25"/>
      <c r="H1922" s="25"/>
      <c r="I1922" s="25"/>
      <c r="J1922" s="25"/>
      <c r="K1922" s="25"/>
      <c r="L1922" s="25"/>
      <c r="M1922" s="25"/>
      <c r="N1922" s="25"/>
      <c r="O1922" s="25"/>
      <c r="P1922" s="25"/>
      <c r="Q1922" s="25"/>
      <c r="R1922" s="25"/>
      <c r="S1922" s="25"/>
      <c r="T1922" s="14"/>
    </row>
    <row r="1923" spans="1:20" x14ac:dyDescent="0.35">
      <c r="A1923" s="21"/>
      <c r="B1923" s="23"/>
      <c r="C1923" s="26"/>
      <c r="D1923" s="27"/>
      <c r="E1923" s="27"/>
      <c r="F1923" s="28"/>
      <c r="G1923" s="25"/>
      <c r="H1923" s="25"/>
      <c r="I1923" s="25"/>
      <c r="J1923" s="25"/>
      <c r="K1923" s="25"/>
      <c r="L1923" s="25"/>
      <c r="M1923" s="25"/>
      <c r="N1923" s="25"/>
      <c r="O1923" s="25"/>
      <c r="P1923" s="25"/>
      <c r="Q1923" s="25"/>
      <c r="R1923" s="25"/>
      <c r="S1923" s="25"/>
      <c r="T1923" s="14"/>
    </row>
    <row r="1924" spans="1:20" x14ac:dyDescent="0.35">
      <c r="A1924" s="21"/>
      <c r="B1924" s="23"/>
      <c r="C1924" s="26"/>
      <c r="D1924" s="27"/>
      <c r="E1924" s="27"/>
      <c r="F1924" s="28"/>
      <c r="G1924" s="25"/>
      <c r="H1924" s="25"/>
      <c r="I1924" s="25"/>
      <c r="J1924" s="25"/>
      <c r="K1924" s="25"/>
      <c r="L1924" s="25"/>
      <c r="M1924" s="25"/>
      <c r="N1924" s="25"/>
      <c r="O1924" s="25"/>
      <c r="P1924" s="25"/>
      <c r="Q1924" s="25"/>
      <c r="R1924" s="25"/>
      <c r="S1924" s="25"/>
      <c r="T1924" s="14"/>
    </row>
    <row r="1925" spans="1:20" x14ac:dyDescent="0.35">
      <c r="A1925" s="21"/>
      <c r="B1925" s="23"/>
      <c r="C1925" s="26"/>
      <c r="D1925" s="27"/>
      <c r="E1925" s="27"/>
      <c r="F1925" s="28"/>
      <c r="G1925" s="25"/>
      <c r="H1925" s="25"/>
      <c r="I1925" s="25"/>
      <c r="J1925" s="25"/>
      <c r="K1925" s="25"/>
      <c r="L1925" s="25"/>
      <c r="M1925" s="25"/>
      <c r="N1925" s="25"/>
      <c r="O1925" s="25"/>
      <c r="P1925" s="25"/>
      <c r="Q1925" s="25"/>
      <c r="R1925" s="25"/>
      <c r="S1925" s="25"/>
      <c r="T1925" s="22"/>
    </row>
    <row r="1926" spans="1:20" x14ac:dyDescent="0.35">
      <c r="A1926" s="21"/>
      <c r="B1926" s="23"/>
      <c r="C1926" s="26"/>
      <c r="D1926" s="27"/>
      <c r="E1926" s="27"/>
      <c r="F1926" s="28"/>
      <c r="G1926" s="25"/>
      <c r="H1926" s="25"/>
      <c r="I1926" s="25"/>
      <c r="J1926" s="25"/>
      <c r="K1926" s="25"/>
      <c r="L1926" s="25"/>
      <c r="M1926" s="25"/>
      <c r="N1926" s="25"/>
      <c r="O1926" s="25"/>
      <c r="P1926" s="25"/>
      <c r="Q1926" s="25"/>
      <c r="R1926" s="25"/>
      <c r="S1926" s="25"/>
      <c r="T1926" s="22"/>
    </row>
    <row r="1927" spans="1:20" x14ac:dyDescent="0.35">
      <c r="A1927" s="21"/>
      <c r="B1927" s="23"/>
      <c r="C1927" s="26"/>
      <c r="D1927" s="27"/>
      <c r="E1927" s="27"/>
      <c r="F1927" s="28"/>
      <c r="G1927" s="25"/>
      <c r="H1927" s="25"/>
      <c r="I1927" s="25"/>
      <c r="J1927" s="25"/>
      <c r="K1927" s="25"/>
      <c r="L1927" s="25"/>
      <c r="M1927" s="25"/>
      <c r="N1927" s="25"/>
      <c r="O1927" s="25"/>
      <c r="P1927" s="25"/>
      <c r="Q1927" s="25"/>
      <c r="R1927" s="25"/>
      <c r="S1927" s="25"/>
      <c r="T1927" s="22"/>
    </row>
    <row r="1928" spans="1:20" x14ac:dyDescent="0.35">
      <c r="A1928" s="21"/>
      <c r="B1928" s="23"/>
      <c r="C1928" s="26"/>
      <c r="D1928" s="27"/>
      <c r="E1928" s="27"/>
      <c r="F1928" s="28"/>
      <c r="G1928" s="25"/>
      <c r="H1928" s="25"/>
      <c r="I1928" s="25"/>
      <c r="J1928" s="25"/>
      <c r="K1928" s="25"/>
      <c r="L1928" s="25"/>
      <c r="M1928" s="25"/>
      <c r="N1928" s="25"/>
      <c r="O1928" s="25"/>
      <c r="P1928" s="25"/>
      <c r="Q1928" s="25"/>
      <c r="R1928" s="25"/>
      <c r="S1928" s="25"/>
      <c r="T1928" s="22"/>
    </row>
    <row r="1929" spans="1:20" x14ac:dyDescent="0.35">
      <c r="A1929" s="21"/>
      <c r="B1929" s="23"/>
      <c r="C1929" s="26"/>
      <c r="D1929" s="27"/>
      <c r="E1929" s="27"/>
      <c r="F1929" s="28"/>
      <c r="G1929" s="25"/>
      <c r="H1929" s="25"/>
      <c r="I1929" s="25"/>
      <c r="J1929" s="25"/>
      <c r="K1929" s="25"/>
      <c r="L1929" s="25"/>
      <c r="M1929" s="25"/>
      <c r="N1929" s="25"/>
      <c r="O1929" s="25"/>
      <c r="P1929" s="25"/>
      <c r="Q1929" s="25"/>
      <c r="R1929" s="25"/>
      <c r="S1929" s="25"/>
      <c r="T1929" s="22"/>
    </row>
    <row r="1930" spans="1:20" x14ac:dyDescent="0.35">
      <c r="A1930" s="21"/>
      <c r="B1930" s="23"/>
      <c r="C1930" s="26"/>
      <c r="D1930" s="27"/>
      <c r="E1930" s="27"/>
      <c r="F1930" s="28"/>
      <c r="G1930" s="25"/>
      <c r="H1930" s="25"/>
      <c r="I1930" s="25"/>
      <c r="J1930" s="25"/>
      <c r="K1930" s="25"/>
      <c r="L1930" s="25"/>
      <c r="M1930" s="25"/>
      <c r="N1930" s="25"/>
      <c r="O1930" s="25"/>
      <c r="P1930" s="25"/>
      <c r="Q1930" s="25"/>
      <c r="R1930" s="25"/>
      <c r="S1930" s="25"/>
      <c r="T1930" s="22"/>
    </row>
    <row r="1931" spans="1:20" x14ac:dyDescent="0.35">
      <c r="A1931" s="21"/>
      <c r="B1931" s="23"/>
      <c r="C1931" s="26"/>
      <c r="D1931" s="27"/>
      <c r="E1931" s="27"/>
      <c r="F1931" s="28"/>
      <c r="G1931" s="25"/>
      <c r="H1931" s="25"/>
      <c r="I1931" s="25"/>
      <c r="J1931" s="25"/>
      <c r="K1931" s="25"/>
      <c r="L1931" s="25"/>
      <c r="M1931" s="25"/>
      <c r="N1931" s="25"/>
      <c r="O1931" s="25"/>
      <c r="P1931" s="25"/>
      <c r="Q1931" s="25"/>
      <c r="R1931" s="25"/>
      <c r="S1931" s="25"/>
      <c r="T1931" s="22"/>
    </row>
    <row r="1932" spans="1:20" x14ac:dyDescent="0.35">
      <c r="A1932" s="21"/>
      <c r="B1932" s="23"/>
      <c r="C1932" s="26"/>
      <c r="D1932" s="27"/>
      <c r="E1932" s="27"/>
      <c r="F1932" s="28"/>
      <c r="G1932" s="25"/>
      <c r="H1932" s="25"/>
      <c r="I1932" s="25"/>
      <c r="J1932" s="25"/>
      <c r="K1932" s="25"/>
      <c r="L1932" s="25"/>
      <c r="M1932" s="25"/>
      <c r="N1932" s="25"/>
      <c r="O1932" s="25"/>
      <c r="P1932" s="25"/>
      <c r="Q1932" s="25"/>
      <c r="R1932" s="25"/>
      <c r="S1932" s="25"/>
      <c r="T1932" s="22"/>
    </row>
    <row r="1933" spans="1:20" x14ac:dyDescent="0.35">
      <c r="A1933" s="21"/>
      <c r="B1933" s="23"/>
      <c r="C1933" s="26"/>
      <c r="D1933" s="27"/>
      <c r="E1933" s="27"/>
      <c r="F1933" s="28"/>
      <c r="G1933" s="25"/>
      <c r="H1933" s="25"/>
      <c r="I1933" s="25"/>
      <c r="J1933" s="25"/>
      <c r="K1933" s="25"/>
      <c r="L1933" s="25"/>
      <c r="M1933" s="25"/>
      <c r="N1933" s="25"/>
      <c r="O1933" s="25"/>
      <c r="P1933" s="25"/>
      <c r="Q1933" s="25"/>
      <c r="R1933" s="25"/>
      <c r="S1933" s="25"/>
      <c r="T1933" s="22"/>
    </row>
    <row r="1934" spans="1:20" x14ac:dyDescent="0.35">
      <c r="A1934" s="21"/>
      <c r="B1934" s="23"/>
      <c r="C1934" s="26"/>
      <c r="D1934" s="27"/>
      <c r="E1934" s="27"/>
      <c r="F1934" s="28"/>
      <c r="G1934" s="25"/>
      <c r="H1934" s="25"/>
      <c r="I1934" s="25"/>
      <c r="J1934" s="25"/>
      <c r="K1934" s="25"/>
      <c r="L1934" s="25"/>
      <c r="M1934" s="25"/>
      <c r="N1934" s="25"/>
      <c r="O1934" s="25"/>
      <c r="P1934" s="25"/>
      <c r="Q1934" s="25"/>
      <c r="R1934" s="25"/>
      <c r="S1934" s="25"/>
      <c r="T1934" s="22"/>
    </row>
    <row r="1935" spans="1:20" x14ac:dyDescent="0.35">
      <c r="A1935" s="21"/>
      <c r="B1935" s="23"/>
      <c r="C1935" s="26"/>
      <c r="D1935" s="27"/>
      <c r="E1935" s="27"/>
      <c r="F1935" s="28"/>
      <c r="G1935" s="25"/>
      <c r="H1935" s="25"/>
      <c r="I1935" s="25"/>
      <c r="J1935" s="25"/>
      <c r="K1935" s="25"/>
      <c r="L1935" s="25"/>
      <c r="M1935" s="25"/>
      <c r="N1935" s="25"/>
      <c r="O1935" s="25"/>
      <c r="P1935" s="25"/>
      <c r="Q1935" s="25"/>
      <c r="R1935" s="25"/>
      <c r="S1935" s="25"/>
      <c r="T1935" s="22"/>
    </row>
    <row r="1936" spans="1:20" x14ac:dyDescent="0.35">
      <c r="A1936" s="21"/>
      <c r="B1936" s="23"/>
      <c r="C1936" s="26"/>
      <c r="D1936" s="27"/>
      <c r="E1936" s="27"/>
      <c r="F1936" s="28"/>
      <c r="G1936" s="25"/>
      <c r="H1936" s="25"/>
      <c r="I1936" s="25"/>
      <c r="J1936" s="25"/>
      <c r="K1936" s="25"/>
      <c r="L1936" s="25"/>
      <c r="M1936" s="25"/>
      <c r="N1936" s="25"/>
      <c r="O1936" s="25"/>
      <c r="P1936" s="25"/>
      <c r="Q1936" s="25"/>
      <c r="R1936" s="25"/>
      <c r="S1936" s="25"/>
      <c r="T1936" s="22"/>
    </row>
    <row r="1937" spans="1:20" x14ac:dyDescent="0.35">
      <c r="A1937" s="21"/>
      <c r="B1937" s="23"/>
      <c r="C1937" s="26"/>
      <c r="D1937" s="27"/>
      <c r="E1937" s="27"/>
      <c r="F1937" s="28"/>
      <c r="G1937" s="25"/>
      <c r="H1937" s="25"/>
      <c r="I1937" s="25"/>
      <c r="J1937" s="25"/>
      <c r="K1937" s="25"/>
      <c r="L1937" s="25"/>
      <c r="M1937" s="25"/>
      <c r="N1937" s="25"/>
      <c r="O1937" s="25"/>
      <c r="P1937" s="25"/>
      <c r="Q1937" s="25"/>
      <c r="R1937" s="25"/>
      <c r="S1937" s="25"/>
      <c r="T1937" s="22"/>
    </row>
    <row r="1938" spans="1:20" x14ac:dyDescent="0.35">
      <c r="A1938" s="21"/>
      <c r="B1938" s="23"/>
      <c r="C1938" s="26"/>
      <c r="D1938" s="27"/>
      <c r="E1938" s="27"/>
      <c r="F1938" s="28"/>
      <c r="G1938" s="25"/>
      <c r="H1938" s="25"/>
      <c r="I1938" s="25"/>
      <c r="J1938" s="25"/>
      <c r="K1938" s="25"/>
      <c r="L1938" s="25"/>
      <c r="M1938" s="25"/>
      <c r="N1938" s="25"/>
      <c r="O1938" s="25"/>
      <c r="P1938" s="25"/>
      <c r="Q1938" s="25"/>
      <c r="R1938" s="25"/>
      <c r="S1938" s="25"/>
      <c r="T1938" s="22"/>
    </row>
    <row r="1939" spans="1:20" x14ac:dyDescent="0.35">
      <c r="A1939" s="21"/>
      <c r="B1939" s="23"/>
      <c r="C1939" s="26"/>
      <c r="D1939" s="27"/>
      <c r="E1939" s="27"/>
      <c r="F1939" s="28"/>
      <c r="G1939" s="25"/>
      <c r="H1939" s="25"/>
      <c r="I1939" s="25"/>
      <c r="J1939" s="25"/>
      <c r="K1939" s="25"/>
      <c r="L1939" s="25"/>
      <c r="M1939" s="25"/>
      <c r="N1939" s="25"/>
      <c r="O1939" s="25"/>
      <c r="P1939" s="25"/>
      <c r="Q1939" s="25"/>
      <c r="R1939" s="25"/>
      <c r="S1939" s="25"/>
      <c r="T1939" s="22"/>
    </row>
    <row r="1940" spans="1:20" x14ac:dyDescent="0.35">
      <c r="A1940" s="21"/>
      <c r="B1940" s="23"/>
      <c r="C1940" s="26"/>
      <c r="D1940" s="27"/>
      <c r="E1940" s="27"/>
      <c r="F1940" s="28"/>
      <c r="G1940" s="25"/>
      <c r="H1940" s="25"/>
      <c r="I1940" s="25"/>
      <c r="J1940" s="25"/>
      <c r="K1940" s="25"/>
      <c r="L1940" s="25"/>
      <c r="M1940" s="25"/>
      <c r="N1940" s="25"/>
      <c r="O1940" s="25"/>
      <c r="P1940" s="25"/>
      <c r="Q1940" s="25"/>
      <c r="R1940" s="25"/>
      <c r="S1940" s="25"/>
      <c r="T1940" s="22"/>
    </row>
    <row r="1941" spans="1:20" x14ac:dyDescent="0.35">
      <c r="A1941" s="21"/>
      <c r="B1941" s="23"/>
      <c r="C1941" s="26"/>
      <c r="D1941" s="27"/>
      <c r="E1941" s="27"/>
      <c r="F1941" s="28"/>
      <c r="G1941" s="25"/>
      <c r="H1941" s="25"/>
      <c r="I1941" s="25"/>
      <c r="J1941" s="25"/>
      <c r="K1941" s="25"/>
      <c r="L1941" s="25"/>
      <c r="M1941" s="25"/>
      <c r="N1941" s="25"/>
      <c r="O1941" s="25"/>
      <c r="P1941" s="25"/>
      <c r="Q1941" s="25"/>
      <c r="R1941" s="25"/>
      <c r="S1941" s="25"/>
      <c r="T1941" s="14"/>
    </row>
    <row r="1942" spans="1:20" x14ac:dyDescent="0.35">
      <c r="A1942" s="21"/>
      <c r="B1942" s="23"/>
      <c r="C1942" s="26"/>
      <c r="D1942" s="27"/>
      <c r="E1942" s="27"/>
      <c r="F1942" s="28"/>
      <c r="G1942" s="25"/>
      <c r="H1942" s="25"/>
      <c r="I1942" s="25"/>
      <c r="J1942" s="25"/>
      <c r="K1942" s="25"/>
      <c r="L1942" s="25"/>
      <c r="M1942" s="25"/>
      <c r="N1942" s="25"/>
      <c r="O1942" s="25"/>
      <c r="P1942" s="25"/>
      <c r="Q1942" s="25"/>
      <c r="R1942" s="25"/>
      <c r="S1942" s="25"/>
      <c r="T1942" s="14"/>
    </row>
    <row r="1943" spans="1:20" x14ac:dyDescent="0.35">
      <c r="A1943" s="21"/>
      <c r="B1943" s="23"/>
      <c r="C1943" s="26"/>
      <c r="D1943" s="27"/>
      <c r="E1943" s="27"/>
      <c r="F1943" s="28"/>
      <c r="G1943" s="25"/>
      <c r="H1943" s="25"/>
      <c r="I1943" s="25"/>
      <c r="J1943" s="25"/>
      <c r="K1943" s="25"/>
      <c r="L1943" s="25"/>
      <c r="M1943" s="25"/>
      <c r="N1943" s="25"/>
      <c r="O1943" s="25"/>
      <c r="P1943" s="25"/>
      <c r="Q1943" s="25"/>
      <c r="R1943" s="25"/>
      <c r="S1943" s="25"/>
      <c r="T1943" s="14"/>
    </row>
    <row r="1944" spans="1:20" x14ac:dyDescent="0.35">
      <c r="A1944" s="21"/>
      <c r="B1944" s="23"/>
      <c r="C1944" s="26"/>
      <c r="D1944" s="27"/>
      <c r="E1944" s="27"/>
      <c r="F1944" s="28"/>
      <c r="G1944" s="25"/>
      <c r="H1944" s="25"/>
      <c r="I1944" s="25"/>
      <c r="J1944" s="25"/>
      <c r="K1944" s="25"/>
      <c r="L1944" s="25"/>
      <c r="M1944" s="25"/>
      <c r="N1944" s="25"/>
      <c r="O1944" s="25"/>
      <c r="P1944" s="25"/>
      <c r="Q1944" s="25"/>
      <c r="R1944" s="25"/>
      <c r="S1944" s="25"/>
      <c r="T1944" s="14"/>
    </row>
    <row r="1945" spans="1:20" x14ac:dyDescent="0.35">
      <c r="A1945" s="21"/>
      <c r="B1945" s="23"/>
      <c r="C1945" s="26"/>
      <c r="D1945" s="27"/>
      <c r="E1945" s="27"/>
      <c r="F1945" s="28"/>
      <c r="G1945" s="25"/>
      <c r="H1945" s="25"/>
      <c r="I1945" s="25"/>
      <c r="J1945" s="25"/>
      <c r="K1945" s="25"/>
      <c r="L1945" s="25"/>
      <c r="M1945" s="25"/>
      <c r="N1945" s="25"/>
      <c r="O1945" s="25"/>
      <c r="P1945" s="25"/>
      <c r="Q1945" s="25"/>
      <c r="R1945" s="25"/>
      <c r="S1945" s="25"/>
      <c r="T1945" s="14"/>
    </row>
    <row r="1946" spans="1:20" x14ac:dyDescent="0.35">
      <c r="A1946" s="21"/>
      <c r="B1946" s="23"/>
      <c r="C1946" s="26"/>
      <c r="D1946" s="27"/>
      <c r="E1946" s="27"/>
      <c r="F1946" s="28"/>
      <c r="G1946" s="25"/>
      <c r="H1946" s="25"/>
      <c r="I1946" s="25"/>
      <c r="J1946" s="25"/>
      <c r="K1946" s="25"/>
      <c r="L1946" s="25"/>
      <c r="M1946" s="25"/>
      <c r="N1946" s="25"/>
      <c r="O1946" s="25"/>
      <c r="P1946" s="25"/>
      <c r="Q1946" s="25"/>
      <c r="R1946" s="25"/>
      <c r="S1946" s="25"/>
      <c r="T1946" s="14"/>
    </row>
    <row r="1947" spans="1:20" x14ac:dyDescent="0.35">
      <c r="A1947" s="21"/>
      <c r="B1947" s="23"/>
      <c r="C1947" s="26"/>
      <c r="D1947" s="27"/>
      <c r="E1947" s="27"/>
      <c r="F1947" s="28"/>
      <c r="G1947" s="25"/>
      <c r="H1947" s="25"/>
      <c r="I1947" s="25"/>
      <c r="J1947" s="25"/>
      <c r="K1947" s="25"/>
      <c r="L1947" s="25"/>
      <c r="M1947" s="25"/>
      <c r="N1947" s="25"/>
      <c r="O1947" s="25"/>
      <c r="P1947" s="25"/>
      <c r="Q1947" s="25"/>
      <c r="R1947" s="25"/>
      <c r="S1947" s="25"/>
      <c r="T1947" s="14"/>
    </row>
    <row r="1948" spans="1:20" x14ac:dyDescent="0.35">
      <c r="A1948" s="21"/>
      <c r="B1948" s="23"/>
      <c r="C1948" s="26"/>
      <c r="D1948" s="27"/>
      <c r="E1948" s="27"/>
      <c r="F1948" s="28"/>
      <c r="G1948" s="25"/>
      <c r="H1948" s="25"/>
      <c r="I1948" s="25"/>
      <c r="J1948" s="25"/>
      <c r="K1948" s="25"/>
      <c r="L1948" s="25"/>
      <c r="M1948" s="25"/>
      <c r="N1948" s="25"/>
      <c r="O1948" s="25"/>
      <c r="P1948" s="25"/>
      <c r="Q1948" s="25"/>
      <c r="R1948" s="25"/>
      <c r="S1948" s="25"/>
      <c r="T1948" s="22"/>
    </row>
    <row r="1949" spans="1:20" x14ac:dyDescent="0.35">
      <c r="A1949" s="21"/>
      <c r="B1949" s="23"/>
      <c r="C1949" s="26"/>
      <c r="D1949" s="27"/>
      <c r="E1949" s="27"/>
      <c r="F1949" s="28"/>
      <c r="G1949" s="25"/>
      <c r="H1949" s="25"/>
      <c r="I1949" s="25"/>
      <c r="J1949" s="25"/>
      <c r="K1949" s="25"/>
      <c r="L1949" s="25"/>
      <c r="M1949" s="25"/>
      <c r="N1949" s="25"/>
      <c r="O1949" s="25"/>
      <c r="P1949" s="25"/>
      <c r="Q1949" s="25"/>
      <c r="R1949" s="25"/>
      <c r="S1949" s="25"/>
      <c r="T1949" s="22"/>
    </row>
    <row r="1950" spans="1:20" x14ac:dyDescent="0.35">
      <c r="A1950" s="21"/>
      <c r="B1950" s="23"/>
      <c r="C1950" s="26"/>
      <c r="D1950" s="27"/>
      <c r="E1950" s="27"/>
      <c r="F1950" s="28"/>
      <c r="G1950" s="25"/>
      <c r="H1950" s="25"/>
      <c r="I1950" s="25"/>
      <c r="J1950" s="25"/>
      <c r="K1950" s="25"/>
      <c r="L1950" s="25"/>
      <c r="M1950" s="25"/>
      <c r="N1950" s="25"/>
      <c r="O1950" s="25"/>
      <c r="P1950" s="25"/>
      <c r="Q1950" s="25"/>
      <c r="R1950" s="25"/>
      <c r="S1950" s="25"/>
      <c r="T1950" s="22"/>
    </row>
    <row r="1951" spans="1:20" x14ac:dyDescent="0.35">
      <c r="A1951" s="21"/>
      <c r="B1951" s="23"/>
      <c r="C1951" s="26"/>
      <c r="D1951" s="27"/>
      <c r="E1951" s="27"/>
      <c r="F1951" s="28"/>
      <c r="G1951" s="25"/>
      <c r="H1951" s="25"/>
      <c r="I1951" s="25"/>
      <c r="J1951" s="25"/>
      <c r="K1951" s="25"/>
      <c r="L1951" s="25"/>
      <c r="M1951" s="25"/>
      <c r="N1951" s="25"/>
      <c r="O1951" s="25"/>
      <c r="P1951" s="25"/>
      <c r="Q1951" s="25"/>
      <c r="R1951" s="25"/>
      <c r="S1951" s="25"/>
      <c r="T1951" s="22"/>
    </row>
    <row r="1952" spans="1:20" x14ac:dyDescent="0.35">
      <c r="A1952" s="21"/>
      <c r="B1952" s="23"/>
      <c r="C1952" s="26"/>
      <c r="D1952" s="27"/>
      <c r="E1952" s="27"/>
      <c r="F1952" s="28"/>
      <c r="G1952" s="25"/>
      <c r="H1952" s="25"/>
      <c r="I1952" s="25"/>
      <c r="J1952" s="25"/>
      <c r="K1952" s="25"/>
      <c r="L1952" s="25"/>
      <c r="M1952" s="25"/>
      <c r="N1952" s="25"/>
      <c r="O1952" s="25"/>
      <c r="P1952" s="25"/>
      <c r="Q1952" s="25"/>
      <c r="R1952" s="25"/>
      <c r="S1952" s="25"/>
      <c r="T1952" s="22"/>
    </row>
    <row r="1953" spans="1:20" x14ac:dyDescent="0.35">
      <c r="A1953" s="21"/>
      <c r="B1953" s="23"/>
      <c r="C1953" s="26"/>
      <c r="D1953" s="27"/>
      <c r="E1953" s="27"/>
      <c r="F1953" s="28"/>
      <c r="G1953" s="25"/>
      <c r="H1953" s="25"/>
      <c r="I1953" s="25"/>
      <c r="J1953" s="25"/>
      <c r="K1953" s="25"/>
      <c r="L1953" s="25"/>
      <c r="M1953" s="25"/>
      <c r="N1953" s="25"/>
      <c r="O1953" s="25"/>
      <c r="P1953" s="25"/>
      <c r="Q1953" s="25"/>
      <c r="R1953" s="25"/>
      <c r="S1953" s="25"/>
      <c r="T1953" s="22"/>
    </row>
    <row r="1954" spans="1:20" x14ac:dyDescent="0.35">
      <c r="A1954" s="21"/>
      <c r="B1954" s="23"/>
      <c r="C1954" s="26"/>
      <c r="D1954" s="27"/>
      <c r="E1954" s="27"/>
      <c r="F1954" s="28"/>
      <c r="G1954" s="25"/>
      <c r="H1954" s="25"/>
      <c r="I1954" s="25"/>
      <c r="J1954" s="25"/>
      <c r="K1954" s="25"/>
      <c r="L1954" s="25"/>
      <c r="M1954" s="25"/>
      <c r="N1954" s="25"/>
      <c r="O1954" s="25"/>
      <c r="P1954" s="25"/>
      <c r="Q1954" s="25"/>
      <c r="R1954" s="25"/>
      <c r="S1954" s="25"/>
      <c r="T1954" s="22"/>
    </row>
    <row r="1955" spans="1:20" x14ac:dyDescent="0.35">
      <c r="A1955" s="21"/>
      <c r="B1955" s="23"/>
      <c r="C1955" s="26"/>
      <c r="D1955" s="27"/>
      <c r="E1955" s="27"/>
      <c r="F1955" s="28"/>
      <c r="G1955" s="25"/>
      <c r="H1955" s="25"/>
      <c r="I1955" s="25"/>
      <c r="J1955" s="25"/>
      <c r="K1955" s="25"/>
      <c r="L1955" s="25"/>
      <c r="M1955" s="25"/>
      <c r="N1955" s="25"/>
      <c r="O1955" s="25"/>
      <c r="P1955" s="25"/>
      <c r="Q1955" s="25"/>
      <c r="R1955" s="25"/>
      <c r="S1955" s="25"/>
      <c r="T1955" s="22"/>
    </row>
    <row r="1956" spans="1:20" x14ac:dyDescent="0.35">
      <c r="A1956" s="21"/>
      <c r="B1956" s="23"/>
      <c r="C1956" s="26"/>
      <c r="D1956" s="27"/>
      <c r="E1956" s="27"/>
      <c r="F1956" s="28"/>
      <c r="G1956" s="25"/>
      <c r="H1956" s="25"/>
      <c r="I1956" s="25"/>
      <c r="J1956" s="25"/>
      <c r="K1956" s="25"/>
      <c r="L1956" s="25"/>
      <c r="M1956" s="25"/>
      <c r="N1956" s="25"/>
      <c r="O1956" s="25"/>
      <c r="P1956" s="25"/>
      <c r="Q1956" s="25"/>
      <c r="R1956" s="25"/>
      <c r="S1956" s="25"/>
      <c r="T1956" s="22"/>
    </row>
    <row r="1957" spans="1:20" x14ac:dyDescent="0.35">
      <c r="A1957" s="21"/>
      <c r="B1957" s="23"/>
      <c r="C1957" s="26"/>
      <c r="D1957" s="27"/>
      <c r="E1957" s="27"/>
      <c r="F1957" s="28"/>
      <c r="G1957" s="25"/>
      <c r="H1957" s="25"/>
      <c r="I1957" s="25"/>
      <c r="J1957" s="25"/>
      <c r="K1957" s="25"/>
      <c r="L1957" s="25"/>
      <c r="M1957" s="25"/>
      <c r="N1957" s="25"/>
      <c r="O1957" s="25"/>
      <c r="P1957" s="25"/>
      <c r="Q1957" s="25"/>
      <c r="R1957" s="25"/>
      <c r="S1957" s="25"/>
      <c r="T1957" s="14"/>
    </row>
    <row r="1958" spans="1:20" x14ac:dyDescent="0.35">
      <c r="A1958" s="21"/>
      <c r="B1958" s="23"/>
      <c r="C1958" s="26"/>
      <c r="D1958" s="27"/>
      <c r="E1958" s="27"/>
      <c r="F1958" s="28"/>
      <c r="G1958" s="25"/>
      <c r="H1958" s="25"/>
      <c r="I1958" s="25"/>
      <c r="J1958" s="25"/>
      <c r="K1958" s="25"/>
      <c r="L1958" s="25"/>
      <c r="M1958" s="25"/>
      <c r="N1958" s="25"/>
      <c r="O1958" s="25"/>
      <c r="P1958" s="25"/>
      <c r="Q1958" s="25"/>
      <c r="R1958" s="25"/>
      <c r="S1958" s="25"/>
      <c r="T1958" s="14"/>
    </row>
    <row r="1959" spans="1:20" x14ac:dyDescent="0.35">
      <c r="A1959" s="21"/>
      <c r="B1959" s="23"/>
      <c r="C1959" s="26"/>
      <c r="D1959" s="27"/>
      <c r="E1959" s="27"/>
      <c r="F1959" s="28"/>
      <c r="G1959" s="25"/>
      <c r="H1959" s="25"/>
      <c r="I1959" s="25"/>
      <c r="J1959" s="25"/>
      <c r="K1959" s="25"/>
      <c r="L1959" s="25"/>
      <c r="M1959" s="25"/>
      <c r="N1959" s="25"/>
      <c r="O1959" s="25"/>
      <c r="P1959" s="25"/>
      <c r="Q1959" s="25"/>
      <c r="R1959" s="25"/>
      <c r="S1959" s="25"/>
      <c r="T1959" s="14"/>
    </row>
    <row r="1960" spans="1:20" x14ac:dyDescent="0.35">
      <c r="A1960" s="21"/>
      <c r="B1960" s="23"/>
      <c r="C1960" s="26"/>
      <c r="D1960" s="27"/>
      <c r="E1960" s="27"/>
      <c r="F1960" s="28"/>
      <c r="G1960" s="25"/>
      <c r="H1960" s="25"/>
      <c r="I1960" s="25"/>
      <c r="J1960" s="25"/>
      <c r="K1960" s="25"/>
      <c r="L1960" s="25"/>
      <c r="M1960" s="25"/>
      <c r="N1960" s="25"/>
      <c r="O1960" s="25"/>
      <c r="P1960" s="25"/>
      <c r="Q1960" s="25"/>
      <c r="R1960" s="25"/>
      <c r="S1960" s="25"/>
      <c r="T1960" s="14"/>
    </row>
    <row r="1961" spans="1:20" x14ac:dyDescent="0.35">
      <c r="A1961" s="21"/>
      <c r="B1961" s="23"/>
      <c r="C1961" s="26"/>
      <c r="D1961" s="27"/>
      <c r="E1961" s="27"/>
      <c r="F1961" s="28"/>
      <c r="G1961" s="25"/>
      <c r="H1961" s="25"/>
      <c r="I1961" s="25"/>
      <c r="J1961" s="25"/>
      <c r="K1961" s="25"/>
      <c r="L1961" s="25"/>
      <c r="M1961" s="25"/>
      <c r="N1961" s="25"/>
      <c r="O1961" s="25"/>
      <c r="P1961" s="25"/>
      <c r="Q1961" s="25"/>
      <c r="R1961" s="25"/>
      <c r="S1961" s="25"/>
      <c r="T1961" s="14"/>
    </row>
    <row r="1962" spans="1:20" x14ac:dyDescent="0.35">
      <c r="A1962" s="21"/>
      <c r="B1962" s="23"/>
      <c r="C1962" s="26"/>
      <c r="D1962" s="27"/>
      <c r="E1962" s="27"/>
      <c r="F1962" s="28"/>
      <c r="G1962" s="25"/>
      <c r="H1962" s="25"/>
      <c r="I1962" s="25"/>
      <c r="J1962" s="25"/>
      <c r="K1962" s="25"/>
      <c r="L1962" s="25"/>
      <c r="M1962" s="25"/>
      <c r="N1962" s="25"/>
      <c r="O1962" s="25"/>
      <c r="P1962" s="25"/>
      <c r="Q1962" s="25"/>
      <c r="R1962" s="25"/>
      <c r="S1962" s="25"/>
      <c r="T1962" s="14"/>
    </row>
    <row r="1963" spans="1:20" x14ac:dyDescent="0.35">
      <c r="A1963" s="21"/>
      <c r="B1963" s="23"/>
      <c r="C1963" s="26"/>
      <c r="D1963" s="27"/>
      <c r="E1963" s="27"/>
      <c r="F1963" s="28"/>
      <c r="G1963" s="25"/>
      <c r="H1963" s="25"/>
      <c r="I1963" s="25"/>
      <c r="J1963" s="25"/>
      <c r="K1963" s="25"/>
      <c r="L1963" s="25"/>
      <c r="M1963" s="25"/>
      <c r="N1963" s="25"/>
      <c r="O1963" s="25"/>
      <c r="P1963" s="25"/>
      <c r="Q1963" s="25"/>
      <c r="R1963" s="25"/>
      <c r="S1963" s="25"/>
      <c r="T1963" s="14"/>
    </row>
    <row r="1964" spans="1:20" x14ac:dyDescent="0.35">
      <c r="A1964" s="21"/>
      <c r="B1964" s="23"/>
      <c r="C1964" s="26"/>
      <c r="D1964" s="27"/>
      <c r="E1964" s="27"/>
      <c r="F1964" s="28"/>
      <c r="G1964" s="25"/>
      <c r="H1964" s="25"/>
      <c r="I1964" s="25"/>
      <c r="J1964" s="25"/>
      <c r="K1964" s="25"/>
      <c r="L1964" s="25"/>
      <c r="M1964" s="25"/>
      <c r="N1964" s="25"/>
      <c r="O1964" s="25"/>
      <c r="P1964" s="25"/>
      <c r="Q1964" s="25"/>
      <c r="R1964" s="25"/>
      <c r="S1964" s="25"/>
      <c r="T1964" s="14"/>
    </row>
    <row r="1965" spans="1:20" x14ac:dyDescent="0.35">
      <c r="A1965" s="21"/>
      <c r="B1965" s="23"/>
      <c r="C1965" s="26"/>
      <c r="D1965" s="27"/>
      <c r="E1965" s="27"/>
      <c r="F1965" s="28"/>
      <c r="G1965" s="25"/>
      <c r="H1965" s="25"/>
      <c r="I1965" s="25"/>
      <c r="J1965" s="25"/>
      <c r="K1965" s="25"/>
      <c r="L1965" s="25"/>
      <c r="M1965" s="25"/>
      <c r="N1965" s="25"/>
      <c r="O1965" s="25"/>
      <c r="P1965" s="25"/>
      <c r="Q1965" s="25"/>
      <c r="R1965" s="25"/>
      <c r="S1965" s="25"/>
      <c r="T1965" s="14"/>
    </row>
    <row r="1966" spans="1:20" x14ac:dyDescent="0.35">
      <c r="A1966" s="21"/>
      <c r="B1966" s="23"/>
      <c r="C1966" s="26"/>
      <c r="D1966" s="27"/>
      <c r="E1966" s="27"/>
      <c r="F1966" s="28"/>
      <c r="G1966" s="25"/>
      <c r="H1966" s="25"/>
      <c r="I1966" s="25"/>
      <c r="J1966" s="25"/>
      <c r="K1966" s="25"/>
      <c r="L1966" s="25"/>
      <c r="M1966" s="25"/>
      <c r="N1966" s="25"/>
      <c r="O1966" s="25"/>
      <c r="P1966" s="25"/>
      <c r="Q1966" s="25"/>
      <c r="R1966" s="25"/>
      <c r="S1966" s="25"/>
      <c r="T1966" s="14"/>
    </row>
    <row r="1967" spans="1:20" x14ac:dyDescent="0.35">
      <c r="A1967" s="21"/>
      <c r="B1967" s="23"/>
      <c r="C1967" s="26"/>
      <c r="D1967" s="27"/>
      <c r="E1967" s="27"/>
      <c r="F1967" s="28"/>
      <c r="G1967" s="25"/>
      <c r="H1967" s="25"/>
      <c r="I1967" s="25"/>
      <c r="J1967" s="25"/>
      <c r="K1967" s="25"/>
      <c r="L1967" s="25"/>
      <c r="M1967" s="25"/>
      <c r="N1967" s="25"/>
      <c r="O1967" s="25"/>
      <c r="P1967" s="25"/>
      <c r="Q1967" s="25"/>
      <c r="R1967" s="25"/>
      <c r="S1967" s="25"/>
      <c r="T1967" s="14"/>
    </row>
    <row r="1968" spans="1:20" x14ac:dyDescent="0.35">
      <c r="A1968" s="21"/>
      <c r="B1968" s="23"/>
      <c r="C1968" s="26"/>
      <c r="D1968" s="27"/>
      <c r="E1968" s="27"/>
      <c r="F1968" s="28"/>
      <c r="G1968" s="25"/>
      <c r="H1968" s="25"/>
      <c r="I1968" s="25"/>
      <c r="J1968" s="25"/>
      <c r="K1968" s="25"/>
      <c r="L1968" s="25"/>
      <c r="M1968" s="25"/>
      <c r="N1968" s="25"/>
      <c r="O1968" s="25"/>
      <c r="P1968" s="25"/>
      <c r="Q1968" s="25"/>
      <c r="R1968" s="25"/>
      <c r="S1968" s="25"/>
      <c r="T1968" s="14"/>
    </row>
    <row r="1969" spans="1:20" x14ac:dyDescent="0.35">
      <c r="A1969" s="21"/>
      <c r="B1969" s="23"/>
      <c r="C1969" s="26"/>
      <c r="D1969" s="27"/>
      <c r="E1969" s="27"/>
      <c r="F1969" s="28"/>
      <c r="G1969" s="25"/>
      <c r="H1969" s="25"/>
      <c r="I1969" s="25"/>
      <c r="J1969" s="25"/>
      <c r="K1969" s="25"/>
      <c r="L1969" s="25"/>
      <c r="M1969" s="25"/>
      <c r="N1969" s="25"/>
      <c r="O1969" s="25"/>
      <c r="P1969" s="25"/>
      <c r="Q1969" s="25"/>
      <c r="R1969" s="25"/>
      <c r="S1969" s="25"/>
      <c r="T1969" s="14"/>
    </row>
    <row r="1970" spans="1:20" x14ac:dyDescent="0.35">
      <c r="A1970" s="21"/>
      <c r="B1970" s="23"/>
      <c r="C1970" s="26"/>
      <c r="D1970" s="27"/>
      <c r="E1970" s="27"/>
      <c r="F1970" s="28"/>
      <c r="G1970" s="25"/>
      <c r="H1970" s="25"/>
      <c r="I1970" s="25"/>
      <c r="J1970" s="25"/>
      <c r="K1970" s="25"/>
      <c r="L1970" s="25"/>
      <c r="M1970" s="25"/>
      <c r="N1970" s="25"/>
      <c r="O1970" s="25"/>
      <c r="P1970" s="25"/>
      <c r="Q1970" s="25"/>
      <c r="R1970" s="25"/>
      <c r="S1970" s="25"/>
      <c r="T1970" s="14"/>
    </row>
    <row r="1971" spans="1:20" x14ac:dyDescent="0.35">
      <c r="A1971" s="21"/>
      <c r="B1971" s="23"/>
      <c r="C1971" s="26"/>
      <c r="D1971" s="27"/>
      <c r="E1971" s="27"/>
      <c r="F1971" s="28"/>
      <c r="G1971" s="25"/>
      <c r="H1971" s="25"/>
      <c r="I1971" s="25"/>
      <c r="J1971" s="25"/>
      <c r="K1971" s="25"/>
      <c r="L1971" s="25"/>
      <c r="M1971" s="25"/>
      <c r="N1971" s="25"/>
      <c r="O1971" s="25"/>
      <c r="P1971" s="25"/>
      <c r="Q1971" s="25"/>
      <c r="R1971" s="25"/>
      <c r="S1971" s="25"/>
      <c r="T1971" s="14"/>
    </row>
    <row r="1972" spans="1:20" x14ac:dyDescent="0.35">
      <c r="A1972" s="21"/>
      <c r="B1972" s="23"/>
      <c r="C1972" s="26"/>
      <c r="D1972" s="27"/>
      <c r="E1972" s="27"/>
      <c r="F1972" s="28"/>
      <c r="G1972" s="25"/>
      <c r="H1972" s="25"/>
      <c r="I1972" s="25"/>
      <c r="J1972" s="25"/>
      <c r="K1972" s="25"/>
      <c r="L1972" s="25"/>
      <c r="M1972" s="25"/>
      <c r="N1972" s="25"/>
      <c r="O1972" s="25"/>
      <c r="P1972" s="25"/>
      <c r="Q1972" s="25"/>
      <c r="R1972" s="25"/>
      <c r="S1972" s="25"/>
      <c r="T1972" s="22"/>
    </row>
    <row r="1973" spans="1:20" x14ac:dyDescent="0.35">
      <c r="A1973" s="21"/>
      <c r="B1973" s="23"/>
      <c r="C1973" s="26"/>
      <c r="D1973" s="27"/>
      <c r="E1973" s="27"/>
      <c r="F1973" s="28"/>
      <c r="G1973" s="25"/>
      <c r="H1973" s="25"/>
      <c r="I1973" s="25"/>
      <c r="J1973" s="25"/>
      <c r="K1973" s="25"/>
      <c r="L1973" s="25"/>
      <c r="M1973" s="25"/>
      <c r="N1973" s="25"/>
      <c r="O1973" s="25"/>
      <c r="P1973" s="25"/>
      <c r="Q1973" s="25"/>
      <c r="R1973" s="25"/>
      <c r="S1973" s="25"/>
      <c r="T1973" s="22"/>
    </row>
    <row r="1974" spans="1:20" x14ac:dyDescent="0.35">
      <c r="A1974" s="21"/>
      <c r="B1974" s="23"/>
      <c r="C1974" s="26"/>
      <c r="D1974" s="27"/>
      <c r="E1974" s="27"/>
      <c r="F1974" s="28"/>
      <c r="G1974" s="25"/>
      <c r="H1974" s="25"/>
      <c r="I1974" s="25"/>
      <c r="J1974" s="25"/>
      <c r="K1974" s="25"/>
      <c r="L1974" s="25"/>
      <c r="M1974" s="25"/>
      <c r="N1974" s="25"/>
      <c r="O1974" s="25"/>
      <c r="P1974" s="25"/>
      <c r="Q1974" s="25"/>
      <c r="R1974" s="25"/>
      <c r="S1974" s="25"/>
      <c r="T1974" s="22"/>
    </row>
    <row r="1975" spans="1:20" x14ac:dyDescent="0.35">
      <c r="A1975" s="21"/>
      <c r="B1975" s="23"/>
      <c r="C1975" s="26"/>
      <c r="D1975" s="27"/>
      <c r="E1975" s="27"/>
      <c r="F1975" s="28"/>
      <c r="G1975" s="25"/>
      <c r="H1975" s="25"/>
      <c r="I1975" s="25"/>
      <c r="J1975" s="25"/>
      <c r="K1975" s="25"/>
      <c r="L1975" s="25"/>
      <c r="M1975" s="25"/>
      <c r="N1975" s="25"/>
      <c r="O1975" s="25"/>
      <c r="P1975" s="25"/>
      <c r="Q1975" s="25"/>
      <c r="R1975" s="25"/>
      <c r="S1975" s="25"/>
      <c r="T1975" s="22"/>
    </row>
    <row r="1976" spans="1:20" x14ac:dyDescent="0.35">
      <c r="A1976" s="21"/>
      <c r="B1976" s="23"/>
      <c r="C1976" s="26"/>
      <c r="D1976" s="27"/>
      <c r="E1976" s="27"/>
      <c r="F1976" s="28"/>
      <c r="G1976" s="25"/>
      <c r="H1976" s="25"/>
      <c r="I1976" s="25"/>
      <c r="J1976" s="25"/>
      <c r="K1976" s="25"/>
      <c r="L1976" s="25"/>
      <c r="M1976" s="25"/>
      <c r="N1976" s="25"/>
      <c r="O1976" s="25"/>
      <c r="P1976" s="25"/>
      <c r="Q1976" s="25"/>
      <c r="R1976" s="25"/>
      <c r="S1976" s="25"/>
      <c r="T1976" s="22"/>
    </row>
    <row r="1977" spans="1:20" x14ac:dyDescent="0.35">
      <c r="A1977" s="21"/>
      <c r="B1977" s="23"/>
      <c r="C1977" s="26"/>
      <c r="D1977" s="27"/>
      <c r="E1977" s="27"/>
      <c r="F1977" s="28"/>
      <c r="G1977" s="25"/>
      <c r="H1977" s="25"/>
      <c r="I1977" s="25"/>
      <c r="J1977" s="25"/>
      <c r="K1977" s="25"/>
      <c r="L1977" s="25"/>
      <c r="M1977" s="25"/>
      <c r="N1977" s="25"/>
      <c r="O1977" s="25"/>
      <c r="P1977" s="25"/>
      <c r="Q1977" s="25"/>
      <c r="R1977" s="25"/>
      <c r="S1977" s="25"/>
      <c r="T1977" s="22"/>
    </row>
    <row r="1978" spans="1:20" x14ac:dyDescent="0.35">
      <c r="A1978" s="21"/>
      <c r="B1978" s="23"/>
      <c r="C1978" s="26"/>
      <c r="D1978" s="27"/>
      <c r="E1978" s="27"/>
      <c r="F1978" s="28"/>
      <c r="G1978" s="25"/>
      <c r="H1978" s="25"/>
      <c r="I1978" s="25"/>
      <c r="J1978" s="25"/>
      <c r="K1978" s="25"/>
      <c r="L1978" s="25"/>
      <c r="M1978" s="25"/>
      <c r="N1978" s="25"/>
      <c r="O1978" s="25"/>
      <c r="P1978" s="25"/>
      <c r="Q1978" s="25"/>
      <c r="R1978" s="25"/>
      <c r="S1978" s="25"/>
      <c r="T1978" s="22"/>
    </row>
    <row r="1979" spans="1:20" x14ac:dyDescent="0.35">
      <c r="A1979" s="21"/>
      <c r="B1979" s="23"/>
      <c r="C1979" s="26"/>
      <c r="D1979" s="27"/>
      <c r="E1979" s="27"/>
      <c r="F1979" s="28"/>
      <c r="G1979" s="25"/>
      <c r="H1979" s="25"/>
      <c r="I1979" s="25"/>
      <c r="J1979" s="25"/>
      <c r="K1979" s="25"/>
      <c r="L1979" s="25"/>
      <c r="M1979" s="25"/>
      <c r="N1979" s="25"/>
      <c r="O1979" s="25"/>
      <c r="P1979" s="25"/>
      <c r="Q1979" s="25"/>
      <c r="R1979" s="25"/>
      <c r="S1979" s="25"/>
      <c r="T1979" s="22"/>
    </row>
    <row r="1980" spans="1:20" x14ac:dyDescent="0.35">
      <c r="A1980" s="21"/>
      <c r="B1980" s="23"/>
      <c r="C1980" s="26"/>
      <c r="D1980" s="27"/>
      <c r="E1980" s="27"/>
      <c r="F1980" s="28"/>
      <c r="G1980" s="25"/>
      <c r="H1980" s="25"/>
      <c r="I1980" s="25"/>
      <c r="J1980" s="25"/>
      <c r="K1980" s="25"/>
      <c r="L1980" s="25"/>
      <c r="M1980" s="25"/>
      <c r="N1980" s="25"/>
      <c r="O1980" s="25"/>
      <c r="P1980" s="25"/>
      <c r="Q1980" s="25"/>
      <c r="R1980" s="25"/>
      <c r="S1980" s="25"/>
      <c r="T1980" s="22"/>
    </row>
    <row r="1981" spans="1:20" x14ac:dyDescent="0.35">
      <c r="A1981" s="21"/>
      <c r="B1981" s="23"/>
      <c r="C1981" s="26"/>
      <c r="D1981" s="27"/>
      <c r="E1981" s="27"/>
      <c r="F1981" s="28"/>
      <c r="G1981" s="25"/>
      <c r="H1981" s="25"/>
      <c r="I1981" s="25"/>
      <c r="J1981" s="25"/>
      <c r="K1981" s="25"/>
      <c r="L1981" s="25"/>
      <c r="M1981" s="25"/>
      <c r="N1981" s="25"/>
      <c r="O1981" s="25"/>
      <c r="P1981" s="25"/>
      <c r="Q1981" s="25"/>
      <c r="R1981" s="25"/>
      <c r="S1981" s="25"/>
      <c r="T1981" s="22"/>
    </row>
    <row r="1982" spans="1:20" x14ac:dyDescent="0.35">
      <c r="A1982" s="21"/>
      <c r="B1982" s="23"/>
      <c r="C1982" s="26"/>
      <c r="D1982" s="27"/>
      <c r="E1982" s="27"/>
      <c r="F1982" s="28"/>
      <c r="G1982" s="25"/>
      <c r="H1982" s="25"/>
      <c r="I1982" s="25"/>
      <c r="J1982" s="25"/>
      <c r="K1982" s="25"/>
      <c r="L1982" s="25"/>
      <c r="M1982" s="25"/>
      <c r="N1982" s="25"/>
      <c r="O1982" s="25"/>
      <c r="P1982" s="25"/>
      <c r="Q1982" s="25"/>
      <c r="R1982" s="25"/>
      <c r="S1982" s="25"/>
      <c r="T1982" s="22"/>
    </row>
    <row r="1983" spans="1:20" x14ac:dyDescent="0.35">
      <c r="A1983" s="21"/>
      <c r="B1983" s="23"/>
      <c r="C1983" s="26"/>
      <c r="D1983" s="27"/>
      <c r="E1983" s="27"/>
      <c r="F1983" s="28"/>
      <c r="G1983" s="25"/>
      <c r="H1983" s="25"/>
      <c r="I1983" s="25"/>
      <c r="J1983" s="25"/>
      <c r="K1983" s="25"/>
      <c r="L1983" s="25"/>
      <c r="M1983" s="25"/>
      <c r="N1983" s="25"/>
      <c r="O1983" s="25"/>
      <c r="P1983" s="25"/>
      <c r="Q1983" s="25"/>
      <c r="R1983" s="25"/>
      <c r="S1983" s="25"/>
      <c r="T1983" s="22"/>
    </row>
    <row r="1984" spans="1:20" x14ac:dyDescent="0.35">
      <c r="A1984" s="21"/>
      <c r="B1984" s="23"/>
      <c r="C1984" s="26"/>
      <c r="D1984" s="27"/>
      <c r="E1984" s="27"/>
      <c r="F1984" s="28"/>
      <c r="G1984" s="25"/>
      <c r="H1984" s="25"/>
      <c r="I1984" s="25"/>
      <c r="J1984" s="25"/>
      <c r="K1984" s="25"/>
      <c r="L1984" s="25"/>
      <c r="M1984" s="25"/>
      <c r="N1984" s="25"/>
      <c r="O1984" s="25"/>
      <c r="P1984" s="25"/>
      <c r="Q1984" s="25"/>
      <c r="R1984" s="25"/>
      <c r="S1984" s="25"/>
      <c r="T1984" s="22"/>
    </row>
    <row r="1985" spans="1:20" x14ac:dyDescent="0.35">
      <c r="A1985" s="21"/>
      <c r="B1985" s="23"/>
      <c r="C1985" s="26"/>
      <c r="D1985" s="27"/>
      <c r="E1985" s="27"/>
      <c r="F1985" s="28"/>
      <c r="G1985" s="25"/>
      <c r="H1985" s="25"/>
      <c r="I1985" s="25"/>
      <c r="J1985" s="25"/>
      <c r="K1985" s="25"/>
      <c r="L1985" s="25"/>
      <c r="M1985" s="25"/>
      <c r="N1985" s="25"/>
      <c r="O1985" s="25"/>
      <c r="P1985" s="25"/>
      <c r="Q1985" s="25"/>
      <c r="R1985" s="25"/>
      <c r="S1985" s="25"/>
      <c r="T1985" s="22"/>
    </row>
    <row r="1986" spans="1:20" x14ac:dyDescent="0.35">
      <c r="A1986" s="21"/>
      <c r="B1986" s="23"/>
      <c r="C1986" s="26"/>
      <c r="D1986" s="27"/>
      <c r="E1986" s="27"/>
      <c r="F1986" s="28"/>
      <c r="G1986" s="25"/>
      <c r="H1986" s="25"/>
      <c r="I1986" s="25"/>
      <c r="J1986" s="25"/>
      <c r="K1986" s="25"/>
      <c r="L1986" s="25"/>
      <c r="M1986" s="25"/>
      <c r="N1986" s="25"/>
      <c r="O1986" s="25"/>
      <c r="P1986" s="25"/>
      <c r="Q1986" s="25"/>
      <c r="R1986" s="25"/>
      <c r="S1986" s="25"/>
      <c r="T1986" s="22"/>
    </row>
    <row r="1987" spans="1:20" x14ac:dyDescent="0.35">
      <c r="A1987" s="21"/>
      <c r="B1987" s="23"/>
      <c r="C1987" s="26"/>
      <c r="D1987" s="27"/>
      <c r="E1987" s="27"/>
      <c r="F1987" s="28"/>
      <c r="G1987" s="25"/>
      <c r="H1987" s="25"/>
      <c r="I1987" s="25"/>
      <c r="J1987" s="25"/>
      <c r="K1987" s="25"/>
      <c r="L1987" s="25"/>
      <c r="M1987" s="25"/>
      <c r="N1987" s="25"/>
      <c r="O1987" s="25"/>
      <c r="P1987" s="25"/>
      <c r="Q1987" s="25"/>
      <c r="R1987" s="25"/>
      <c r="S1987" s="25"/>
      <c r="T1987" s="22"/>
    </row>
    <row r="1988" spans="1:20" x14ac:dyDescent="0.35">
      <c r="A1988" s="21"/>
      <c r="B1988" s="23"/>
      <c r="C1988" s="26"/>
      <c r="D1988" s="27"/>
      <c r="E1988" s="27"/>
      <c r="F1988" s="28"/>
      <c r="G1988" s="25"/>
      <c r="H1988" s="25"/>
      <c r="I1988" s="25"/>
      <c r="J1988" s="25"/>
      <c r="K1988" s="25"/>
      <c r="L1988" s="25"/>
      <c r="M1988" s="25"/>
      <c r="N1988" s="25"/>
      <c r="O1988" s="25"/>
      <c r="P1988" s="25"/>
      <c r="Q1988" s="25"/>
      <c r="R1988" s="25"/>
      <c r="S1988" s="25"/>
      <c r="T1988" s="14"/>
    </row>
    <row r="1989" spans="1:20" x14ac:dyDescent="0.35">
      <c r="A1989" s="21"/>
      <c r="B1989" s="23"/>
      <c r="C1989" s="26"/>
      <c r="D1989" s="27"/>
      <c r="E1989" s="27"/>
      <c r="F1989" s="28"/>
      <c r="G1989" s="25"/>
      <c r="H1989" s="25"/>
      <c r="I1989" s="25"/>
      <c r="J1989" s="25"/>
      <c r="K1989" s="25"/>
      <c r="L1989" s="25"/>
      <c r="M1989" s="25"/>
      <c r="N1989" s="25"/>
      <c r="O1989" s="25"/>
      <c r="P1989" s="25"/>
      <c r="Q1989" s="25"/>
      <c r="R1989" s="25"/>
      <c r="S1989" s="25"/>
      <c r="T1989" s="14"/>
    </row>
    <row r="1990" spans="1:20" x14ac:dyDescent="0.35">
      <c r="A1990" s="21"/>
      <c r="B1990" s="23"/>
      <c r="C1990" s="26"/>
      <c r="D1990" s="27"/>
      <c r="E1990" s="27"/>
      <c r="F1990" s="28"/>
      <c r="G1990" s="25"/>
      <c r="H1990" s="25"/>
      <c r="I1990" s="25"/>
      <c r="J1990" s="25"/>
      <c r="K1990" s="25"/>
      <c r="L1990" s="25"/>
      <c r="M1990" s="25"/>
      <c r="N1990" s="25"/>
      <c r="O1990" s="25"/>
      <c r="P1990" s="25"/>
      <c r="Q1990" s="25"/>
      <c r="R1990" s="25"/>
      <c r="S1990" s="25"/>
      <c r="T1990" s="14"/>
    </row>
    <row r="1991" spans="1:20" x14ac:dyDescent="0.35">
      <c r="A1991" s="21"/>
      <c r="B1991" s="23"/>
      <c r="C1991" s="26"/>
      <c r="D1991" s="27"/>
      <c r="E1991" s="27"/>
      <c r="F1991" s="28"/>
      <c r="G1991" s="25"/>
      <c r="H1991" s="25"/>
      <c r="I1991" s="25"/>
      <c r="J1991" s="25"/>
      <c r="K1991" s="25"/>
      <c r="L1991" s="25"/>
      <c r="M1991" s="25"/>
      <c r="N1991" s="25"/>
      <c r="O1991" s="25"/>
      <c r="P1991" s="25"/>
      <c r="Q1991" s="25"/>
      <c r="R1991" s="25"/>
      <c r="S1991" s="25"/>
      <c r="T1991" s="14"/>
    </row>
    <row r="1992" spans="1:20" x14ac:dyDescent="0.35">
      <c r="A1992" s="21"/>
      <c r="B1992" s="23"/>
      <c r="C1992" s="26"/>
      <c r="D1992" s="27"/>
      <c r="E1992" s="27"/>
      <c r="F1992" s="28"/>
      <c r="G1992" s="25"/>
      <c r="H1992" s="25"/>
      <c r="I1992" s="25"/>
      <c r="J1992" s="25"/>
      <c r="K1992" s="25"/>
      <c r="L1992" s="25"/>
      <c r="M1992" s="25"/>
      <c r="N1992" s="25"/>
      <c r="O1992" s="25"/>
      <c r="P1992" s="25"/>
      <c r="Q1992" s="25"/>
      <c r="R1992" s="25"/>
      <c r="S1992" s="25"/>
      <c r="T1992" s="14"/>
    </row>
    <row r="1993" spans="1:20" x14ac:dyDescent="0.35">
      <c r="A1993" s="21"/>
      <c r="B1993" s="23"/>
      <c r="C1993" s="26"/>
      <c r="D1993" s="27"/>
      <c r="E1993" s="27"/>
      <c r="F1993" s="28"/>
      <c r="G1993" s="25"/>
      <c r="H1993" s="25"/>
      <c r="I1993" s="25"/>
      <c r="J1993" s="25"/>
      <c r="K1993" s="25"/>
      <c r="L1993" s="25"/>
      <c r="M1993" s="25"/>
      <c r="N1993" s="25"/>
      <c r="O1993" s="25"/>
      <c r="P1993" s="25"/>
      <c r="Q1993" s="25"/>
      <c r="R1993" s="25"/>
      <c r="S1993" s="25"/>
      <c r="T1993" s="14"/>
    </row>
    <row r="1994" spans="1:20" x14ac:dyDescent="0.35">
      <c r="A1994" s="21"/>
      <c r="B1994" s="23"/>
      <c r="C1994" s="26"/>
      <c r="D1994" s="27"/>
      <c r="E1994" s="27"/>
      <c r="F1994" s="28"/>
      <c r="G1994" s="25"/>
      <c r="H1994" s="25"/>
      <c r="I1994" s="25"/>
      <c r="J1994" s="25"/>
      <c r="K1994" s="25"/>
      <c r="L1994" s="25"/>
      <c r="M1994" s="25"/>
      <c r="N1994" s="25"/>
      <c r="O1994" s="25"/>
      <c r="P1994" s="25"/>
      <c r="Q1994" s="25"/>
      <c r="R1994" s="25"/>
      <c r="S1994" s="25"/>
      <c r="T1994" s="14"/>
    </row>
    <row r="1995" spans="1:20" x14ac:dyDescent="0.35">
      <c r="A1995" s="21"/>
      <c r="B1995" s="23"/>
      <c r="C1995" s="26"/>
      <c r="D1995" s="27"/>
      <c r="E1995" s="27"/>
      <c r="F1995" s="28"/>
      <c r="G1995" s="25"/>
      <c r="H1995" s="25"/>
      <c r="I1995" s="25"/>
      <c r="J1995" s="25"/>
      <c r="K1995" s="25"/>
      <c r="L1995" s="25"/>
      <c r="M1995" s="25"/>
      <c r="N1995" s="25"/>
      <c r="O1995" s="25"/>
      <c r="P1995" s="25"/>
      <c r="Q1995" s="25"/>
      <c r="R1995" s="25"/>
      <c r="S1995" s="25"/>
      <c r="T1995" s="22"/>
    </row>
    <row r="1996" spans="1:20" x14ac:dyDescent="0.35">
      <c r="A1996" s="21"/>
      <c r="B1996" s="23"/>
      <c r="C1996" s="26"/>
      <c r="D1996" s="27"/>
      <c r="E1996" s="27"/>
      <c r="F1996" s="28"/>
      <c r="G1996" s="25"/>
      <c r="H1996" s="25"/>
      <c r="I1996" s="25"/>
      <c r="J1996" s="25"/>
      <c r="K1996" s="25"/>
      <c r="L1996" s="25"/>
      <c r="M1996" s="25"/>
      <c r="N1996" s="25"/>
      <c r="O1996" s="25"/>
      <c r="P1996" s="25"/>
      <c r="Q1996" s="25"/>
      <c r="R1996" s="25"/>
      <c r="S1996" s="25"/>
      <c r="T1996" s="22"/>
    </row>
    <row r="1997" spans="1:20" x14ac:dyDescent="0.35">
      <c r="A1997" s="21"/>
      <c r="B1997" s="23"/>
      <c r="C1997" s="26"/>
      <c r="D1997" s="27"/>
      <c r="E1997" s="27"/>
      <c r="F1997" s="28"/>
      <c r="G1997" s="25"/>
      <c r="H1997" s="25"/>
      <c r="I1997" s="25"/>
      <c r="J1997" s="25"/>
      <c r="K1997" s="25"/>
      <c r="L1997" s="25"/>
      <c r="M1997" s="25"/>
      <c r="N1997" s="25"/>
      <c r="O1997" s="25"/>
      <c r="P1997" s="25"/>
      <c r="Q1997" s="25"/>
      <c r="R1997" s="25"/>
      <c r="S1997" s="25"/>
      <c r="T1997" s="22"/>
    </row>
    <row r="1998" spans="1:20" x14ac:dyDescent="0.35">
      <c r="A1998" s="21"/>
      <c r="B1998" s="23"/>
      <c r="C1998" s="26"/>
      <c r="D1998" s="27"/>
      <c r="E1998" s="27"/>
      <c r="F1998" s="28"/>
      <c r="G1998" s="25"/>
      <c r="H1998" s="25"/>
      <c r="I1998" s="25"/>
      <c r="J1998" s="25"/>
      <c r="K1998" s="25"/>
      <c r="L1998" s="25"/>
      <c r="M1998" s="25"/>
      <c r="N1998" s="25"/>
      <c r="O1998" s="25"/>
      <c r="P1998" s="25"/>
      <c r="Q1998" s="25"/>
      <c r="R1998" s="25"/>
      <c r="S1998" s="25"/>
      <c r="T1998" s="22"/>
    </row>
    <row r="1999" spans="1:20" x14ac:dyDescent="0.35">
      <c r="A1999" s="21"/>
      <c r="B1999" s="23"/>
      <c r="C1999" s="26"/>
      <c r="D1999" s="27"/>
      <c r="E1999" s="27"/>
      <c r="F1999" s="28"/>
      <c r="G1999" s="25"/>
      <c r="H1999" s="25"/>
      <c r="I1999" s="25"/>
      <c r="J1999" s="25"/>
      <c r="K1999" s="25"/>
      <c r="L1999" s="25"/>
      <c r="M1999" s="25"/>
      <c r="N1999" s="25"/>
      <c r="O1999" s="25"/>
      <c r="P1999" s="25"/>
      <c r="Q1999" s="25"/>
      <c r="R1999" s="25"/>
      <c r="S1999" s="25"/>
      <c r="T1999" s="22"/>
    </row>
    <row r="2000" spans="1:20" x14ac:dyDescent="0.35">
      <c r="A2000" s="21"/>
      <c r="B2000" s="23"/>
      <c r="C2000" s="26"/>
      <c r="D2000" s="27"/>
      <c r="E2000" s="27"/>
      <c r="F2000" s="28"/>
      <c r="G2000" s="25"/>
      <c r="H2000" s="25"/>
      <c r="I2000" s="25"/>
      <c r="J2000" s="25"/>
      <c r="K2000" s="25"/>
      <c r="L2000" s="25"/>
      <c r="M2000" s="25"/>
      <c r="N2000" s="25"/>
      <c r="O2000" s="25"/>
      <c r="P2000" s="25"/>
      <c r="Q2000" s="25"/>
      <c r="R2000" s="25"/>
      <c r="S2000" s="25"/>
      <c r="T2000" s="22"/>
    </row>
    <row r="2001" spans="1:20" x14ac:dyDescent="0.35">
      <c r="A2001" s="21"/>
      <c r="B2001" s="23"/>
      <c r="C2001" s="26"/>
      <c r="D2001" s="27"/>
      <c r="E2001" s="27"/>
      <c r="F2001" s="28"/>
      <c r="G2001" s="25"/>
      <c r="H2001" s="25"/>
      <c r="I2001" s="25"/>
      <c r="J2001" s="25"/>
      <c r="K2001" s="25"/>
      <c r="L2001" s="25"/>
      <c r="M2001" s="25"/>
      <c r="N2001" s="25"/>
      <c r="O2001" s="25"/>
      <c r="P2001" s="25"/>
      <c r="Q2001" s="25"/>
      <c r="R2001" s="25"/>
      <c r="S2001" s="25"/>
      <c r="T2001" s="22"/>
    </row>
    <row r="2002" spans="1:20" x14ac:dyDescent="0.35">
      <c r="A2002" s="21"/>
      <c r="B2002" s="23"/>
      <c r="C2002" s="26"/>
      <c r="D2002" s="27"/>
      <c r="E2002" s="27"/>
      <c r="F2002" s="28"/>
      <c r="G2002" s="25"/>
      <c r="H2002" s="25"/>
      <c r="I2002" s="25"/>
      <c r="J2002" s="25"/>
      <c r="K2002" s="25"/>
      <c r="L2002" s="25"/>
      <c r="M2002" s="25"/>
      <c r="N2002" s="25"/>
      <c r="O2002" s="25"/>
      <c r="P2002" s="25"/>
      <c r="Q2002" s="25"/>
      <c r="R2002" s="25"/>
      <c r="S2002" s="25"/>
      <c r="T2002" s="22"/>
    </row>
    <row r="2003" spans="1:20" x14ac:dyDescent="0.35">
      <c r="A2003" s="21"/>
      <c r="B2003" s="23"/>
      <c r="C2003" s="26"/>
      <c r="D2003" s="27"/>
      <c r="E2003" s="27"/>
      <c r="F2003" s="28"/>
      <c r="G2003" s="25"/>
      <c r="H2003" s="25"/>
      <c r="I2003" s="25"/>
      <c r="J2003" s="25"/>
      <c r="K2003" s="25"/>
      <c r="L2003" s="25"/>
      <c r="M2003" s="25"/>
      <c r="N2003" s="25"/>
      <c r="O2003" s="25"/>
      <c r="P2003" s="25"/>
      <c r="Q2003" s="25"/>
      <c r="R2003" s="25"/>
      <c r="S2003" s="25"/>
      <c r="T2003" s="22"/>
    </row>
    <row r="2004" spans="1:20" x14ac:dyDescent="0.35">
      <c r="A2004" s="21"/>
      <c r="B2004" s="23"/>
      <c r="C2004" s="26"/>
      <c r="D2004" s="27"/>
      <c r="E2004" s="27"/>
      <c r="F2004" s="28"/>
      <c r="G2004" s="25"/>
      <c r="H2004" s="25"/>
      <c r="I2004" s="25"/>
      <c r="J2004" s="25"/>
      <c r="K2004" s="25"/>
      <c r="L2004" s="25"/>
      <c r="M2004" s="25"/>
      <c r="N2004" s="25"/>
      <c r="O2004" s="25"/>
      <c r="P2004" s="25"/>
      <c r="Q2004" s="25"/>
      <c r="R2004" s="25"/>
      <c r="S2004" s="25"/>
      <c r="T2004" s="14"/>
    </row>
    <row r="2005" spans="1:20" x14ac:dyDescent="0.35">
      <c r="A2005" s="21"/>
      <c r="B2005" s="23"/>
      <c r="C2005" s="26"/>
      <c r="D2005" s="27"/>
      <c r="E2005" s="27"/>
      <c r="F2005" s="28"/>
      <c r="G2005" s="25"/>
      <c r="H2005" s="25"/>
      <c r="I2005" s="25"/>
      <c r="J2005" s="25"/>
      <c r="K2005" s="25"/>
      <c r="L2005" s="25"/>
      <c r="M2005" s="25"/>
      <c r="N2005" s="25"/>
      <c r="O2005" s="25"/>
      <c r="P2005" s="25"/>
      <c r="Q2005" s="25"/>
      <c r="R2005" s="25"/>
      <c r="S2005" s="25"/>
      <c r="T2005" s="14"/>
    </row>
    <row r="2006" spans="1:20" x14ac:dyDescent="0.35">
      <c r="A2006" s="21"/>
      <c r="B2006" s="23"/>
      <c r="C2006" s="26"/>
      <c r="D2006" s="27"/>
      <c r="E2006" s="27"/>
      <c r="F2006" s="28"/>
      <c r="G2006" s="25"/>
      <c r="H2006" s="25"/>
      <c r="I2006" s="25"/>
      <c r="J2006" s="25"/>
      <c r="K2006" s="25"/>
      <c r="L2006" s="25"/>
      <c r="M2006" s="25"/>
      <c r="N2006" s="25"/>
      <c r="O2006" s="25"/>
      <c r="P2006" s="25"/>
      <c r="Q2006" s="25"/>
      <c r="R2006" s="25"/>
      <c r="S2006" s="25"/>
      <c r="T2006" s="14"/>
    </row>
    <row r="2007" spans="1:20" x14ac:dyDescent="0.35">
      <c r="A2007" s="21"/>
      <c r="B2007" s="23"/>
      <c r="C2007" s="26"/>
      <c r="D2007" s="27"/>
      <c r="E2007" s="27"/>
      <c r="F2007" s="28"/>
      <c r="G2007" s="25"/>
      <c r="H2007" s="25"/>
      <c r="I2007" s="25"/>
      <c r="J2007" s="25"/>
      <c r="K2007" s="25"/>
      <c r="L2007" s="25"/>
      <c r="M2007" s="25"/>
      <c r="N2007" s="25"/>
      <c r="O2007" s="25"/>
      <c r="P2007" s="25"/>
      <c r="Q2007" s="25"/>
      <c r="R2007" s="25"/>
      <c r="S2007" s="25"/>
      <c r="T2007" s="14"/>
    </row>
    <row r="2008" spans="1:20" x14ac:dyDescent="0.35">
      <c r="A2008" s="21"/>
      <c r="B2008" s="23"/>
      <c r="C2008" s="26"/>
      <c r="D2008" s="27"/>
      <c r="E2008" s="27"/>
      <c r="F2008" s="28"/>
      <c r="G2008" s="25"/>
      <c r="H2008" s="25"/>
      <c r="I2008" s="25"/>
      <c r="J2008" s="25"/>
      <c r="K2008" s="25"/>
      <c r="L2008" s="25"/>
      <c r="M2008" s="25"/>
      <c r="N2008" s="25"/>
      <c r="O2008" s="25"/>
      <c r="P2008" s="25"/>
      <c r="Q2008" s="25"/>
      <c r="R2008" s="25"/>
      <c r="S2008" s="25"/>
      <c r="T2008" s="14"/>
    </row>
    <row r="2009" spans="1:20" x14ac:dyDescent="0.35">
      <c r="A2009" s="21"/>
      <c r="B2009" s="23"/>
      <c r="C2009" s="26"/>
      <c r="D2009" s="27"/>
      <c r="E2009" s="27"/>
      <c r="F2009" s="28"/>
      <c r="G2009" s="25"/>
      <c r="H2009" s="25"/>
      <c r="I2009" s="25"/>
      <c r="J2009" s="25"/>
      <c r="K2009" s="25"/>
      <c r="L2009" s="25"/>
      <c r="M2009" s="25"/>
      <c r="N2009" s="25"/>
      <c r="O2009" s="25"/>
      <c r="P2009" s="25"/>
      <c r="Q2009" s="25"/>
      <c r="R2009" s="25"/>
      <c r="S2009" s="25"/>
      <c r="T2009" s="14"/>
    </row>
    <row r="2010" spans="1:20" x14ac:dyDescent="0.35">
      <c r="A2010" s="21"/>
      <c r="B2010" s="23"/>
      <c r="C2010" s="26"/>
      <c r="D2010" s="27"/>
      <c r="E2010" s="27"/>
      <c r="F2010" s="28"/>
      <c r="G2010" s="25"/>
      <c r="H2010" s="25"/>
      <c r="I2010" s="25"/>
      <c r="J2010" s="25"/>
      <c r="K2010" s="25"/>
      <c r="L2010" s="25"/>
      <c r="M2010" s="25"/>
      <c r="N2010" s="25"/>
      <c r="O2010" s="25"/>
      <c r="P2010" s="25"/>
      <c r="Q2010" s="25"/>
      <c r="R2010" s="25"/>
      <c r="S2010" s="25"/>
      <c r="T2010" s="14"/>
    </row>
    <row r="2011" spans="1:20" x14ac:dyDescent="0.35">
      <c r="A2011" s="21"/>
      <c r="B2011" s="23"/>
      <c r="C2011" s="26"/>
      <c r="D2011" s="27"/>
      <c r="E2011" s="27"/>
      <c r="F2011" s="28"/>
      <c r="G2011" s="25"/>
      <c r="H2011" s="25"/>
      <c r="I2011" s="25"/>
      <c r="J2011" s="25"/>
      <c r="K2011" s="25"/>
      <c r="L2011" s="25"/>
      <c r="M2011" s="25"/>
      <c r="N2011" s="25"/>
      <c r="O2011" s="25"/>
      <c r="P2011" s="25"/>
      <c r="Q2011" s="25"/>
      <c r="R2011" s="25"/>
      <c r="S2011" s="25"/>
      <c r="T2011" s="14"/>
    </row>
    <row r="2012" spans="1:20" x14ac:dyDescent="0.35">
      <c r="A2012" s="21"/>
      <c r="B2012" s="23"/>
      <c r="C2012" s="26"/>
      <c r="D2012" s="27"/>
      <c r="E2012" s="27"/>
      <c r="F2012" s="28"/>
      <c r="G2012" s="25"/>
      <c r="H2012" s="25"/>
      <c r="I2012" s="25"/>
      <c r="J2012" s="25"/>
      <c r="K2012" s="25"/>
      <c r="L2012" s="25"/>
      <c r="M2012" s="25"/>
      <c r="N2012" s="25"/>
      <c r="O2012" s="25"/>
      <c r="P2012" s="25"/>
      <c r="Q2012" s="25"/>
      <c r="R2012" s="25"/>
      <c r="S2012" s="25"/>
      <c r="T2012" s="14"/>
    </row>
    <row r="2013" spans="1:20" x14ac:dyDescent="0.35">
      <c r="A2013" s="21"/>
      <c r="B2013" s="23"/>
      <c r="C2013" s="26"/>
      <c r="D2013" s="27"/>
      <c r="E2013" s="27"/>
      <c r="F2013" s="28"/>
      <c r="G2013" s="25"/>
      <c r="H2013" s="25"/>
      <c r="I2013" s="25"/>
      <c r="J2013" s="25"/>
      <c r="K2013" s="25"/>
      <c r="L2013" s="25"/>
      <c r="M2013" s="25"/>
      <c r="N2013" s="25"/>
      <c r="O2013" s="25"/>
      <c r="P2013" s="25"/>
      <c r="Q2013" s="25"/>
      <c r="R2013" s="25"/>
      <c r="S2013" s="25"/>
      <c r="T2013" s="14"/>
    </row>
    <row r="2014" spans="1:20" x14ac:dyDescent="0.35">
      <c r="A2014" s="21"/>
      <c r="B2014" s="23"/>
      <c r="C2014" s="26"/>
      <c r="D2014" s="27"/>
      <c r="E2014" s="27"/>
      <c r="F2014" s="28"/>
      <c r="G2014" s="25"/>
      <c r="H2014" s="25"/>
      <c r="I2014" s="25"/>
      <c r="J2014" s="25"/>
      <c r="K2014" s="25"/>
      <c r="L2014" s="25"/>
      <c r="M2014" s="25"/>
      <c r="N2014" s="25"/>
      <c r="O2014" s="25"/>
      <c r="P2014" s="25"/>
      <c r="Q2014" s="25"/>
      <c r="R2014" s="25"/>
      <c r="S2014" s="25"/>
      <c r="T2014" s="14"/>
    </row>
    <row r="2015" spans="1:20" x14ac:dyDescent="0.35">
      <c r="A2015" s="21"/>
      <c r="B2015" s="23"/>
      <c r="C2015" s="26"/>
      <c r="D2015" s="27"/>
      <c r="E2015" s="27"/>
      <c r="F2015" s="28"/>
      <c r="G2015" s="25"/>
      <c r="H2015" s="25"/>
      <c r="I2015" s="25"/>
      <c r="J2015" s="25"/>
      <c r="K2015" s="25"/>
      <c r="L2015" s="25"/>
      <c r="M2015" s="25"/>
      <c r="N2015" s="25"/>
      <c r="O2015" s="25"/>
      <c r="P2015" s="25"/>
      <c r="Q2015" s="25"/>
      <c r="R2015" s="25"/>
      <c r="S2015" s="25"/>
      <c r="T2015" s="14"/>
    </row>
    <row r="2016" spans="1:20" x14ac:dyDescent="0.35">
      <c r="A2016" s="21"/>
      <c r="B2016" s="23"/>
      <c r="C2016" s="26"/>
      <c r="D2016" s="27"/>
      <c r="E2016" s="27"/>
      <c r="F2016" s="28"/>
      <c r="G2016" s="25"/>
      <c r="H2016" s="25"/>
      <c r="I2016" s="25"/>
      <c r="J2016" s="25"/>
      <c r="K2016" s="25"/>
      <c r="L2016" s="25"/>
      <c r="M2016" s="25"/>
      <c r="N2016" s="25"/>
      <c r="O2016" s="25"/>
      <c r="P2016" s="25"/>
      <c r="Q2016" s="25"/>
      <c r="R2016" s="25"/>
      <c r="S2016" s="25"/>
      <c r="T2016" s="14"/>
    </row>
    <row r="2017" spans="1:20" x14ac:dyDescent="0.35">
      <c r="A2017" s="21"/>
      <c r="B2017" s="23"/>
      <c r="C2017" s="26"/>
      <c r="D2017" s="27"/>
      <c r="E2017" s="27"/>
      <c r="F2017" s="28"/>
      <c r="G2017" s="25"/>
      <c r="H2017" s="25"/>
      <c r="I2017" s="25"/>
      <c r="J2017" s="25"/>
      <c r="K2017" s="25"/>
      <c r="L2017" s="25"/>
      <c r="M2017" s="25"/>
      <c r="N2017" s="25"/>
      <c r="O2017" s="25"/>
      <c r="P2017" s="25"/>
      <c r="Q2017" s="25"/>
      <c r="R2017" s="25"/>
      <c r="S2017" s="25"/>
      <c r="T2017" s="14"/>
    </row>
    <row r="2018" spans="1:20" x14ac:dyDescent="0.35">
      <c r="A2018" s="21"/>
      <c r="B2018" s="23"/>
      <c r="C2018" s="26"/>
      <c r="D2018" s="27"/>
      <c r="E2018" s="27"/>
      <c r="F2018" s="28"/>
      <c r="G2018" s="25"/>
      <c r="H2018" s="25"/>
      <c r="I2018" s="25"/>
      <c r="J2018" s="25"/>
      <c r="K2018" s="25"/>
      <c r="L2018" s="25"/>
      <c r="M2018" s="25"/>
      <c r="N2018" s="25"/>
      <c r="O2018" s="25"/>
      <c r="P2018" s="25"/>
      <c r="Q2018" s="25"/>
      <c r="R2018" s="25"/>
      <c r="S2018" s="25"/>
      <c r="T2018" s="14"/>
    </row>
    <row r="2019" spans="1:20" x14ac:dyDescent="0.35">
      <c r="A2019" s="21"/>
      <c r="B2019" s="23"/>
      <c r="C2019" s="26"/>
      <c r="D2019" s="27"/>
      <c r="E2019" s="27"/>
      <c r="F2019" s="28"/>
      <c r="G2019" s="25"/>
      <c r="H2019" s="25"/>
      <c r="I2019" s="25"/>
      <c r="J2019" s="25"/>
      <c r="K2019" s="25"/>
      <c r="L2019" s="25"/>
      <c r="M2019" s="25"/>
      <c r="N2019" s="25"/>
      <c r="O2019" s="25"/>
      <c r="P2019" s="25"/>
      <c r="Q2019" s="25"/>
      <c r="R2019" s="25"/>
      <c r="S2019" s="25"/>
      <c r="T2019" s="22"/>
    </row>
    <row r="2020" spans="1:20" x14ac:dyDescent="0.35">
      <c r="A2020" s="21"/>
      <c r="B2020" s="23"/>
      <c r="C2020" s="26"/>
      <c r="D2020" s="27"/>
      <c r="E2020" s="27"/>
      <c r="F2020" s="28"/>
      <c r="G2020" s="25"/>
      <c r="H2020" s="25"/>
      <c r="I2020" s="25"/>
      <c r="J2020" s="25"/>
      <c r="K2020" s="25"/>
      <c r="L2020" s="25"/>
      <c r="M2020" s="25"/>
      <c r="N2020" s="25"/>
      <c r="O2020" s="25"/>
      <c r="P2020" s="25"/>
      <c r="Q2020" s="25"/>
      <c r="R2020" s="25"/>
      <c r="S2020" s="25"/>
      <c r="T2020" s="22"/>
    </row>
    <row r="2021" spans="1:20" x14ac:dyDescent="0.35">
      <c r="A2021" s="21"/>
      <c r="B2021" s="23"/>
      <c r="C2021" s="26"/>
      <c r="D2021" s="27"/>
      <c r="E2021" s="27"/>
      <c r="F2021" s="28"/>
      <c r="G2021" s="25"/>
      <c r="H2021" s="25"/>
      <c r="I2021" s="25"/>
      <c r="J2021" s="25"/>
      <c r="K2021" s="25"/>
      <c r="L2021" s="25"/>
      <c r="M2021" s="25"/>
      <c r="N2021" s="25"/>
      <c r="O2021" s="25"/>
      <c r="P2021" s="25"/>
      <c r="Q2021" s="25"/>
      <c r="R2021" s="25"/>
      <c r="S2021" s="25"/>
      <c r="T2021" s="22"/>
    </row>
    <row r="2022" spans="1:20" x14ac:dyDescent="0.35">
      <c r="A2022" s="21"/>
      <c r="B2022" s="23"/>
      <c r="C2022" s="26"/>
      <c r="D2022" s="27"/>
      <c r="E2022" s="27"/>
      <c r="F2022" s="28"/>
      <c r="G2022" s="25"/>
      <c r="H2022" s="25"/>
      <c r="I2022" s="25"/>
      <c r="J2022" s="25"/>
      <c r="K2022" s="25"/>
      <c r="L2022" s="25"/>
      <c r="M2022" s="25"/>
      <c r="N2022" s="25"/>
      <c r="O2022" s="25"/>
      <c r="P2022" s="25"/>
      <c r="Q2022" s="25"/>
      <c r="R2022" s="25"/>
      <c r="S2022" s="25"/>
      <c r="T2022" s="22"/>
    </row>
    <row r="2023" spans="1:20" x14ac:dyDescent="0.35">
      <c r="A2023" s="21"/>
      <c r="B2023" s="23"/>
      <c r="C2023" s="26"/>
      <c r="D2023" s="27"/>
      <c r="E2023" s="27"/>
      <c r="F2023" s="28"/>
      <c r="G2023" s="25"/>
      <c r="H2023" s="25"/>
      <c r="I2023" s="25"/>
      <c r="J2023" s="25"/>
      <c r="K2023" s="25"/>
      <c r="L2023" s="25"/>
      <c r="M2023" s="25"/>
      <c r="N2023" s="25"/>
      <c r="O2023" s="25"/>
      <c r="P2023" s="25"/>
      <c r="Q2023" s="25"/>
      <c r="R2023" s="25"/>
      <c r="S2023" s="25"/>
      <c r="T2023" s="22"/>
    </row>
    <row r="2024" spans="1:20" x14ac:dyDescent="0.35">
      <c r="A2024" s="21"/>
      <c r="B2024" s="23"/>
      <c r="C2024" s="26"/>
      <c r="D2024" s="27"/>
      <c r="E2024" s="27"/>
      <c r="F2024" s="28"/>
      <c r="G2024" s="25"/>
      <c r="H2024" s="25"/>
      <c r="I2024" s="25"/>
      <c r="J2024" s="25"/>
      <c r="K2024" s="25"/>
      <c r="L2024" s="25"/>
      <c r="M2024" s="25"/>
      <c r="N2024" s="25"/>
      <c r="O2024" s="25"/>
      <c r="P2024" s="25"/>
      <c r="Q2024" s="25"/>
      <c r="R2024" s="25"/>
      <c r="S2024" s="25"/>
      <c r="T2024" s="22"/>
    </row>
    <row r="2025" spans="1:20" x14ac:dyDescent="0.35">
      <c r="A2025" s="21"/>
      <c r="B2025" s="23"/>
      <c r="C2025" s="26"/>
      <c r="D2025" s="27"/>
      <c r="E2025" s="27"/>
      <c r="F2025" s="28"/>
      <c r="G2025" s="25"/>
      <c r="H2025" s="25"/>
      <c r="I2025" s="25"/>
      <c r="J2025" s="25"/>
      <c r="K2025" s="25"/>
      <c r="L2025" s="25"/>
      <c r="M2025" s="25"/>
      <c r="N2025" s="25"/>
      <c r="O2025" s="25"/>
      <c r="P2025" s="25"/>
      <c r="Q2025" s="25"/>
      <c r="R2025" s="25"/>
      <c r="S2025" s="25"/>
      <c r="T2025" s="22"/>
    </row>
    <row r="2026" spans="1:20" x14ac:dyDescent="0.35">
      <c r="A2026" s="21"/>
      <c r="B2026" s="23"/>
      <c r="C2026" s="26"/>
      <c r="D2026" s="27"/>
      <c r="E2026" s="27"/>
      <c r="F2026" s="28"/>
      <c r="G2026" s="25"/>
      <c r="H2026" s="25"/>
      <c r="I2026" s="25"/>
      <c r="J2026" s="25"/>
      <c r="K2026" s="25"/>
      <c r="L2026" s="25"/>
      <c r="M2026" s="25"/>
      <c r="N2026" s="25"/>
      <c r="O2026" s="25"/>
      <c r="P2026" s="25"/>
      <c r="Q2026" s="25"/>
      <c r="R2026" s="25"/>
      <c r="S2026" s="25"/>
      <c r="T2026" s="22"/>
    </row>
    <row r="2027" spans="1:20" x14ac:dyDescent="0.35">
      <c r="A2027" s="21"/>
      <c r="B2027" s="23"/>
      <c r="C2027" s="26"/>
      <c r="D2027" s="27"/>
      <c r="E2027" s="27"/>
      <c r="F2027" s="28"/>
      <c r="G2027" s="25"/>
      <c r="H2027" s="25"/>
      <c r="I2027" s="25"/>
      <c r="J2027" s="25"/>
      <c r="K2027" s="25"/>
      <c r="L2027" s="25"/>
      <c r="M2027" s="25"/>
      <c r="N2027" s="25"/>
      <c r="O2027" s="25"/>
      <c r="P2027" s="25"/>
      <c r="Q2027" s="25"/>
      <c r="R2027" s="25"/>
      <c r="S2027" s="25"/>
      <c r="T2027" s="22"/>
    </row>
    <row r="2028" spans="1:20" x14ac:dyDescent="0.35">
      <c r="A2028" s="21"/>
      <c r="B2028" s="23"/>
      <c r="C2028" s="26"/>
      <c r="D2028" s="27"/>
      <c r="E2028" s="27"/>
      <c r="F2028" s="28"/>
      <c r="G2028" s="25"/>
      <c r="H2028" s="25"/>
      <c r="I2028" s="25"/>
      <c r="J2028" s="25"/>
      <c r="K2028" s="25"/>
      <c r="L2028" s="25"/>
      <c r="M2028" s="25"/>
      <c r="N2028" s="25"/>
      <c r="O2028" s="25"/>
      <c r="P2028" s="25"/>
      <c r="Q2028" s="25"/>
      <c r="R2028" s="25"/>
      <c r="S2028" s="25"/>
      <c r="T2028" s="22"/>
    </row>
    <row r="2029" spans="1:20" x14ac:dyDescent="0.35">
      <c r="A2029" s="21"/>
      <c r="B2029" s="23"/>
      <c r="C2029" s="26"/>
      <c r="D2029" s="27"/>
      <c r="E2029" s="27"/>
      <c r="F2029" s="28"/>
      <c r="G2029" s="25"/>
      <c r="H2029" s="25"/>
      <c r="I2029" s="25"/>
      <c r="J2029" s="25"/>
      <c r="K2029" s="25"/>
      <c r="L2029" s="25"/>
      <c r="M2029" s="25"/>
      <c r="N2029" s="25"/>
      <c r="O2029" s="25"/>
      <c r="P2029" s="25"/>
      <c r="Q2029" s="25"/>
      <c r="R2029" s="25"/>
      <c r="S2029" s="25"/>
      <c r="T2029" s="22"/>
    </row>
    <row r="2030" spans="1:20" x14ac:dyDescent="0.35">
      <c r="A2030" s="21"/>
      <c r="B2030" s="23"/>
      <c r="C2030" s="26"/>
      <c r="D2030" s="27"/>
      <c r="E2030" s="27"/>
      <c r="F2030" s="28"/>
      <c r="G2030" s="25"/>
      <c r="H2030" s="25"/>
      <c r="I2030" s="25"/>
      <c r="J2030" s="25"/>
      <c r="K2030" s="25"/>
      <c r="L2030" s="25"/>
      <c r="M2030" s="25"/>
      <c r="N2030" s="25"/>
      <c r="O2030" s="25"/>
      <c r="P2030" s="25"/>
      <c r="Q2030" s="25"/>
      <c r="R2030" s="25"/>
      <c r="S2030" s="25"/>
      <c r="T2030" s="22"/>
    </row>
    <row r="2031" spans="1:20" x14ac:dyDescent="0.35">
      <c r="A2031" s="21"/>
      <c r="B2031" s="23"/>
      <c r="C2031" s="26"/>
      <c r="D2031" s="27"/>
      <c r="E2031" s="27"/>
      <c r="F2031" s="28"/>
      <c r="G2031" s="25"/>
      <c r="H2031" s="25"/>
      <c r="I2031" s="25"/>
      <c r="J2031" s="25"/>
      <c r="K2031" s="25"/>
      <c r="L2031" s="25"/>
      <c r="M2031" s="25"/>
      <c r="N2031" s="25"/>
      <c r="O2031" s="25"/>
      <c r="P2031" s="25"/>
      <c r="Q2031" s="25"/>
      <c r="R2031" s="25"/>
      <c r="S2031" s="25"/>
      <c r="T2031" s="22"/>
    </row>
    <row r="2032" spans="1:20" x14ac:dyDescent="0.35">
      <c r="A2032" s="21"/>
      <c r="B2032" s="23"/>
      <c r="C2032" s="26"/>
      <c r="D2032" s="27"/>
      <c r="E2032" s="27"/>
      <c r="F2032" s="28"/>
      <c r="G2032" s="25"/>
      <c r="H2032" s="25"/>
      <c r="I2032" s="25"/>
      <c r="J2032" s="25"/>
      <c r="K2032" s="25"/>
      <c r="L2032" s="25"/>
      <c r="M2032" s="25"/>
      <c r="N2032" s="25"/>
      <c r="O2032" s="25"/>
      <c r="P2032" s="25"/>
      <c r="Q2032" s="25"/>
      <c r="R2032" s="25"/>
      <c r="S2032" s="25"/>
      <c r="T2032" s="22"/>
    </row>
    <row r="2033" spans="1:20" x14ac:dyDescent="0.35">
      <c r="A2033" s="21"/>
      <c r="B2033" s="23"/>
      <c r="C2033" s="26"/>
      <c r="D2033" s="27"/>
      <c r="E2033" s="27"/>
      <c r="F2033" s="28"/>
      <c r="G2033" s="25"/>
      <c r="H2033" s="25"/>
      <c r="I2033" s="25"/>
      <c r="J2033" s="25"/>
      <c r="K2033" s="25"/>
      <c r="L2033" s="25"/>
      <c r="M2033" s="25"/>
      <c r="N2033" s="25"/>
      <c r="O2033" s="25"/>
      <c r="P2033" s="25"/>
      <c r="Q2033" s="25"/>
      <c r="R2033" s="25"/>
      <c r="S2033" s="25"/>
      <c r="T2033" s="22"/>
    </row>
    <row r="2034" spans="1:20" x14ac:dyDescent="0.35">
      <c r="A2034" s="21"/>
      <c r="B2034" s="23"/>
      <c r="C2034" s="26"/>
      <c r="D2034" s="27"/>
      <c r="E2034" s="27"/>
      <c r="F2034" s="28"/>
      <c r="G2034" s="25"/>
      <c r="H2034" s="25"/>
      <c r="I2034" s="25"/>
      <c r="J2034" s="25"/>
      <c r="K2034" s="25"/>
      <c r="L2034" s="25"/>
      <c r="M2034" s="25"/>
      <c r="N2034" s="25"/>
      <c r="O2034" s="25"/>
      <c r="P2034" s="25"/>
      <c r="Q2034" s="25"/>
      <c r="R2034" s="25"/>
      <c r="S2034" s="25"/>
      <c r="T2034" s="22"/>
    </row>
    <row r="2035" spans="1:20" x14ac:dyDescent="0.35">
      <c r="A2035" s="21"/>
      <c r="B2035" s="23"/>
      <c r="C2035" s="26"/>
      <c r="D2035" s="27"/>
      <c r="E2035" s="27"/>
      <c r="F2035" s="28"/>
      <c r="G2035" s="25"/>
      <c r="H2035" s="25"/>
      <c r="I2035" s="25"/>
      <c r="J2035" s="25"/>
      <c r="K2035" s="25"/>
      <c r="L2035" s="25"/>
      <c r="M2035" s="25"/>
      <c r="N2035" s="25"/>
      <c r="O2035" s="25"/>
      <c r="P2035" s="25"/>
      <c r="Q2035" s="25"/>
      <c r="R2035" s="25"/>
      <c r="S2035" s="25"/>
      <c r="T2035" s="14"/>
    </row>
    <row r="2036" spans="1:20" x14ac:dyDescent="0.35">
      <c r="A2036" s="21"/>
      <c r="B2036" s="23"/>
      <c r="C2036" s="26"/>
      <c r="D2036" s="27"/>
      <c r="E2036" s="27"/>
      <c r="F2036" s="28"/>
      <c r="G2036" s="25"/>
      <c r="H2036" s="25"/>
      <c r="I2036" s="25"/>
      <c r="J2036" s="25"/>
      <c r="K2036" s="25"/>
      <c r="L2036" s="25"/>
      <c r="M2036" s="25"/>
      <c r="N2036" s="25"/>
      <c r="O2036" s="25"/>
      <c r="P2036" s="25"/>
      <c r="Q2036" s="25"/>
      <c r="R2036" s="25"/>
      <c r="S2036" s="25"/>
      <c r="T2036" s="14"/>
    </row>
    <row r="2037" spans="1:20" x14ac:dyDescent="0.35">
      <c r="A2037" s="21"/>
      <c r="B2037" s="23"/>
      <c r="C2037" s="26"/>
      <c r="D2037" s="27"/>
      <c r="E2037" s="27"/>
      <c r="F2037" s="28"/>
      <c r="G2037" s="25"/>
      <c r="H2037" s="25"/>
      <c r="I2037" s="25"/>
      <c r="J2037" s="25"/>
      <c r="K2037" s="25"/>
      <c r="L2037" s="25"/>
      <c r="M2037" s="25"/>
      <c r="N2037" s="25"/>
      <c r="O2037" s="25"/>
      <c r="P2037" s="25"/>
      <c r="Q2037" s="25"/>
      <c r="R2037" s="25"/>
      <c r="S2037" s="25"/>
      <c r="T2037" s="14"/>
    </row>
    <row r="2038" spans="1:20" x14ac:dyDescent="0.35">
      <c r="A2038" s="21"/>
      <c r="B2038" s="23"/>
      <c r="C2038" s="26"/>
      <c r="D2038" s="27"/>
      <c r="E2038" s="27"/>
      <c r="F2038" s="28"/>
      <c r="G2038" s="25"/>
      <c r="H2038" s="25"/>
      <c r="I2038" s="25"/>
      <c r="J2038" s="25"/>
      <c r="K2038" s="25"/>
      <c r="L2038" s="25"/>
      <c r="M2038" s="25"/>
      <c r="N2038" s="25"/>
      <c r="O2038" s="25"/>
      <c r="P2038" s="25"/>
      <c r="Q2038" s="25"/>
      <c r="R2038" s="25"/>
      <c r="S2038" s="25"/>
      <c r="T2038" s="14"/>
    </row>
    <row r="2039" spans="1:20" x14ac:dyDescent="0.35">
      <c r="A2039" s="21"/>
      <c r="B2039" s="23"/>
      <c r="C2039" s="26"/>
      <c r="D2039" s="27"/>
      <c r="E2039" s="27"/>
      <c r="F2039" s="28"/>
      <c r="G2039" s="25"/>
      <c r="H2039" s="25"/>
      <c r="I2039" s="25"/>
      <c r="J2039" s="25"/>
      <c r="K2039" s="25"/>
      <c r="L2039" s="25"/>
      <c r="M2039" s="25"/>
      <c r="N2039" s="25"/>
      <c r="O2039" s="25"/>
      <c r="P2039" s="25"/>
      <c r="Q2039" s="25"/>
      <c r="R2039" s="25"/>
      <c r="S2039" s="25"/>
      <c r="T2039" s="14"/>
    </row>
    <row r="2040" spans="1:20" x14ac:dyDescent="0.35">
      <c r="A2040" s="21"/>
      <c r="B2040" s="23"/>
      <c r="C2040" s="26"/>
      <c r="D2040" s="27"/>
      <c r="E2040" s="27"/>
      <c r="F2040" s="28"/>
      <c r="G2040" s="25"/>
      <c r="H2040" s="25"/>
      <c r="I2040" s="25"/>
      <c r="J2040" s="25"/>
      <c r="K2040" s="25"/>
      <c r="L2040" s="25"/>
      <c r="M2040" s="25"/>
      <c r="N2040" s="25"/>
      <c r="O2040" s="25"/>
      <c r="P2040" s="25"/>
      <c r="Q2040" s="25"/>
      <c r="R2040" s="25"/>
      <c r="S2040" s="25"/>
      <c r="T2040" s="14"/>
    </row>
    <row r="2041" spans="1:20" x14ac:dyDescent="0.35">
      <c r="A2041" s="21"/>
      <c r="B2041" s="23"/>
      <c r="C2041" s="26"/>
      <c r="D2041" s="27"/>
      <c r="E2041" s="27"/>
      <c r="F2041" s="28"/>
      <c r="G2041" s="25"/>
      <c r="H2041" s="25"/>
      <c r="I2041" s="25"/>
      <c r="J2041" s="25"/>
      <c r="K2041" s="25"/>
      <c r="L2041" s="25"/>
      <c r="M2041" s="25"/>
      <c r="N2041" s="25"/>
      <c r="O2041" s="25"/>
      <c r="P2041" s="25"/>
      <c r="Q2041" s="25"/>
      <c r="R2041" s="25"/>
      <c r="S2041" s="25"/>
      <c r="T2041" s="14"/>
    </row>
    <row r="2042" spans="1:20" x14ac:dyDescent="0.35">
      <c r="A2042" s="21"/>
      <c r="B2042" s="23"/>
      <c r="C2042" s="26"/>
      <c r="D2042" s="27"/>
      <c r="E2042" s="27"/>
      <c r="F2042" s="28"/>
      <c r="G2042" s="25"/>
      <c r="H2042" s="25"/>
      <c r="I2042" s="25"/>
      <c r="J2042" s="25"/>
      <c r="K2042" s="25"/>
      <c r="L2042" s="25"/>
      <c r="M2042" s="25"/>
      <c r="N2042" s="25"/>
      <c r="O2042" s="25"/>
      <c r="P2042" s="25"/>
      <c r="Q2042" s="25"/>
      <c r="R2042" s="25"/>
      <c r="S2042" s="25"/>
      <c r="T2042" s="22"/>
    </row>
    <row r="2043" spans="1:20" x14ac:dyDescent="0.35">
      <c r="A2043" s="21"/>
      <c r="B2043" s="23"/>
      <c r="C2043" s="26"/>
      <c r="D2043" s="27"/>
      <c r="E2043" s="27"/>
      <c r="F2043" s="28"/>
      <c r="G2043" s="25"/>
      <c r="H2043" s="25"/>
      <c r="I2043" s="25"/>
      <c r="J2043" s="25"/>
      <c r="K2043" s="25"/>
      <c r="L2043" s="25"/>
      <c r="M2043" s="25"/>
      <c r="N2043" s="25"/>
      <c r="O2043" s="25"/>
      <c r="P2043" s="25"/>
      <c r="Q2043" s="25"/>
      <c r="R2043" s="25"/>
      <c r="S2043" s="25"/>
      <c r="T2043" s="22"/>
    </row>
    <row r="2044" spans="1:20" x14ac:dyDescent="0.35">
      <c r="A2044" s="21"/>
      <c r="B2044" s="23"/>
      <c r="C2044" s="26"/>
      <c r="D2044" s="27"/>
      <c r="E2044" s="27"/>
      <c r="F2044" s="28"/>
      <c r="G2044" s="25"/>
      <c r="H2044" s="25"/>
      <c r="I2044" s="25"/>
      <c r="J2044" s="25"/>
      <c r="K2044" s="25"/>
      <c r="L2044" s="25"/>
      <c r="M2044" s="25"/>
      <c r="N2044" s="25"/>
      <c r="O2044" s="25"/>
      <c r="P2044" s="25"/>
      <c r="Q2044" s="25"/>
      <c r="R2044" s="25"/>
      <c r="S2044" s="25"/>
      <c r="T2044" s="22"/>
    </row>
    <row r="2045" spans="1:20" x14ac:dyDescent="0.35">
      <c r="A2045" s="21"/>
      <c r="B2045" s="23"/>
      <c r="C2045" s="26"/>
      <c r="D2045" s="27"/>
      <c r="E2045" s="27"/>
      <c r="F2045" s="28"/>
      <c r="G2045" s="25"/>
      <c r="H2045" s="25"/>
      <c r="I2045" s="25"/>
      <c r="J2045" s="25"/>
      <c r="K2045" s="25"/>
      <c r="L2045" s="25"/>
      <c r="M2045" s="25"/>
      <c r="N2045" s="25"/>
      <c r="O2045" s="25"/>
      <c r="P2045" s="25"/>
      <c r="Q2045" s="25"/>
      <c r="R2045" s="25"/>
      <c r="S2045" s="25"/>
      <c r="T2045" s="22"/>
    </row>
    <row r="2046" spans="1:20" x14ac:dyDescent="0.35">
      <c r="A2046" s="21"/>
      <c r="B2046" s="23"/>
      <c r="C2046" s="26"/>
      <c r="D2046" s="27"/>
      <c r="E2046" s="27"/>
      <c r="F2046" s="28"/>
      <c r="G2046" s="25"/>
      <c r="H2046" s="25"/>
      <c r="I2046" s="25"/>
      <c r="J2046" s="25"/>
      <c r="K2046" s="25"/>
      <c r="L2046" s="25"/>
      <c r="M2046" s="25"/>
      <c r="N2046" s="25"/>
      <c r="O2046" s="25"/>
      <c r="P2046" s="25"/>
      <c r="Q2046" s="25"/>
      <c r="R2046" s="25"/>
      <c r="S2046" s="25"/>
      <c r="T2046" s="22"/>
    </row>
    <row r="2047" spans="1:20" x14ac:dyDescent="0.35">
      <c r="A2047" s="21"/>
      <c r="B2047" s="23"/>
      <c r="C2047" s="26"/>
      <c r="D2047" s="27"/>
      <c r="E2047" s="27"/>
      <c r="F2047" s="28"/>
      <c r="G2047" s="25"/>
      <c r="H2047" s="25"/>
      <c r="I2047" s="25"/>
      <c r="J2047" s="25"/>
      <c r="K2047" s="25"/>
      <c r="L2047" s="25"/>
      <c r="M2047" s="25"/>
      <c r="N2047" s="25"/>
      <c r="O2047" s="25"/>
      <c r="P2047" s="25"/>
      <c r="Q2047" s="25"/>
      <c r="R2047" s="25"/>
      <c r="S2047" s="25"/>
      <c r="T2047" s="22"/>
    </row>
    <row r="2048" spans="1:20" x14ac:dyDescent="0.35">
      <c r="A2048" s="21"/>
      <c r="B2048" s="23"/>
      <c r="C2048" s="26"/>
      <c r="D2048" s="27"/>
      <c r="E2048" s="27"/>
      <c r="F2048" s="28"/>
      <c r="G2048" s="25"/>
      <c r="H2048" s="25"/>
      <c r="I2048" s="25"/>
      <c r="J2048" s="25"/>
      <c r="K2048" s="25"/>
      <c r="L2048" s="25"/>
      <c r="M2048" s="25"/>
      <c r="N2048" s="25"/>
      <c r="O2048" s="25"/>
      <c r="P2048" s="25"/>
      <c r="Q2048" s="25"/>
      <c r="R2048" s="25"/>
      <c r="S2048" s="25"/>
      <c r="T2048" s="22"/>
    </row>
    <row r="2049" spans="1:20" x14ac:dyDescent="0.35">
      <c r="A2049" s="21"/>
      <c r="B2049" s="23"/>
      <c r="C2049" s="26"/>
      <c r="D2049" s="27"/>
      <c r="E2049" s="27"/>
      <c r="F2049" s="28"/>
      <c r="G2049" s="25"/>
      <c r="H2049" s="25"/>
      <c r="I2049" s="25"/>
      <c r="J2049" s="25"/>
      <c r="K2049" s="25"/>
      <c r="L2049" s="25"/>
      <c r="M2049" s="25"/>
      <c r="N2049" s="25"/>
      <c r="O2049" s="25"/>
      <c r="P2049" s="25"/>
      <c r="Q2049" s="25"/>
      <c r="R2049" s="25"/>
      <c r="S2049" s="25"/>
      <c r="T2049" s="22"/>
    </row>
    <row r="2050" spans="1:20" x14ac:dyDescent="0.35">
      <c r="A2050" s="21"/>
      <c r="B2050" s="23"/>
      <c r="C2050" s="26"/>
      <c r="D2050" s="27"/>
      <c r="E2050" s="27"/>
      <c r="F2050" s="28"/>
      <c r="G2050" s="25"/>
      <c r="H2050" s="25"/>
      <c r="I2050" s="25"/>
      <c r="J2050" s="25"/>
      <c r="K2050" s="25"/>
      <c r="L2050" s="25"/>
      <c r="M2050" s="25"/>
      <c r="N2050" s="25"/>
      <c r="O2050" s="25"/>
      <c r="P2050" s="25"/>
      <c r="Q2050" s="25"/>
      <c r="R2050" s="25"/>
      <c r="S2050" s="25"/>
      <c r="T2050" s="22"/>
    </row>
    <row r="2051" spans="1:20" x14ac:dyDescent="0.35">
      <c r="A2051" s="21"/>
      <c r="B2051" s="23"/>
      <c r="C2051" s="26"/>
      <c r="D2051" s="27"/>
      <c r="E2051" s="27"/>
      <c r="F2051" s="28"/>
      <c r="G2051" s="25"/>
      <c r="H2051" s="25"/>
      <c r="I2051" s="25"/>
      <c r="J2051" s="25"/>
      <c r="K2051" s="25"/>
      <c r="L2051" s="25"/>
      <c r="M2051" s="25"/>
      <c r="N2051" s="25"/>
      <c r="O2051" s="25"/>
      <c r="P2051" s="25"/>
      <c r="Q2051" s="25"/>
      <c r="R2051" s="25"/>
      <c r="S2051" s="25"/>
      <c r="T2051" s="14"/>
    </row>
    <row r="2052" spans="1:20" x14ac:dyDescent="0.35">
      <c r="A2052" s="21"/>
      <c r="B2052" s="23"/>
      <c r="C2052" s="26"/>
      <c r="D2052" s="27"/>
      <c r="E2052" s="27"/>
      <c r="F2052" s="28"/>
      <c r="G2052" s="25"/>
      <c r="H2052" s="25"/>
      <c r="I2052" s="25"/>
      <c r="J2052" s="25"/>
      <c r="K2052" s="25"/>
      <c r="L2052" s="25"/>
      <c r="M2052" s="25"/>
      <c r="N2052" s="25"/>
      <c r="O2052" s="25"/>
      <c r="P2052" s="25"/>
      <c r="Q2052" s="25"/>
      <c r="R2052" s="25"/>
      <c r="S2052" s="25"/>
      <c r="T2052" s="14"/>
    </row>
    <row r="2053" spans="1:20" x14ac:dyDescent="0.35">
      <c r="A2053" s="21"/>
      <c r="B2053" s="23"/>
      <c r="C2053" s="26"/>
      <c r="D2053" s="27"/>
      <c r="E2053" s="27"/>
      <c r="F2053" s="28"/>
      <c r="G2053" s="25"/>
      <c r="H2053" s="25"/>
      <c r="I2053" s="25"/>
      <c r="J2053" s="25"/>
      <c r="K2053" s="25"/>
      <c r="L2053" s="25"/>
      <c r="M2053" s="25"/>
      <c r="N2053" s="25"/>
      <c r="O2053" s="25"/>
      <c r="P2053" s="25"/>
      <c r="Q2053" s="25"/>
      <c r="R2053" s="25"/>
      <c r="S2053" s="25"/>
      <c r="T2053" s="14"/>
    </row>
    <row r="2054" spans="1:20" x14ac:dyDescent="0.35">
      <c r="A2054" s="21"/>
      <c r="B2054" s="23"/>
      <c r="C2054" s="26"/>
      <c r="D2054" s="27"/>
      <c r="E2054" s="27"/>
      <c r="F2054" s="28"/>
      <c r="G2054" s="25"/>
      <c r="H2054" s="25"/>
      <c r="I2054" s="25"/>
      <c r="J2054" s="25"/>
      <c r="K2054" s="25"/>
      <c r="L2054" s="25"/>
      <c r="M2054" s="25"/>
      <c r="N2054" s="25"/>
      <c r="O2054" s="25"/>
      <c r="P2054" s="25"/>
      <c r="Q2054" s="25"/>
      <c r="R2054" s="25"/>
      <c r="S2054" s="25"/>
      <c r="T2054" s="14"/>
    </row>
    <row r="2055" spans="1:20" x14ac:dyDescent="0.35">
      <c r="A2055" s="21"/>
      <c r="B2055" s="23"/>
      <c r="C2055" s="26"/>
      <c r="D2055" s="27"/>
      <c r="E2055" s="27"/>
      <c r="F2055" s="28"/>
      <c r="G2055" s="25"/>
      <c r="H2055" s="25"/>
      <c r="I2055" s="25"/>
      <c r="J2055" s="25"/>
      <c r="K2055" s="25"/>
      <c r="L2055" s="25"/>
      <c r="M2055" s="25"/>
      <c r="N2055" s="25"/>
      <c r="O2055" s="25"/>
      <c r="P2055" s="25"/>
      <c r="Q2055" s="25"/>
      <c r="R2055" s="25"/>
      <c r="S2055" s="25"/>
      <c r="T2055" s="14"/>
    </row>
    <row r="2056" spans="1:20" x14ac:dyDescent="0.35">
      <c r="A2056" s="21"/>
      <c r="B2056" s="23"/>
      <c r="C2056" s="26"/>
      <c r="D2056" s="27"/>
      <c r="E2056" s="27"/>
      <c r="F2056" s="28"/>
      <c r="G2056" s="25"/>
      <c r="H2056" s="25"/>
      <c r="I2056" s="25"/>
      <c r="J2056" s="25"/>
      <c r="K2056" s="25"/>
      <c r="L2056" s="25"/>
      <c r="M2056" s="25"/>
      <c r="N2056" s="25"/>
      <c r="O2056" s="25"/>
      <c r="P2056" s="25"/>
      <c r="Q2056" s="25"/>
      <c r="R2056" s="25"/>
      <c r="S2056" s="25"/>
      <c r="T2056" s="14"/>
    </row>
    <row r="2057" spans="1:20" x14ac:dyDescent="0.35">
      <c r="A2057" s="21"/>
      <c r="B2057" s="23"/>
      <c r="C2057" s="26"/>
      <c r="D2057" s="27"/>
      <c r="E2057" s="27"/>
      <c r="F2057" s="28"/>
      <c r="G2057" s="25"/>
      <c r="H2057" s="25"/>
      <c r="I2057" s="25"/>
      <c r="J2057" s="25"/>
      <c r="K2057" s="25"/>
      <c r="L2057" s="25"/>
      <c r="M2057" s="25"/>
      <c r="N2057" s="25"/>
      <c r="O2057" s="25"/>
      <c r="P2057" s="25"/>
      <c r="Q2057" s="25"/>
      <c r="R2057" s="25"/>
      <c r="S2057" s="25"/>
      <c r="T2057" s="14"/>
    </row>
    <row r="2058" spans="1:20" x14ac:dyDescent="0.35">
      <c r="A2058" s="21"/>
      <c r="B2058" s="23"/>
      <c r="C2058" s="26"/>
      <c r="D2058" s="27"/>
      <c r="E2058" s="27"/>
      <c r="F2058" s="28"/>
      <c r="G2058" s="25"/>
      <c r="H2058" s="25"/>
      <c r="I2058" s="25"/>
      <c r="J2058" s="25"/>
      <c r="K2058" s="25"/>
      <c r="L2058" s="25"/>
      <c r="M2058" s="25"/>
      <c r="N2058" s="25"/>
      <c r="O2058" s="25"/>
      <c r="P2058" s="25"/>
      <c r="Q2058" s="25"/>
      <c r="R2058" s="25"/>
      <c r="S2058" s="25"/>
      <c r="T2058" s="14"/>
    </row>
    <row r="2059" spans="1:20" x14ac:dyDescent="0.35">
      <c r="A2059" s="21"/>
      <c r="B2059" s="23"/>
      <c r="C2059" s="26"/>
      <c r="D2059" s="27"/>
      <c r="E2059" s="27"/>
      <c r="F2059" s="28"/>
      <c r="G2059" s="25"/>
      <c r="H2059" s="25"/>
      <c r="I2059" s="25"/>
      <c r="J2059" s="25"/>
      <c r="K2059" s="25"/>
      <c r="L2059" s="25"/>
      <c r="M2059" s="25"/>
      <c r="N2059" s="25"/>
      <c r="O2059" s="25"/>
      <c r="P2059" s="25"/>
      <c r="Q2059" s="25"/>
      <c r="R2059" s="25"/>
      <c r="S2059" s="25"/>
      <c r="T2059" s="14"/>
    </row>
    <row r="2060" spans="1:20" x14ac:dyDescent="0.35">
      <c r="A2060" s="21"/>
      <c r="B2060" s="23"/>
      <c r="C2060" s="26"/>
      <c r="D2060" s="27"/>
      <c r="E2060" s="27"/>
      <c r="F2060" s="28"/>
      <c r="G2060" s="25"/>
      <c r="H2060" s="25"/>
      <c r="I2060" s="25"/>
      <c r="J2060" s="25"/>
      <c r="K2060" s="25"/>
      <c r="L2060" s="25"/>
      <c r="M2060" s="25"/>
      <c r="N2060" s="25"/>
      <c r="O2060" s="25"/>
      <c r="P2060" s="25"/>
      <c r="Q2060" s="25"/>
      <c r="R2060" s="25"/>
      <c r="S2060" s="25"/>
      <c r="T2060" s="14"/>
    </row>
    <row r="2061" spans="1:20" x14ac:dyDescent="0.35">
      <c r="A2061" s="21"/>
      <c r="B2061" s="23"/>
      <c r="C2061" s="26"/>
      <c r="D2061" s="27"/>
      <c r="E2061" s="27"/>
      <c r="F2061" s="28"/>
      <c r="G2061" s="25"/>
      <c r="H2061" s="25"/>
      <c r="I2061" s="25"/>
      <c r="J2061" s="25"/>
      <c r="K2061" s="25"/>
      <c r="L2061" s="25"/>
      <c r="M2061" s="25"/>
      <c r="N2061" s="25"/>
      <c r="O2061" s="25"/>
      <c r="P2061" s="25"/>
      <c r="Q2061" s="25"/>
      <c r="R2061" s="25"/>
      <c r="S2061" s="25"/>
      <c r="T2061" s="14"/>
    </row>
    <row r="2062" spans="1:20" x14ac:dyDescent="0.35">
      <c r="A2062" s="21"/>
      <c r="B2062" s="23"/>
      <c r="C2062" s="26"/>
      <c r="D2062" s="27"/>
      <c r="E2062" s="27"/>
      <c r="F2062" s="28"/>
      <c r="G2062" s="25"/>
      <c r="H2062" s="25"/>
      <c r="I2062" s="25"/>
      <c r="J2062" s="25"/>
      <c r="K2062" s="25"/>
      <c r="L2062" s="25"/>
      <c r="M2062" s="25"/>
      <c r="N2062" s="25"/>
      <c r="O2062" s="25"/>
      <c r="P2062" s="25"/>
      <c r="Q2062" s="25"/>
      <c r="R2062" s="25"/>
      <c r="S2062" s="25"/>
      <c r="T2062" s="14"/>
    </row>
    <row r="2063" spans="1:20" x14ac:dyDescent="0.35">
      <c r="A2063" s="21"/>
      <c r="B2063" s="23"/>
      <c r="C2063" s="26"/>
      <c r="D2063" s="27"/>
      <c r="E2063" s="27"/>
      <c r="F2063" s="28"/>
      <c r="G2063" s="25"/>
      <c r="H2063" s="25"/>
      <c r="I2063" s="25"/>
      <c r="J2063" s="25"/>
      <c r="K2063" s="25"/>
      <c r="L2063" s="25"/>
      <c r="M2063" s="25"/>
      <c r="N2063" s="25"/>
      <c r="O2063" s="25"/>
      <c r="P2063" s="25"/>
      <c r="Q2063" s="25"/>
      <c r="R2063" s="25"/>
      <c r="S2063" s="25"/>
      <c r="T2063" s="14"/>
    </row>
    <row r="2064" spans="1:20" x14ac:dyDescent="0.35">
      <c r="A2064" s="21"/>
      <c r="B2064" s="23"/>
      <c r="C2064" s="26"/>
      <c r="D2064" s="27"/>
      <c r="E2064" s="27"/>
      <c r="F2064" s="28"/>
      <c r="G2064" s="25"/>
      <c r="H2064" s="25"/>
      <c r="I2064" s="25"/>
      <c r="J2064" s="25"/>
      <c r="K2064" s="25"/>
      <c r="L2064" s="25"/>
      <c r="M2064" s="25"/>
      <c r="N2064" s="25"/>
      <c r="O2064" s="25"/>
      <c r="P2064" s="25"/>
      <c r="Q2064" s="25"/>
      <c r="R2064" s="25"/>
      <c r="S2064" s="25"/>
      <c r="T2064" s="14"/>
    </row>
    <row r="2065" spans="1:20" x14ac:dyDescent="0.35">
      <c r="A2065" s="21"/>
      <c r="B2065" s="23"/>
      <c r="C2065" s="26"/>
      <c r="D2065" s="27"/>
      <c r="E2065" s="27"/>
      <c r="F2065" s="28"/>
      <c r="G2065" s="25"/>
      <c r="H2065" s="25"/>
      <c r="I2065" s="25"/>
      <c r="J2065" s="25"/>
      <c r="K2065" s="25"/>
      <c r="L2065" s="25"/>
      <c r="M2065" s="25"/>
      <c r="N2065" s="25"/>
      <c r="O2065" s="25"/>
      <c r="P2065" s="25"/>
      <c r="Q2065" s="25"/>
      <c r="R2065" s="25"/>
      <c r="S2065" s="25"/>
      <c r="T2065" s="14"/>
    </row>
    <row r="2066" spans="1:20" x14ac:dyDescent="0.35">
      <c r="A2066" s="21"/>
      <c r="B2066" s="23"/>
      <c r="C2066" s="26"/>
      <c r="D2066" s="27"/>
      <c r="E2066" s="27"/>
      <c r="F2066" s="28"/>
      <c r="G2066" s="25"/>
      <c r="H2066" s="25"/>
      <c r="I2066" s="25"/>
      <c r="J2066" s="25"/>
      <c r="K2066" s="25"/>
      <c r="L2066" s="25"/>
      <c r="M2066" s="25"/>
      <c r="N2066" s="25"/>
      <c r="O2066" s="25"/>
      <c r="P2066" s="25"/>
      <c r="Q2066" s="25"/>
      <c r="R2066" s="25"/>
      <c r="S2066" s="25"/>
      <c r="T2066" s="22"/>
    </row>
    <row r="2067" spans="1:20" x14ac:dyDescent="0.35">
      <c r="A2067" s="21"/>
      <c r="B2067" s="23"/>
      <c r="C2067" s="26"/>
      <c r="D2067" s="27"/>
      <c r="E2067" s="27"/>
      <c r="F2067" s="28"/>
      <c r="G2067" s="25"/>
      <c r="H2067" s="25"/>
      <c r="I2067" s="25"/>
      <c r="J2067" s="25"/>
      <c r="K2067" s="25"/>
      <c r="L2067" s="25"/>
      <c r="M2067" s="25"/>
      <c r="N2067" s="25"/>
      <c r="O2067" s="25"/>
      <c r="P2067" s="25"/>
      <c r="Q2067" s="25"/>
      <c r="R2067" s="25"/>
      <c r="S2067" s="25"/>
      <c r="T2067" s="22"/>
    </row>
    <row r="2068" spans="1:20" x14ac:dyDescent="0.35">
      <c r="A2068" s="21"/>
      <c r="B2068" s="23"/>
      <c r="C2068" s="26"/>
      <c r="D2068" s="27"/>
      <c r="E2068" s="27"/>
      <c r="F2068" s="28"/>
      <c r="G2068" s="25"/>
      <c r="H2068" s="25"/>
      <c r="I2068" s="25"/>
      <c r="J2068" s="25"/>
      <c r="K2068" s="25"/>
      <c r="L2068" s="25"/>
      <c r="M2068" s="25"/>
      <c r="N2068" s="25"/>
      <c r="O2068" s="25"/>
      <c r="P2068" s="25"/>
      <c r="Q2068" s="25"/>
      <c r="R2068" s="25"/>
      <c r="S2068" s="25"/>
      <c r="T2068" s="22"/>
    </row>
    <row r="2069" spans="1:20" x14ac:dyDescent="0.35">
      <c r="A2069" s="21"/>
      <c r="B2069" s="23"/>
      <c r="C2069" s="26"/>
      <c r="D2069" s="27"/>
      <c r="E2069" s="27"/>
      <c r="F2069" s="28"/>
      <c r="G2069" s="25"/>
      <c r="H2069" s="25"/>
      <c r="I2069" s="25"/>
      <c r="J2069" s="25"/>
      <c r="K2069" s="25"/>
      <c r="L2069" s="25"/>
      <c r="M2069" s="25"/>
      <c r="N2069" s="25"/>
      <c r="O2069" s="25"/>
      <c r="P2069" s="25"/>
      <c r="Q2069" s="25"/>
      <c r="R2069" s="25"/>
      <c r="S2069" s="25"/>
      <c r="T2069" s="22"/>
    </row>
    <row r="2070" spans="1:20" x14ac:dyDescent="0.35">
      <c r="A2070" s="21"/>
      <c r="B2070" s="23"/>
      <c r="C2070" s="26"/>
      <c r="D2070" s="27"/>
      <c r="E2070" s="27"/>
      <c r="F2070" s="28"/>
      <c r="G2070" s="25"/>
      <c r="H2070" s="25"/>
      <c r="I2070" s="25"/>
      <c r="J2070" s="25"/>
      <c r="K2070" s="25"/>
      <c r="L2070" s="25"/>
      <c r="M2070" s="25"/>
      <c r="N2070" s="25"/>
      <c r="O2070" s="25"/>
      <c r="P2070" s="25"/>
      <c r="Q2070" s="25"/>
      <c r="R2070" s="25"/>
      <c r="S2070" s="25"/>
      <c r="T2070" s="22"/>
    </row>
    <row r="2071" spans="1:20" x14ac:dyDescent="0.35">
      <c r="A2071" s="21"/>
      <c r="B2071" s="23"/>
      <c r="C2071" s="26"/>
      <c r="D2071" s="27"/>
      <c r="E2071" s="27"/>
      <c r="F2071" s="28"/>
      <c r="G2071" s="25"/>
      <c r="H2071" s="25"/>
      <c r="I2071" s="25"/>
      <c r="J2071" s="25"/>
      <c r="K2071" s="25"/>
      <c r="L2071" s="25"/>
      <c r="M2071" s="25"/>
      <c r="N2071" s="25"/>
      <c r="O2071" s="25"/>
      <c r="P2071" s="25"/>
      <c r="Q2071" s="25"/>
      <c r="R2071" s="25"/>
      <c r="S2071" s="25"/>
      <c r="T2071" s="22"/>
    </row>
    <row r="2072" spans="1:20" x14ac:dyDescent="0.35">
      <c r="A2072" s="21"/>
      <c r="B2072" s="23"/>
      <c r="C2072" s="26"/>
      <c r="D2072" s="27"/>
      <c r="E2072" s="27"/>
      <c r="F2072" s="28"/>
      <c r="G2072" s="25"/>
      <c r="H2072" s="25"/>
      <c r="I2072" s="25"/>
      <c r="J2072" s="25"/>
      <c r="K2072" s="25"/>
      <c r="L2072" s="25"/>
      <c r="M2072" s="25"/>
      <c r="N2072" s="25"/>
      <c r="O2072" s="25"/>
      <c r="P2072" s="25"/>
      <c r="Q2072" s="25"/>
      <c r="R2072" s="25"/>
      <c r="S2072" s="25"/>
      <c r="T2072" s="22"/>
    </row>
    <row r="2073" spans="1:20" x14ac:dyDescent="0.35">
      <c r="A2073" s="21"/>
      <c r="B2073" s="23"/>
      <c r="C2073" s="26"/>
      <c r="D2073" s="27"/>
      <c r="E2073" s="27"/>
      <c r="F2073" s="28"/>
      <c r="G2073" s="25"/>
      <c r="H2073" s="25"/>
      <c r="I2073" s="25"/>
      <c r="J2073" s="25"/>
      <c r="K2073" s="25"/>
      <c r="L2073" s="25"/>
      <c r="M2073" s="25"/>
      <c r="N2073" s="25"/>
      <c r="O2073" s="25"/>
      <c r="P2073" s="25"/>
      <c r="Q2073" s="25"/>
      <c r="R2073" s="25"/>
      <c r="S2073" s="25"/>
      <c r="T2073" s="22"/>
    </row>
    <row r="2074" spans="1:20" x14ac:dyDescent="0.35">
      <c r="A2074" s="21"/>
      <c r="B2074" s="23"/>
      <c r="C2074" s="26"/>
      <c r="D2074" s="27"/>
      <c r="E2074" s="27"/>
      <c r="F2074" s="28"/>
      <c r="G2074" s="25"/>
      <c r="H2074" s="25"/>
      <c r="I2074" s="25"/>
      <c r="J2074" s="25"/>
      <c r="K2074" s="25"/>
      <c r="L2074" s="25"/>
      <c r="M2074" s="25"/>
      <c r="N2074" s="25"/>
      <c r="O2074" s="25"/>
      <c r="P2074" s="25"/>
      <c r="Q2074" s="25"/>
      <c r="R2074" s="25"/>
      <c r="S2074" s="25"/>
      <c r="T2074" s="22"/>
    </row>
    <row r="2075" spans="1:20" x14ac:dyDescent="0.35">
      <c r="A2075" s="21"/>
      <c r="B2075" s="23"/>
      <c r="C2075" s="26"/>
      <c r="D2075" s="27"/>
      <c r="E2075" s="27"/>
      <c r="F2075" s="28"/>
      <c r="G2075" s="25"/>
      <c r="H2075" s="25"/>
      <c r="I2075" s="25"/>
      <c r="J2075" s="25"/>
      <c r="K2075" s="25"/>
      <c r="L2075" s="25"/>
      <c r="M2075" s="25"/>
      <c r="N2075" s="25"/>
      <c r="O2075" s="25"/>
      <c r="P2075" s="25"/>
      <c r="Q2075" s="25"/>
      <c r="R2075" s="25"/>
      <c r="S2075" s="25"/>
      <c r="T2075" s="22"/>
    </row>
    <row r="2076" spans="1:20" x14ac:dyDescent="0.35">
      <c r="A2076" s="21"/>
      <c r="B2076" s="23"/>
      <c r="C2076" s="26"/>
      <c r="D2076" s="27"/>
      <c r="E2076" s="27"/>
      <c r="F2076" s="28"/>
      <c r="G2076" s="25"/>
      <c r="H2076" s="25"/>
      <c r="I2076" s="25"/>
      <c r="J2076" s="25"/>
      <c r="K2076" s="25"/>
      <c r="L2076" s="25"/>
      <c r="M2076" s="25"/>
      <c r="N2076" s="25"/>
      <c r="O2076" s="25"/>
      <c r="P2076" s="25"/>
      <c r="Q2076" s="25"/>
      <c r="R2076" s="25"/>
      <c r="S2076" s="25"/>
      <c r="T2076" s="22"/>
    </row>
    <row r="2077" spans="1:20" x14ac:dyDescent="0.35">
      <c r="A2077" s="21"/>
      <c r="B2077" s="23"/>
      <c r="C2077" s="26"/>
      <c r="D2077" s="27"/>
      <c r="E2077" s="27"/>
      <c r="F2077" s="28"/>
      <c r="G2077" s="25"/>
      <c r="H2077" s="25"/>
      <c r="I2077" s="25"/>
      <c r="J2077" s="25"/>
      <c r="K2077" s="25"/>
      <c r="L2077" s="25"/>
      <c r="M2077" s="25"/>
      <c r="N2077" s="25"/>
      <c r="O2077" s="25"/>
      <c r="P2077" s="25"/>
      <c r="Q2077" s="25"/>
      <c r="R2077" s="25"/>
      <c r="S2077" s="25"/>
      <c r="T2077" s="22"/>
    </row>
    <row r="2078" spans="1:20" x14ac:dyDescent="0.35">
      <c r="A2078" s="21"/>
      <c r="B2078" s="23"/>
      <c r="C2078" s="26"/>
      <c r="D2078" s="27"/>
      <c r="E2078" s="27"/>
      <c r="F2078" s="28"/>
      <c r="G2078" s="25"/>
      <c r="H2078" s="25"/>
      <c r="I2078" s="25"/>
      <c r="J2078" s="25"/>
      <c r="K2078" s="25"/>
      <c r="L2078" s="25"/>
      <c r="M2078" s="25"/>
      <c r="N2078" s="25"/>
      <c r="O2078" s="25"/>
      <c r="P2078" s="25"/>
      <c r="Q2078" s="25"/>
      <c r="R2078" s="25"/>
      <c r="S2078" s="25"/>
      <c r="T2078" s="22"/>
    </row>
    <row r="2079" spans="1:20" x14ac:dyDescent="0.35">
      <c r="A2079" s="21"/>
      <c r="B2079" s="23"/>
      <c r="C2079" s="26"/>
      <c r="D2079" s="27"/>
      <c r="E2079" s="27"/>
      <c r="F2079" s="28"/>
      <c r="G2079" s="25"/>
      <c r="H2079" s="25"/>
      <c r="I2079" s="25"/>
      <c r="J2079" s="25"/>
      <c r="K2079" s="25"/>
      <c r="L2079" s="25"/>
      <c r="M2079" s="25"/>
      <c r="N2079" s="25"/>
      <c r="O2079" s="25"/>
      <c r="P2079" s="25"/>
      <c r="Q2079" s="25"/>
      <c r="R2079" s="25"/>
      <c r="S2079" s="25"/>
      <c r="T2079" s="22"/>
    </row>
    <row r="2080" spans="1:20" x14ac:dyDescent="0.35">
      <c r="A2080" s="21"/>
      <c r="B2080" s="23"/>
      <c r="C2080" s="26"/>
      <c r="D2080" s="27"/>
      <c r="E2080" s="27"/>
      <c r="F2080" s="28"/>
      <c r="G2080" s="25"/>
      <c r="H2080" s="25"/>
      <c r="I2080" s="25"/>
      <c r="J2080" s="25"/>
      <c r="K2080" s="25"/>
      <c r="L2080" s="25"/>
      <c r="M2080" s="25"/>
      <c r="N2080" s="25"/>
      <c r="O2080" s="25"/>
      <c r="P2080" s="25"/>
      <c r="Q2080" s="25"/>
      <c r="R2080" s="25"/>
      <c r="S2080" s="25"/>
      <c r="T2080" s="22"/>
    </row>
    <row r="2081" spans="1:20" x14ac:dyDescent="0.35">
      <c r="A2081" s="21"/>
      <c r="B2081" s="23"/>
      <c r="C2081" s="26"/>
      <c r="D2081" s="27"/>
      <c r="E2081" s="27"/>
      <c r="F2081" s="28"/>
      <c r="G2081" s="25"/>
      <c r="H2081" s="25"/>
      <c r="I2081" s="25"/>
      <c r="J2081" s="25"/>
      <c r="K2081" s="25"/>
      <c r="L2081" s="25"/>
      <c r="M2081" s="25"/>
      <c r="N2081" s="25"/>
      <c r="O2081" s="25"/>
      <c r="P2081" s="25"/>
      <c r="Q2081" s="25"/>
      <c r="R2081" s="25"/>
      <c r="S2081" s="25"/>
      <c r="T2081" s="22"/>
    </row>
    <row r="2082" spans="1:20" x14ac:dyDescent="0.35">
      <c r="A2082" s="21"/>
      <c r="B2082" s="23"/>
      <c r="C2082" s="26"/>
      <c r="D2082" s="27"/>
      <c r="E2082" s="27"/>
      <c r="F2082" s="28"/>
      <c r="G2082" s="25"/>
      <c r="H2082" s="25"/>
      <c r="I2082" s="25"/>
      <c r="J2082" s="25"/>
      <c r="K2082" s="25"/>
      <c r="L2082" s="25"/>
      <c r="M2082" s="25"/>
      <c r="N2082" s="25"/>
      <c r="O2082" s="25"/>
      <c r="P2082" s="25"/>
      <c r="Q2082" s="25"/>
      <c r="R2082" s="25"/>
      <c r="S2082" s="25"/>
      <c r="T2082" s="14"/>
    </row>
    <row r="2083" spans="1:20" x14ac:dyDescent="0.35">
      <c r="A2083" s="21"/>
      <c r="B2083" s="23"/>
      <c r="C2083" s="26"/>
      <c r="D2083" s="27"/>
      <c r="E2083" s="27"/>
      <c r="F2083" s="28"/>
      <c r="G2083" s="25"/>
      <c r="H2083" s="25"/>
      <c r="I2083" s="25"/>
      <c r="J2083" s="25"/>
      <c r="K2083" s="25"/>
      <c r="L2083" s="25"/>
      <c r="M2083" s="25"/>
      <c r="N2083" s="25"/>
      <c r="O2083" s="25"/>
      <c r="P2083" s="25"/>
      <c r="Q2083" s="25"/>
      <c r="R2083" s="25"/>
      <c r="S2083" s="25"/>
      <c r="T2083" s="14"/>
    </row>
    <row r="2084" spans="1:20" x14ac:dyDescent="0.35">
      <c r="A2084" s="21"/>
      <c r="B2084" s="23"/>
      <c r="C2084" s="26"/>
      <c r="D2084" s="27"/>
      <c r="E2084" s="27"/>
      <c r="F2084" s="28"/>
      <c r="G2084" s="25"/>
      <c r="H2084" s="25"/>
      <c r="I2084" s="25"/>
      <c r="J2084" s="25"/>
      <c r="K2084" s="25"/>
      <c r="L2084" s="25"/>
      <c r="M2084" s="25"/>
      <c r="N2084" s="25"/>
      <c r="O2084" s="25"/>
      <c r="P2084" s="25"/>
      <c r="Q2084" s="25"/>
      <c r="R2084" s="25"/>
      <c r="S2084" s="25"/>
      <c r="T2084" s="14"/>
    </row>
    <row r="2085" spans="1:20" x14ac:dyDescent="0.35">
      <c r="A2085" s="21"/>
      <c r="B2085" s="23"/>
      <c r="C2085" s="26"/>
      <c r="D2085" s="27"/>
      <c r="E2085" s="27"/>
      <c r="F2085" s="28"/>
      <c r="G2085" s="25"/>
      <c r="H2085" s="25"/>
      <c r="I2085" s="25"/>
      <c r="J2085" s="25"/>
      <c r="K2085" s="25"/>
      <c r="L2085" s="25"/>
      <c r="M2085" s="25"/>
      <c r="N2085" s="25"/>
      <c r="O2085" s="25"/>
      <c r="P2085" s="25"/>
      <c r="Q2085" s="25"/>
      <c r="R2085" s="25"/>
      <c r="S2085" s="25"/>
      <c r="T2085" s="14"/>
    </row>
    <row r="2086" spans="1:20" x14ac:dyDescent="0.35">
      <c r="A2086" s="21"/>
      <c r="B2086" s="23"/>
      <c r="C2086" s="26"/>
      <c r="D2086" s="27"/>
      <c r="E2086" s="27"/>
      <c r="F2086" s="28"/>
      <c r="G2086" s="25"/>
      <c r="H2086" s="25"/>
      <c r="I2086" s="25"/>
      <c r="J2086" s="25"/>
      <c r="K2086" s="25"/>
      <c r="L2086" s="25"/>
      <c r="M2086" s="25"/>
      <c r="N2086" s="25"/>
      <c r="O2086" s="25"/>
      <c r="P2086" s="25"/>
      <c r="Q2086" s="25"/>
      <c r="R2086" s="25"/>
      <c r="S2086" s="25"/>
      <c r="T2086" s="14"/>
    </row>
    <row r="2087" spans="1:20" x14ac:dyDescent="0.35">
      <c r="A2087" s="21"/>
      <c r="B2087" s="23"/>
      <c r="C2087" s="26"/>
      <c r="D2087" s="27"/>
      <c r="E2087" s="27"/>
      <c r="F2087" s="28"/>
      <c r="G2087" s="25"/>
      <c r="H2087" s="25"/>
      <c r="I2087" s="25"/>
      <c r="J2087" s="25"/>
      <c r="K2087" s="25"/>
      <c r="L2087" s="25"/>
      <c r="M2087" s="25"/>
      <c r="N2087" s="25"/>
      <c r="O2087" s="25"/>
      <c r="P2087" s="25"/>
      <c r="Q2087" s="25"/>
      <c r="R2087" s="25"/>
      <c r="S2087" s="25"/>
      <c r="T2087" s="14"/>
    </row>
    <row r="2088" spans="1:20" x14ac:dyDescent="0.35">
      <c r="A2088" s="21"/>
      <c r="B2088" s="23"/>
      <c r="C2088" s="26"/>
      <c r="D2088" s="27"/>
      <c r="E2088" s="27"/>
      <c r="F2088" s="28"/>
      <c r="G2088" s="25"/>
      <c r="H2088" s="25"/>
      <c r="I2088" s="25"/>
      <c r="J2088" s="25"/>
      <c r="K2088" s="25"/>
      <c r="L2088" s="25"/>
      <c r="M2088" s="25"/>
      <c r="N2088" s="25"/>
      <c r="O2088" s="25"/>
      <c r="P2088" s="25"/>
      <c r="Q2088" s="25"/>
      <c r="R2088" s="25"/>
      <c r="S2088" s="25"/>
      <c r="T2088" s="14"/>
    </row>
    <row r="2089" spans="1:20" x14ac:dyDescent="0.35">
      <c r="A2089" s="21"/>
      <c r="B2089" s="23"/>
      <c r="C2089" s="26"/>
      <c r="D2089" s="27"/>
      <c r="E2089" s="27"/>
      <c r="F2089" s="28"/>
      <c r="G2089" s="25"/>
      <c r="H2089" s="25"/>
      <c r="I2089" s="25"/>
      <c r="J2089" s="25"/>
      <c r="K2089" s="25"/>
      <c r="L2089" s="25"/>
      <c r="M2089" s="25"/>
      <c r="N2089" s="25"/>
      <c r="O2089" s="25"/>
      <c r="P2089" s="25"/>
      <c r="Q2089" s="25"/>
      <c r="R2089" s="25"/>
      <c r="S2089" s="25"/>
      <c r="T2089" s="22"/>
    </row>
    <row r="2090" spans="1:20" x14ac:dyDescent="0.35">
      <c r="A2090" s="21"/>
      <c r="B2090" s="23"/>
      <c r="C2090" s="26"/>
      <c r="D2090" s="27"/>
      <c r="E2090" s="27"/>
      <c r="F2090" s="28"/>
      <c r="G2090" s="25"/>
      <c r="H2090" s="25"/>
      <c r="I2090" s="25"/>
      <c r="J2090" s="25"/>
      <c r="K2090" s="25"/>
      <c r="L2090" s="25"/>
      <c r="M2090" s="25"/>
      <c r="N2090" s="25"/>
      <c r="O2090" s="25"/>
      <c r="P2090" s="25"/>
      <c r="Q2090" s="25"/>
      <c r="R2090" s="25"/>
      <c r="S2090" s="25"/>
      <c r="T2090" s="22"/>
    </row>
    <row r="2091" spans="1:20" x14ac:dyDescent="0.35">
      <c r="A2091" s="21"/>
      <c r="B2091" s="23"/>
      <c r="C2091" s="26"/>
      <c r="D2091" s="27"/>
      <c r="E2091" s="27"/>
      <c r="F2091" s="28"/>
      <c r="G2091" s="25"/>
      <c r="H2091" s="25"/>
      <c r="I2091" s="25"/>
      <c r="J2091" s="25"/>
      <c r="K2091" s="25"/>
      <c r="L2091" s="25"/>
      <c r="M2091" s="25"/>
      <c r="N2091" s="25"/>
      <c r="O2091" s="25"/>
      <c r="P2091" s="25"/>
      <c r="Q2091" s="25"/>
      <c r="R2091" s="25"/>
      <c r="S2091" s="25"/>
      <c r="T2091" s="22"/>
    </row>
    <row r="2092" spans="1:20" x14ac:dyDescent="0.35">
      <c r="A2092" s="21"/>
      <c r="B2092" s="23"/>
      <c r="C2092" s="26"/>
      <c r="D2092" s="27"/>
      <c r="E2092" s="27"/>
      <c r="F2092" s="28"/>
      <c r="G2092" s="25"/>
      <c r="H2092" s="25"/>
      <c r="I2092" s="25"/>
      <c r="J2092" s="25"/>
      <c r="K2092" s="25"/>
      <c r="L2092" s="25"/>
      <c r="M2092" s="25"/>
      <c r="N2092" s="25"/>
      <c r="O2092" s="25"/>
      <c r="P2092" s="25"/>
      <c r="Q2092" s="25"/>
      <c r="R2092" s="25"/>
      <c r="S2092" s="25"/>
      <c r="T2092" s="22"/>
    </row>
    <row r="2093" spans="1:20" x14ac:dyDescent="0.35">
      <c r="A2093" s="21"/>
      <c r="B2093" s="23"/>
      <c r="C2093" s="26"/>
      <c r="D2093" s="27"/>
      <c r="E2093" s="27"/>
      <c r="F2093" s="28"/>
      <c r="G2093" s="25"/>
      <c r="H2093" s="25"/>
      <c r="I2093" s="25"/>
      <c r="J2093" s="25"/>
      <c r="K2093" s="25"/>
      <c r="L2093" s="25"/>
      <c r="M2093" s="25"/>
      <c r="N2093" s="25"/>
      <c r="O2093" s="25"/>
      <c r="P2093" s="25"/>
      <c r="Q2093" s="25"/>
      <c r="R2093" s="25"/>
      <c r="S2093" s="25"/>
      <c r="T2093" s="22"/>
    </row>
    <row r="2094" spans="1:20" x14ac:dyDescent="0.35">
      <c r="A2094" s="21"/>
      <c r="B2094" s="23"/>
      <c r="C2094" s="26"/>
      <c r="D2094" s="27"/>
      <c r="E2094" s="27"/>
      <c r="F2094" s="28"/>
      <c r="G2094" s="25"/>
      <c r="H2094" s="25"/>
      <c r="I2094" s="25"/>
      <c r="J2094" s="25"/>
      <c r="K2094" s="25"/>
      <c r="L2094" s="25"/>
      <c r="M2094" s="25"/>
      <c r="N2094" s="25"/>
      <c r="O2094" s="25"/>
      <c r="P2094" s="25"/>
      <c r="Q2094" s="25"/>
      <c r="R2094" s="25"/>
      <c r="S2094" s="25"/>
      <c r="T2094" s="22"/>
    </row>
    <row r="2095" spans="1:20" x14ac:dyDescent="0.35">
      <c r="A2095" s="21"/>
      <c r="B2095" s="23"/>
      <c r="C2095" s="26"/>
      <c r="D2095" s="27"/>
      <c r="E2095" s="27"/>
      <c r="F2095" s="28"/>
      <c r="G2095" s="25"/>
      <c r="H2095" s="25"/>
      <c r="I2095" s="25"/>
      <c r="J2095" s="25"/>
      <c r="K2095" s="25"/>
      <c r="L2095" s="25"/>
      <c r="M2095" s="25"/>
      <c r="N2095" s="25"/>
      <c r="O2095" s="25"/>
      <c r="P2095" s="25"/>
      <c r="Q2095" s="25"/>
      <c r="R2095" s="25"/>
      <c r="S2095" s="25"/>
      <c r="T2095" s="22"/>
    </row>
    <row r="2096" spans="1:20" x14ac:dyDescent="0.35">
      <c r="A2096" s="21"/>
      <c r="B2096" s="23"/>
      <c r="C2096" s="26"/>
      <c r="D2096" s="27"/>
      <c r="E2096" s="27"/>
      <c r="F2096" s="28"/>
      <c r="G2096" s="25"/>
      <c r="H2096" s="25"/>
      <c r="I2096" s="25"/>
      <c r="J2096" s="25"/>
      <c r="K2096" s="25"/>
      <c r="L2096" s="25"/>
      <c r="M2096" s="25"/>
      <c r="N2096" s="25"/>
      <c r="O2096" s="25"/>
      <c r="P2096" s="25"/>
      <c r="Q2096" s="25"/>
      <c r="R2096" s="25"/>
      <c r="S2096" s="25"/>
      <c r="T2096" s="22"/>
    </row>
    <row r="2097" spans="1:20" x14ac:dyDescent="0.35">
      <c r="A2097" s="21"/>
      <c r="B2097" s="23"/>
      <c r="C2097" s="26"/>
      <c r="D2097" s="27"/>
      <c r="E2097" s="27"/>
      <c r="F2097" s="28"/>
      <c r="G2097" s="25"/>
      <c r="H2097" s="25"/>
      <c r="I2097" s="25"/>
      <c r="J2097" s="25"/>
      <c r="K2097" s="25"/>
      <c r="L2097" s="25"/>
      <c r="M2097" s="25"/>
      <c r="N2097" s="25"/>
      <c r="O2097" s="25"/>
      <c r="P2097" s="25"/>
      <c r="Q2097" s="25"/>
      <c r="R2097" s="25"/>
      <c r="S2097" s="25"/>
      <c r="T2097" s="22"/>
    </row>
    <row r="2098" spans="1:20" x14ac:dyDescent="0.35">
      <c r="A2098" s="21"/>
      <c r="B2098" s="23"/>
      <c r="C2098" s="26"/>
      <c r="D2098" s="27"/>
      <c r="E2098" s="27"/>
      <c r="F2098" s="28"/>
      <c r="G2098" s="25"/>
      <c r="H2098" s="25"/>
      <c r="I2098" s="25"/>
      <c r="J2098" s="25"/>
      <c r="K2098" s="25"/>
      <c r="L2098" s="25"/>
      <c r="M2098" s="25"/>
      <c r="N2098" s="25"/>
      <c r="O2098" s="25"/>
      <c r="P2098" s="25"/>
      <c r="Q2098" s="25"/>
      <c r="R2098" s="25"/>
      <c r="S2098" s="25"/>
      <c r="T2098" s="14"/>
    </row>
    <row r="2099" spans="1:20" x14ac:dyDescent="0.35">
      <c r="A2099" s="21"/>
      <c r="B2099" s="23"/>
      <c r="C2099" s="26"/>
      <c r="D2099" s="27"/>
      <c r="E2099" s="27"/>
      <c r="F2099" s="28"/>
      <c r="G2099" s="25"/>
      <c r="H2099" s="25"/>
      <c r="I2099" s="25"/>
      <c r="J2099" s="25"/>
      <c r="K2099" s="25"/>
      <c r="L2099" s="25"/>
      <c r="M2099" s="25"/>
      <c r="N2099" s="25"/>
      <c r="O2099" s="25"/>
      <c r="P2099" s="25"/>
      <c r="Q2099" s="25"/>
      <c r="R2099" s="25"/>
      <c r="S2099" s="25"/>
      <c r="T2099" s="14"/>
    </row>
    <row r="2100" spans="1:20" x14ac:dyDescent="0.35">
      <c r="A2100" s="21"/>
      <c r="B2100" s="23"/>
      <c r="C2100" s="26"/>
      <c r="D2100" s="27"/>
      <c r="E2100" s="27"/>
      <c r="F2100" s="28"/>
      <c r="G2100" s="25"/>
      <c r="H2100" s="25"/>
      <c r="I2100" s="25"/>
      <c r="J2100" s="25"/>
      <c r="K2100" s="25"/>
      <c r="L2100" s="25"/>
      <c r="M2100" s="25"/>
      <c r="N2100" s="25"/>
      <c r="O2100" s="25"/>
      <c r="P2100" s="25"/>
      <c r="Q2100" s="25"/>
      <c r="R2100" s="25"/>
      <c r="S2100" s="25"/>
      <c r="T2100" s="14"/>
    </row>
    <row r="2101" spans="1:20" x14ac:dyDescent="0.35">
      <c r="A2101" s="21"/>
      <c r="B2101" s="23"/>
      <c r="C2101" s="26"/>
      <c r="D2101" s="27"/>
      <c r="E2101" s="27"/>
      <c r="F2101" s="28"/>
      <c r="G2101" s="25"/>
      <c r="H2101" s="25"/>
      <c r="I2101" s="25"/>
      <c r="J2101" s="25"/>
      <c r="K2101" s="25"/>
      <c r="L2101" s="25"/>
      <c r="M2101" s="25"/>
      <c r="N2101" s="25"/>
      <c r="O2101" s="25"/>
      <c r="P2101" s="25"/>
      <c r="Q2101" s="25"/>
      <c r="R2101" s="25"/>
      <c r="S2101" s="25"/>
      <c r="T2101" s="14"/>
    </row>
    <row r="2102" spans="1:20" x14ac:dyDescent="0.35">
      <c r="A2102" s="21"/>
      <c r="B2102" s="23"/>
      <c r="C2102" s="26"/>
      <c r="D2102" s="27"/>
      <c r="E2102" s="27"/>
      <c r="F2102" s="28"/>
      <c r="G2102" s="25"/>
      <c r="H2102" s="25"/>
      <c r="I2102" s="25"/>
      <c r="J2102" s="25"/>
      <c r="K2102" s="25"/>
      <c r="L2102" s="25"/>
      <c r="M2102" s="25"/>
      <c r="N2102" s="25"/>
      <c r="O2102" s="25"/>
      <c r="P2102" s="25"/>
      <c r="Q2102" s="25"/>
      <c r="R2102" s="25"/>
      <c r="S2102" s="25"/>
      <c r="T2102" s="14"/>
    </row>
    <row r="2103" spans="1:20" x14ac:dyDescent="0.35">
      <c r="A2103" s="21"/>
      <c r="B2103" s="23"/>
      <c r="C2103" s="26"/>
      <c r="D2103" s="27"/>
      <c r="E2103" s="27"/>
      <c r="F2103" s="28"/>
      <c r="G2103" s="25"/>
      <c r="H2103" s="25"/>
      <c r="I2103" s="25"/>
      <c r="J2103" s="25"/>
      <c r="K2103" s="25"/>
      <c r="L2103" s="25"/>
      <c r="M2103" s="25"/>
      <c r="N2103" s="25"/>
      <c r="O2103" s="25"/>
      <c r="P2103" s="25"/>
      <c r="Q2103" s="25"/>
      <c r="R2103" s="25"/>
      <c r="S2103" s="25"/>
      <c r="T2103" s="14"/>
    </row>
    <row r="2104" spans="1:20" x14ac:dyDescent="0.35">
      <c r="A2104" s="21"/>
      <c r="B2104" s="23"/>
      <c r="C2104" s="26"/>
      <c r="D2104" s="27"/>
      <c r="E2104" s="27"/>
      <c r="F2104" s="28"/>
      <c r="G2104" s="25"/>
      <c r="H2104" s="25"/>
      <c r="I2104" s="25"/>
      <c r="J2104" s="25"/>
      <c r="K2104" s="25"/>
      <c r="L2104" s="25"/>
      <c r="M2104" s="25"/>
      <c r="N2104" s="25"/>
      <c r="O2104" s="25"/>
      <c r="P2104" s="25"/>
      <c r="Q2104" s="25"/>
      <c r="R2104" s="25"/>
      <c r="S2104" s="25"/>
      <c r="T2104" s="14"/>
    </row>
    <row r="2105" spans="1:20" x14ac:dyDescent="0.35">
      <c r="A2105" s="21"/>
      <c r="B2105" s="23"/>
      <c r="C2105" s="26"/>
      <c r="D2105" s="27"/>
      <c r="E2105" s="27"/>
      <c r="F2105" s="28"/>
      <c r="G2105" s="25"/>
      <c r="H2105" s="25"/>
      <c r="I2105" s="25"/>
      <c r="J2105" s="25"/>
      <c r="K2105" s="25"/>
      <c r="L2105" s="25"/>
      <c r="M2105" s="25"/>
      <c r="N2105" s="25"/>
      <c r="O2105" s="25"/>
      <c r="P2105" s="25"/>
      <c r="Q2105" s="25"/>
      <c r="R2105" s="25"/>
      <c r="S2105" s="25"/>
      <c r="T2105" s="14"/>
    </row>
    <row r="2106" spans="1:20" x14ac:dyDescent="0.35">
      <c r="A2106" s="21"/>
      <c r="B2106" s="23"/>
      <c r="C2106" s="26"/>
      <c r="D2106" s="27"/>
      <c r="E2106" s="27"/>
      <c r="F2106" s="28"/>
      <c r="G2106" s="25"/>
      <c r="H2106" s="25"/>
      <c r="I2106" s="25"/>
      <c r="J2106" s="25"/>
      <c r="K2106" s="25"/>
      <c r="L2106" s="25"/>
      <c r="M2106" s="25"/>
      <c r="N2106" s="25"/>
      <c r="O2106" s="25"/>
      <c r="P2106" s="25"/>
      <c r="Q2106" s="25"/>
      <c r="R2106" s="25"/>
      <c r="S2106" s="25"/>
      <c r="T2106" s="14"/>
    </row>
    <row r="2107" spans="1:20" x14ac:dyDescent="0.35">
      <c r="A2107" s="21"/>
      <c r="B2107" s="23"/>
      <c r="C2107" s="26"/>
      <c r="D2107" s="27"/>
      <c r="E2107" s="27"/>
      <c r="F2107" s="28"/>
      <c r="G2107" s="25"/>
      <c r="H2107" s="25"/>
      <c r="I2107" s="25"/>
      <c r="J2107" s="25"/>
      <c r="K2107" s="25"/>
      <c r="L2107" s="25"/>
      <c r="M2107" s="25"/>
      <c r="N2107" s="25"/>
      <c r="O2107" s="25"/>
      <c r="P2107" s="25"/>
      <c r="Q2107" s="25"/>
      <c r="R2107" s="25"/>
      <c r="S2107" s="25"/>
      <c r="T2107" s="14"/>
    </row>
    <row r="2108" spans="1:20" x14ac:dyDescent="0.35">
      <c r="A2108" s="21"/>
      <c r="B2108" s="23"/>
      <c r="C2108" s="26"/>
      <c r="D2108" s="27"/>
      <c r="E2108" s="27"/>
      <c r="F2108" s="28"/>
      <c r="G2108" s="25"/>
      <c r="H2108" s="25"/>
      <c r="I2108" s="25"/>
      <c r="J2108" s="25"/>
      <c r="K2108" s="25"/>
      <c r="L2108" s="25"/>
      <c r="M2108" s="25"/>
      <c r="N2108" s="25"/>
      <c r="O2108" s="25"/>
      <c r="P2108" s="25"/>
      <c r="Q2108" s="25"/>
      <c r="R2108" s="25"/>
      <c r="S2108" s="25"/>
      <c r="T2108" s="14"/>
    </row>
    <row r="2109" spans="1:20" x14ac:dyDescent="0.35">
      <c r="A2109" s="21"/>
      <c r="B2109" s="23"/>
      <c r="C2109" s="26"/>
      <c r="D2109" s="27"/>
      <c r="E2109" s="27"/>
      <c r="F2109" s="28"/>
      <c r="G2109" s="25"/>
      <c r="H2109" s="25"/>
      <c r="I2109" s="25"/>
      <c r="J2109" s="25"/>
      <c r="K2109" s="25"/>
      <c r="L2109" s="25"/>
      <c r="M2109" s="25"/>
      <c r="N2109" s="25"/>
      <c r="O2109" s="25"/>
      <c r="P2109" s="25"/>
      <c r="Q2109" s="25"/>
      <c r="R2109" s="25"/>
      <c r="S2109" s="25"/>
      <c r="T2109" s="14"/>
    </row>
    <row r="2110" spans="1:20" x14ac:dyDescent="0.35">
      <c r="A2110" s="21"/>
      <c r="B2110" s="23"/>
      <c r="C2110" s="26"/>
      <c r="D2110" s="27"/>
      <c r="E2110" s="27"/>
      <c r="F2110" s="28"/>
      <c r="G2110" s="25"/>
      <c r="H2110" s="25"/>
      <c r="I2110" s="25"/>
      <c r="J2110" s="25"/>
      <c r="K2110" s="25"/>
      <c r="L2110" s="25"/>
      <c r="M2110" s="25"/>
      <c r="N2110" s="25"/>
      <c r="O2110" s="25"/>
      <c r="P2110" s="25"/>
      <c r="Q2110" s="25"/>
      <c r="R2110" s="25"/>
      <c r="S2110" s="25"/>
      <c r="T2110" s="14"/>
    </row>
    <row r="2111" spans="1:20" x14ac:dyDescent="0.35">
      <c r="A2111" s="21"/>
      <c r="B2111" s="23"/>
      <c r="C2111" s="26"/>
      <c r="D2111" s="27"/>
      <c r="E2111" s="27"/>
      <c r="F2111" s="28"/>
      <c r="G2111" s="25"/>
      <c r="H2111" s="25"/>
      <c r="I2111" s="25"/>
      <c r="J2111" s="25"/>
      <c r="K2111" s="25"/>
      <c r="L2111" s="25"/>
      <c r="M2111" s="25"/>
      <c r="N2111" s="25"/>
      <c r="O2111" s="25"/>
      <c r="P2111" s="25"/>
      <c r="Q2111" s="25"/>
      <c r="R2111" s="25"/>
      <c r="S2111" s="25"/>
      <c r="T2111" s="14"/>
    </row>
    <row r="2112" spans="1:20" x14ac:dyDescent="0.35">
      <c r="A2112" s="21"/>
      <c r="B2112" s="23"/>
      <c r="C2112" s="26"/>
      <c r="D2112" s="27"/>
      <c r="E2112" s="27"/>
      <c r="F2112" s="28"/>
      <c r="G2112" s="25"/>
      <c r="H2112" s="25"/>
      <c r="I2112" s="25"/>
      <c r="J2112" s="25"/>
      <c r="K2112" s="25"/>
      <c r="L2112" s="25"/>
      <c r="M2112" s="25"/>
      <c r="N2112" s="25"/>
      <c r="O2112" s="25"/>
      <c r="P2112" s="25"/>
      <c r="Q2112" s="25"/>
      <c r="R2112" s="25"/>
      <c r="S2112" s="25"/>
      <c r="T2112" s="14"/>
    </row>
    <row r="2113" spans="1:20" x14ac:dyDescent="0.35">
      <c r="A2113" s="21"/>
      <c r="B2113" s="23"/>
      <c r="C2113" s="26"/>
      <c r="D2113" s="27"/>
      <c r="E2113" s="27"/>
      <c r="F2113" s="28"/>
      <c r="G2113" s="25"/>
      <c r="H2113" s="25"/>
      <c r="I2113" s="25"/>
      <c r="J2113" s="25"/>
      <c r="K2113" s="25"/>
      <c r="L2113" s="25"/>
      <c r="M2113" s="25"/>
      <c r="N2113" s="25"/>
      <c r="O2113" s="25"/>
      <c r="P2113" s="25"/>
      <c r="Q2113" s="25"/>
      <c r="R2113" s="25"/>
      <c r="S2113" s="25"/>
      <c r="T2113" s="22"/>
    </row>
    <row r="2114" spans="1:20" x14ac:dyDescent="0.35">
      <c r="A2114" s="21"/>
      <c r="B2114" s="23"/>
      <c r="C2114" s="26"/>
      <c r="D2114" s="27"/>
      <c r="E2114" s="27"/>
      <c r="F2114" s="28"/>
      <c r="G2114" s="25"/>
      <c r="H2114" s="25"/>
      <c r="I2114" s="25"/>
      <c r="J2114" s="25"/>
      <c r="K2114" s="25"/>
      <c r="L2114" s="25"/>
      <c r="M2114" s="25"/>
      <c r="N2114" s="25"/>
      <c r="O2114" s="25"/>
      <c r="P2114" s="25"/>
      <c r="Q2114" s="25"/>
      <c r="R2114" s="25"/>
      <c r="S2114" s="25"/>
      <c r="T2114" s="22"/>
    </row>
    <row r="2115" spans="1:20" x14ac:dyDescent="0.35">
      <c r="A2115" s="21"/>
      <c r="B2115" s="23"/>
      <c r="C2115" s="26"/>
      <c r="D2115" s="27"/>
      <c r="E2115" s="27"/>
      <c r="F2115" s="28"/>
      <c r="G2115" s="25"/>
      <c r="H2115" s="25"/>
      <c r="I2115" s="25"/>
      <c r="J2115" s="25"/>
      <c r="K2115" s="25"/>
      <c r="L2115" s="25"/>
      <c r="M2115" s="25"/>
      <c r="N2115" s="25"/>
      <c r="O2115" s="25"/>
      <c r="P2115" s="25"/>
      <c r="Q2115" s="25"/>
      <c r="R2115" s="25"/>
      <c r="S2115" s="25"/>
      <c r="T2115" s="22"/>
    </row>
    <row r="2116" spans="1:20" x14ac:dyDescent="0.35">
      <c r="A2116" s="21"/>
      <c r="B2116" s="23"/>
      <c r="C2116" s="26"/>
      <c r="D2116" s="27"/>
      <c r="E2116" s="27"/>
      <c r="F2116" s="28"/>
      <c r="G2116" s="25"/>
      <c r="H2116" s="25"/>
      <c r="I2116" s="25"/>
      <c r="J2116" s="25"/>
      <c r="K2116" s="25"/>
      <c r="L2116" s="25"/>
      <c r="M2116" s="25"/>
      <c r="N2116" s="25"/>
      <c r="O2116" s="25"/>
      <c r="P2116" s="25"/>
      <c r="Q2116" s="25"/>
      <c r="R2116" s="25"/>
      <c r="S2116" s="25"/>
      <c r="T2116" s="22"/>
    </row>
    <row r="2117" spans="1:20" x14ac:dyDescent="0.35">
      <c r="A2117" s="21"/>
      <c r="B2117" s="23"/>
      <c r="C2117" s="26"/>
      <c r="D2117" s="27"/>
      <c r="E2117" s="27"/>
      <c r="F2117" s="28"/>
      <c r="G2117" s="25"/>
      <c r="H2117" s="25"/>
      <c r="I2117" s="25"/>
      <c r="J2117" s="25"/>
      <c r="K2117" s="25"/>
      <c r="L2117" s="25"/>
      <c r="M2117" s="25"/>
      <c r="N2117" s="25"/>
      <c r="O2117" s="25"/>
      <c r="P2117" s="25"/>
      <c r="Q2117" s="25"/>
      <c r="R2117" s="25"/>
      <c r="S2117" s="25"/>
      <c r="T2117" s="22"/>
    </row>
    <row r="2118" spans="1:20" x14ac:dyDescent="0.35">
      <c r="A2118" s="21"/>
      <c r="B2118" s="23"/>
      <c r="C2118" s="26"/>
      <c r="D2118" s="27"/>
      <c r="E2118" s="27"/>
      <c r="F2118" s="28"/>
      <c r="G2118" s="25"/>
      <c r="H2118" s="25"/>
      <c r="I2118" s="25"/>
      <c r="J2118" s="25"/>
      <c r="K2118" s="25"/>
      <c r="L2118" s="25"/>
      <c r="M2118" s="25"/>
      <c r="N2118" s="25"/>
      <c r="O2118" s="25"/>
      <c r="P2118" s="25"/>
      <c r="Q2118" s="25"/>
      <c r="R2118" s="25"/>
      <c r="S2118" s="25"/>
      <c r="T2118" s="22"/>
    </row>
    <row r="2119" spans="1:20" x14ac:dyDescent="0.35">
      <c r="A2119" s="15"/>
      <c r="B2119" s="23"/>
      <c r="C2119" s="26"/>
      <c r="D2119" s="27"/>
      <c r="E2119" s="27"/>
      <c r="F2119" s="28"/>
      <c r="G2119" s="25"/>
      <c r="H2119" s="25"/>
      <c r="I2119" s="25"/>
      <c r="J2119" s="25"/>
      <c r="K2119" s="25"/>
      <c r="L2119" s="25"/>
      <c r="M2119" s="25"/>
      <c r="N2119" s="25"/>
      <c r="O2119" s="25"/>
      <c r="P2119" s="25"/>
      <c r="Q2119" s="25"/>
      <c r="R2119" s="25"/>
      <c r="S2119" s="25"/>
      <c r="T2119" s="22"/>
    </row>
    <row r="2120" spans="1:20" x14ac:dyDescent="0.35">
      <c r="A2120" s="15"/>
      <c r="B2120" s="23"/>
      <c r="C2120" s="26"/>
      <c r="D2120" s="27"/>
      <c r="E2120" s="27"/>
      <c r="F2120" s="28"/>
      <c r="G2120" s="25"/>
      <c r="H2120" s="25"/>
      <c r="I2120" s="25"/>
      <c r="J2120" s="25"/>
      <c r="K2120" s="25"/>
      <c r="L2120" s="25"/>
      <c r="M2120" s="25"/>
      <c r="N2120" s="25"/>
      <c r="O2120" s="25"/>
      <c r="P2120" s="25"/>
      <c r="Q2120" s="25"/>
      <c r="R2120" s="25"/>
      <c r="S2120" s="25"/>
      <c r="T2120" s="22"/>
    </row>
    <row r="2121" spans="1:20" x14ac:dyDescent="0.35">
      <c r="A2121" s="15"/>
      <c r="B2121" s="23"/>
      <c r="C2121" s="26"/>
      <c r="D2121" s="27"/>
      <c r="E2121" s="27"/>
      <c r="F2121" s="28"/>
      <c r="G2121" s="25"/>
      <c r="H2121" s="25"/>
      <c r="I2121" s="25"/>
      <c r="J2121" s="25"/>
      <c r="K2121" s="25"/>
      <c r="L2121" s="25"/>
      <c r="M2121" s="25"/>
      <c r="N2121" s="25"/>
      <c r="O2121" s="25"/>
      <c r="P2121" s="25"/>
      <c r="Q2121" s="25"/>
      <c r="R2121" s="25"/>
      <c r="S2121" s="25"/>
      <c r="T2121" s="22"/>
    </row>
    <row r="2122" spans="1:20" x14ac:dyDescent="0.35">
      <c r="A2122" s="15"/>
      <c r="B2122" s="23"/>
      <c r="C2122" s="26"/>
      <c r="D2122" s="27"/>
      <c r="E2122" s="27"/>
      <c r="F2122" s="28"/>
      <c r="G2122" s="25"/>
      <c r="H2122" s="25"/>
      <c r="I2122" s="25"/>
      <c r="J2122" s="25"/>
      <c r="K2122" s="25"/>
      <c r="L2122" s="25"/>
      <c r="M2122" s="25"/>
      <c r="N2122" s="25"/>
      <c r="O2122" s="25"/>
      <c r="P2122" s="25"/>
      <c r="Q2122" s="25"/>
      <c r="R2122" s="25"/>
      <c r="S2122" s="25"/>
      <c r="T2122" s="22"/>
    </row>
    <row r="2123" spans="1:20" x14ac:dyDescent="0.35">
      <c r="A2123" s="15"/>
      <c r="B2123" s="23"/>
      <c r="C2123" s="26"/>
      <c r="D2123" s="27"/>
      <c r="E2123" s="27"/>
      <c r="F2123" s="28"/>
      <c r="G2123" s="25"/>
      <c r="H2123" s="25"/>
      <c r="I2123" s="25"/>
      <c r="J2123" s="25"/>
      <c r="K2123" s="25"/>
      <c r="L2123" s="25"/>
      <c r="M2123" s="25"/>
      <c r="N2123" s="25"/>
      <c r="O2123" s="25"/>
      <c r="P2123" s="25"/>
      <c r="Q2123" s="25"/>
      <c r="R2123" s="25"/>
      <c r="S2123" s="25"/>
      <c r="T2123" s="22"/>
    </row>
    <row r="2124" spans="1:20" x14ac:dyDescent="0.35">
      <c r="A2124" s="15"/>
      <c r="B2124" s="23"/>
      <c r="C2124" s="26"/>
      <c r="D2124" s="27"/>
      <c r="E2124" s="27"/>
      <c r="F2124" s="28"/>
      <c r="G2124" s="25"/>
      <c r="H2124" s="25"/>
      <c r="I2124" s="25"/>
      <c r="J2124" s="25"/>
      <c r="K2124" s="25"/>
      <c r="L2124" s="25"/>
      <c r="M2124" s="25"/>
      <c r="N2124" s="25"/>
      <c r="O2124" s="25"/>
      <c r="P2124" s="25"/>
      <c r="Q2124" s="25"/>
      <c r="R2124" s="25"/>
      <c r="S2124" s="25"/>
      <c r="T2124" s="22"/>
    </row>
    <row r="2125" spans="1:20" x14ac:dyDescent="0.35">
      <c r="A2125" s="15"/>
      <c r="B2125" s="23"/>
      <c r="C2125" s="26"/>
      <c r="D2125" s="27"/>
      <c r="E2125" s="27"/>
      <c r="F2125" s="28"/>
      <c r="G2125" s="25"/>
      <c r="H2125" s="25"/>
      <c r="I2125" s="25"/>
      <c r="J2125" s="25"/>
      <c r="K2125" s="25"/>
      <c r="L2125" s="25"/>
      <c r="M2125" s="25"/>
      <c r="N2125" s="25"/>
      <c r="O2125" s="25"/>
      <c r="P2125" s="25"/>
      <c r="Q2125" s="25"/>
      <c r="R2125" s="25"/>
      <c r="S2125" s="25"/>
      <c r="T2125" s="22"/>
    </row>
    <row r="2126" spans="1:20" x14ac:dyDescent="0.35">
      <c r="A2126" s="15"/>
      <c r="B2126" s="23"/>
      <c r="C2126" s="26"/>
      <c r="D2126" s="27"/>
      <c r="E2126" s="27"/>
      <c r="F2126" s="28"/>
      <c r="G2126" s="25"/>
      <c r="H2126" s="25"/>
      <c r="I2126" s="25"/>
      <c r="J2126" s="25"/>
      <c r="K2126" s="25"/>
      <c r="L2126" s="25"/>
      <c r="M2126" s="25"/>
      <c r="N2126" s="25"/>
      <c r="O2126" s="25"/>
      <c r="P2126" s="25"/>
      <c r="Q2126" s="25"/>
      <c r="R2126" s="25"/>
      <c r="S2126" s="25"/>
      <c r="T2126" s="22"/>
    </row>
    <row r="2127" spans="1:20" x14ac:dyDescent="0.35">
      <c r="A2127" s="15"/>
      <c r="B2127" s="23"/>
      <c r="C2127" s="26"/>
      <c r="D2127" s="27"/>
      <c r="E2127" s="27"/>
      <c r="F2127" s="28"/>
      <c r="G2127" s="25"/>
      <c r="H2127" s="25"/>
      <c r="I2127" s="25"/>
      <c r="J2127" s="25"/>
      <c r="K2127" s="25"/>
      <c r="L2127" s="25"/>
      <c r="M2127" s="25"/>
      <c r="N2127" s="25"/>
      <c r="O2127" s="25"/>
      <c r="P2127" s="25"/>
      <c r="Q2127" s="25"/>
      <c r="R2127" s="25"/>
      <c r="S2127" s="25"/>
      <c r="T2127" s="22"/>
    </row>
    <row r="2128" spans="1:20" x14ac:dyDescent="0.35">
      <c r="A2128" s="15"/>
      <c r="B2128" s="23"/>
      <c r="C2128" s="26"/>
      <c r="D2128" s="27"/>
      <c r="E2128" s="27"/>
      <c r="F2128" s="28"/>
      <c r="G2128" s="25"/>
      <c r="H2128" s="25"/>
      <c r="I2128" s="25"/>
      <c r="J2128" s="25"/>
      <c r="K2128" s="25"/>
      <c r="L2128" s="25"/>
      <c r="M2128" s="25"/>
      <c r="N2128" s="25"/>
      <c r="O2128" s="25"/>
      <c r="P2128" s="25"/>
      <c r="Q2128" s="25"/>
      <c r="R2128" s="25"/>
      <c r="S2128" s="25"/>
      <c r="T2128" s="22"/>
    </row>
    <row r="2129" spans="1:20" x14ac:dyDescent="0.35">
      <c r="A2129" s="15"/>
      <c r="B2129" s="23"/>
      <c r="C2129" s="26"/>
      <c r="D2129" s="27"/>
      <c r="E2129" s="27"/>
      <c r="F2129" s="28"/>
      <c r="G2129" s="25"/>
      <c r="H2129" s="25"/>
      <c r="I2129" s="25"/>
      <c r="J2129" s="25"/>
      <c r="K2129" s="25"/>
      <c r="L2129" s="25"/>
      <c r="M2129" s="25"/>
      <c r="N2129" s="25"/>
      <c r="O2129" s="25"/>
      <c r="P2129" s="25"/>
      <c r="Q2129" s="25"/>
      <c r="R2129" s="25"/>
      <c r="S2129" s="25"/>
      <c r="T2129" s="14"/>
    </row>
    <row r="2130" spans="1:20" x14ac:dyDescent="0.35">
      <c r="A2130" s="15"/>
      <c r="B2130" s="23"/>
      <c r="C2130" s="26"/>
      <c r="D2130" s="27"/>
      <c r="E2130" s="27"/>
      <c r="F2130" s="28"/>
      <c r="G2130" s="25"/>
      <c r="H2130" s="25"/>
      <c r="I2130" s="25"/>
      <c r="J2130" s="25"/>
      <c r="K2130" s="25"/>
      <c r="L2130" s="25"/>
      <c r="M2130" s="25"/>
      <c r="N2130" s="25"/>
      <c r="O2130" s="25"/>
      <c r="P2130" s="25"/>
      <c r="Q2130" s="25"/>
      <c r="R2130" s="25"/>
      <c r="S2130" s="25"/>
      <c r="T2130" s="14"/>
    </row>
    <row r="2131" spans="1:20" x14ac:dyDescent="0.35">
      <c r="A2131" s="15"/>
      <c r="B2131" s="23"/>
      <c r="C2131" s="26"/>
      <c r="D2131" s="27"/>
      <c r="E2131" s="27"/>
      <c r="F2131" s="28"/>
      <c r="G2131" s="25"/>
      <c r="H2131" s="25"/>
      <c r="I2131" s="25"/>
      <c r="J2131" s="25"/>
      <c r="K2131" s="25"/>
      <c r="L2131" s="25"/>
      <c r="M2131" s="25"/>
      <c r="N2131" s="25"/>
      <c r="O2131" s="25"/>
      <c r="P2131" s="25"/>
      <c r="Q2131" s="25"/>
      <c r="R2131" s="25"/>
      <c r="S2131" s="25"/>
      <c r="T2131" s="14"/>
    </row>
    <row r="2132" spans="1:20" x14ac:dyDescent="0.35">
      <c r="A2132" s="15"/>
      <c r="B2132" s="23"/>
      <c r="C2132" s="26"/>
      <c r="D2132" s="27"/>
      <c r="E2132" s="27"/>
      <c r="F2132" s="28"/>
      <c r="G2132" s="25"/>
      <c r="H2132" s="25"/>
      <c r="I2132" s="25"/>
      <c r="J2132" s="25"/>
      <c r="K2132" s="25"/>
      <c r="L2132" s="25"/>
      <c r="M2132" s="25"/>
      <c r="N2132" s="25"/>
      <c r="O2132" s="25"/>
      <c r="P2132" s="25"/>
      <c r="Q2132" s="25"/>
      <c r="R2132" s="25"/>
      <c r="S2132" s="25"/>
      <c r="T2132" s="14"/>
    </row>
    <row r="2133" spans="1:20" x14ac:dyDescent="0.35">
      <c r="A2133" s="15"/>
      <c r="B2133" s="23"/>
      <c r="C2133" s="26"/>
      <c r="D2133" s="27"/>
      <c r="E2133" s="27"/>
      <c r="F2133" s="28"/>
      <c r="G2133" s="25"/>
      <c r="H2133" s="25"/>
      <c r="I2133" s="25"/>
      <c r="J2133" s="25"/>
      <c r="K2133" s="25"/>
      <c r="L2133" s="25"/>
      <c r="M2133" s="25"/>
      <c r="N2133" s="25"/>
      <c r="O2133" s="25"/>
      <c r="P2133" s="25"/>
      <c r="Q2133" s="25"/>
      <c r="R2133" s="25"/>
      <c r="S2133" s="25"/>
      <c r="T2133" s="14"/>
    </row>
    <row r="2134" spans="1:20" x14ac:dyDescent="0.35">
      <c r="A2134" s="15"/>
      <c r="B2134" s="23"/>
      <c r="C2134" s="26"/>
      <c r="D2134" s="27"/>
      <c r="E2134" s="27"/>
      <c r="F2134" s="28"/>
      <c r="G2134" s="25"/>
      <c r="H2134" s="25"/>
      <c r="I2134" s="25"/>
      <c r="J2134" s="25"/>
      <c r="K2134" s="25"/>
      <c r="L2134" s="25"/>
      <c r="M2134" s="25"/>
      <c r="N2134" s="25"/>
      <c r="O2134" s="25"/>
      <c r="P2134" s="25"/>
      <c r="Q2134" s="25"/>
      <c r="R2134" s="25"/>
      <c r="S2134" s="25"/>
      <c r="T2134" s="14"/>
    </row>
    <row r="2135" spans="1:20" x14ac:dyDescent="0.35">
      <c r="A2135" s="15"/>
      <c r="B2135" s="23"/>
      <c r="C2135" s="26"/>
      <c r="D2135" s="27"/>
      <c r="E2135" s="27"/>
      <c r="F2135" s="28"/>
      <c r="G2135" s="25"/>
      <c r="H2135" s="25"/>
      <c r="I2135" s="25"/>
      <c r="J2135" s="25"/>
      <c r="K2135" s="25"/>
      <c r="L2135" s="25"/>
      <c r="M2135" s="25"/>
      <c r="N2135" s="25"/>
      <c r="O2135" s="25"/>
      <c r="P2135" s="25"/>
      <c r="Q2135" s="25"/>
      <c r="R2135" s="25"/>
      <c r="S2135" s="25"/>
      <c r="T2135" s="14"/>
    </row>
    <row r="2136" spans="1:20" x14ac:dyDescent="0.35">
      <c r="A2136" s="15"/>
      <c r="B2136" s="23"/>
      <c r="C2136" s="26"/>
      <c r="D2136" s="27"/>
      <c r="E2136" s="27"/>
      <c r="F2136" s="28"/>
      <c r="G2136" s="25"/>
      <c r="H2136" s="25"/>
      <c r="I2136" s="25"/>
      <c r="J2136" s="25"/>
      <c r="K2136" s="25"/>
      <c r="L2136" s="25"/>
      <c r="M2136" s="25"/>
      <c r="N2136" s="25"/>
      <c r="O2136" s="25"/>
      <c r="P2136" s="25"/>
      <c r="Q2136" s="25"/>
      <c r="R2136" s="25"/>
      <c r="S2136" s="25"/>
      <c r="T2136" s="22"/>
    </row>
    <row r="2137" spans="1:20" x14ac:dyDescent="0.35">
      <c r="A2137" s="15"/>
      <c r="B2137" s="23"/>
      <c r="C2137" s="26"/>
      <c r="D2137" s="27"/>
      <c r="E2137" s="27"/>
      <c r="F2137" s="28"/>
      <c r="G2137" s="25"/>
      <c r="H2137" s="25"/>
      <c r="I2137" s="25"/>
      <c r="J2137" s="25"/>
      <c r="K2137" s="25"/>
      <c r="L2137" s="25"/>
      <c r="M2137" s="25"/>
      <c r="N2137" s="25"/>
      <c r="O2137" s="25"/>
      <c r="P2137" s="25"/>
      <c r="Q2137" s="25"/>
      <c r="R2137" s="25"/>
      <c r="S2137" s="25"/>
      <c r="T2137" s="22"/>
    </row>
    <row r="2138" spans="1:20" x14ac:dyDescent="0.35">
      <c r="A2138" s="15"/>
      <c r="B2138" s="23"/>
      <c r="C2138" s="26"/>
      <c r="D2138" s="27"/>
      <c r="E2138" s="27"/>
      <c r="F2138" s="28"/>
      <c r="G2138" s="25"/>
      <c r="H2138" s="25"/>
      <c r="I2138" s="25"/>
      <c r="J2138" s="25"/>
      <c r="K2138" s="25"/>
      <c r="L2138" s="25"/>
      <c r="M2138" s="25"/>
      <c r="N2138" s="25"/>
      <c r="O2138" s="25"/>
      <c r="P2138" s="25"/>
      <c r="Q2138" s="25"/>
      <c r="R2138" s="25"/>
      <c r="S2138" s="25"/>
      <c r="T2138" s="22"/>
    </row>
    <row r="2139" spans="1:20" x14ac:dyDescent="0.35">
      <c r="A2139" s="15"/>
      <c r="B2139" s="23"/>
      <c r="C2139" s="26"/>
      <c r="D2139" s="27"/>
      <c r="E2139" s="27"/>
      <c r="F2139" s="28"/>
      <c r="G2139" s="25"/>
      <c r="H2139" s="25"/>
      <c r="I2139" s="25"/>
      <c r="J2139" s="25"/>
      <c r="K2139" s="25"/>
      <c r="L2139" s="25"/>
      <c r="M2139" s="25"/>
      <c r="N2139" s="25"/>
      <c r="O2139" s="25"/>
      <c r="P2139" s="25"/>
      <c r="Q2139" s="25"/>
      <c r="R2139" s="25"/>
      <c r="S2139" s="25"/>
      <c r="T2139" s="22"/>
    </row>
    <row r="2140" spans="1:20" x14ac:dyDescent="0.35">
      <c r="A2140" s="15"/>
      <c r="B2140" s="23"/>
      <c r="C2140" s="26"/>
      <c r="D2140" s="27"/>
      <c r="E2140" s="27"/>
      <c r="F2140" s="28"/>
      <c r="G2140" s="25"/>
      <c r="H2140" s="25"/>
      <c r="I2140" s="25"/>
      <c r="J2140" s="25"/>
      <c r="K2140" s="25"/>
      <c r="L2140" s="25"/>
      <c r="M2140" s="25"/>
      <c r="N2140" s="25"/>
      <c r="O2140" s="25"/>
      <c r="P2140" s="25"/>
      <c r="Q2140" s="25"/>
      <c r="R2140" s="25"/>
      <c r="S2140" s="25"/>
      <c r="T2140" s="22"/>
    </row>
    <row r="2141" spans="1:20" x14ac:dyDescent="0.35">
      <c r="A2141" s="15"/>
      <c r="B2141" s="23"/>
      <c r="C2141" s="26"/>
      <c r="D2141" s="27"/>
      <c r="E2141" s="27"/>
      <c r="F2141" s="28"/>
      <c r="G2141" s="25"/>
      <c r="H2141" s="25"/>
      <c r="I2141" s="25"/>
      <c r="J2141" s="25"/>
      <c r="K2141" s="25"/>
      <c r="L2141" s="25"/>
      <c r="M2141" s="25"/>
      <c r="N2141" s="25"/>
      <c r="O2141" s="25"/>
      <c r="P2141" s="25"/>
      <c r="Q2141" s="25"/>
      <c r="R2141" s="25"/>
      <c r="S2141" s="25"/>
      <c r="T2141" s="22"/>
    </row>
    <row r="2142" spans="1:20" x14ac:dyDescent="0.35">
      <c r="A2142" s="15"/>
      <c r="B2142" s="23"/>
      <c r="C2142" s="26"/>
      <c r="D2142" s="27"/>
      <c r="E2142" s="27"/>
      <c r="F2142" s="28"/>
      <c r="G2142" s="25"/>
      <c r="H2142" s="25"/>
      <c r="I2142" s="25"/>
      <c r="J2142" s="25"/>
      <c r="K2142" s="25"/>
      <c r="L2142" s="25"/>
      <c r="M2142" s="25"/>
      <c r="N2142" s="25"/>
      <c r="O2142" s="25"/>
      <c r="P2142" s="25"/>
      <c r="Q2142" s="25"/>
      <c r="R2142" s="25"/>
      <c r="S2142" s="25"/>
      <c r="T2142" s="22"/>
    </row>
    <row r="2143" spans="1:20" x14ac:dyDescent="0.35">
      <c r="A2143" s="15"/>
      <c r="B2143" s="23"/>
      <c r="C2143" s="26"/>
      <c r="D2143" s="27"/>
      <c r="E2143" s="27"/>
      <c r="F2143" s="28"/>
      <c r="G2143" s="25"/>
      <c r="H2143" s="25"/>
      <c r="I2143" s="25"/>
      <c r="J2143" s="25"/>
      <c r="K2143" s="25"/>
      <c r="L2143" s="25"/>
      <c r="M2143" s="25"/>
      <c r="N2143" s="25"/>
      <c r="O2143" s="25"/>
      <c r="P2143" s="25"/>
      <c r="Q2143" s="25"/>
      <c r="R2143" s="25"/>
      <c r="S2143" s="25"/>
      <c r="T2143" s="22"/>
    </row>
    <row r="2144" spans="1:20" x14ac:dyDescent="0.35">
      <c r="A2144" s="15"/>
      <c r="B2144" s="23"/>
      <c r="C2144" s="26"/>
      <c r="D2144" s="27"/>
      <c r="E2144" s="27"/>
      <c r="F2144" s="28"/>
      <c r="G2144" s="25"/>
      <c r="H2144" s="25"/>
      <c r="I2144" s="25"/>
      <c r="J2144" s="25"/>
      <c r="K2144" s="25"/>
      <c r="L2144" s="25"/>
      <c r="M2144" s="25"/>
      <c r="N2144" s="25"/>
      <c r="O2144" s="25"/>
      <c r="P2144" s="25"/>
      <c r="Q2144" s="25"/>
      <c r="R2144" s="25"/>
      <c r="S2144" s="25"/>
      <c r="T2144" s="22"/>
    </row>
    <row r="2145" spans="1:20" x14ac:dyDescent="0.35">
      <c r="A2145" s="15"/>
      <c r="B2145" s="23"/>
      <c r="C2145" s="26"/>
      <c r="D2145" s="27"/>
      <c r="E2145" s="27"/>
      <c r="F2145" s="28"/>
      <c r="G2145" s="25"/>
      <c r="H2145" s="25"/>
      <c r="I2145" s="25"/>
      <c r="J2145" s="25"/>
      <c r="K2145" s="25"/>
      <c r="L2145" s="25"/>
      <c r="M2145" s="25"/>
      <c r="N2145" s="25"/>
      <c r="O2145" s="25"/>
      <c r="P2145" s="25"/>
      <c r="Q2145" s="25"/>
      <c r="R2145" s="25"/>
      <c r="S2145" s="25"/>
      <c r="T2145" s="14"/>
    </row>
    <row r="2146" spans="1:20" x14ac:dyDescent="0.35">
      <c r="A2146" s="15"/>
      <c r="B2146" s="23"/>
      <c r="C2146" s="26"/>
      <c r="D2146" s="27"/>
      <c r="E2146" s="27"/>
      <c r="F2146" s="28"/>
      <c r="G2146" s="25"/>
      <c r="H2146" s="25"/>
      <c r="I2146" s="25"/>
      <c r="J2146" s="25"/>
      <c r="K2146" s="25"/>
      <c r="L2146" s="25"/>
      <c r="M2146" s="25"/>
      <c r="N2146" s="25"/>
      <c r="O2146" s="25"/>
      <c r="P2146" s="25"/>
      <c r="Q2146" s="25"/>
      <c r="R2146" s="25"/>
      <c r="S2146" s="25"/>
      <c r="T2146" s="14"/>
    </row>
    <row r="2147" spans="1:20" x14ac:dyDescent="0.35">
      <c r="A2147" s="15"/>
      <c r="B2147" s="23"/>
      <c r="C2147" s="26"/>
      <c r="D2147" s="27"/>
      <c r="E2147" s="27"/>
      <c r="F2147" s="28"/>
      <c r="G2147" s="25"/>
      <c r="H2147" s="25"/>
      <c r="I2147" s="25"/>
      <c r="J2147" s="25"/>
      <c r="K2147" s="25"/>
      <c r="L2147" s="25"/>
      <c r="M2147" s="25"/>
      <c r="N2147" s="25"/>
      <c r="O2147" s="25"/>
      <c r="P2147" s="25"/>
      <c r="Q2147" s="25"/>
      <c r="R2147" s="25"/>
      <c r="S2147" s="25"/>
      <c r="T2147" s="14"/>
    </row>
    <row r="2148" spans="1:20" x14ac:dyDescent="0.35">
      <c r="A2148" s="15"/>
      <c r="B2148" s="23"/>
      <c r="C2148" s="26"/>
      <c r="D2148" s="27"/>
      <c r="E2148" s="27"/>
      <c r="F2148" s="28"/>
      <c r="G2148" s="25"/>
      <c r="H2148" s="25"/>
      <c r="I2148" s="25"/>
      <c r="J2148" s="25"/>
      <c r="K2148" s="25"/>
      <c r="L2148" s="25"/>
      <c r="M2148" s="25"/>
      <c r="N2148" s="25"/>
      <c r="O2148" s="25"/>
      <c r="P2148" s="25"/>
      <c r="Q2148" s="25"/>
      <c r="R2148" s="25"/>
      <c r="S2148" s="25"/>
      <c r="T2148" s="14"/>
    </row>
    <row r="2149" spans="1:20" x14ac:dyDescent="0.35">
      <c r="A2149" s="15"/>
      <c r="B2149" s="23"/>
      <c r="C2149" s="26"/>
      <c r="D2149" s="27"/>
      <c r="E2149" s="27"/>
      <c r="F2149" s="28"/>
      <c r="G2149" s="25"/>
      <c r="H2149" s="25"/>
      <c r="I2149" s="25"/>
      <c r="J2149" s="25"/>
      <c r="K2149" s="25"/>
      <c r="L2149" s="25"/>
      <c r="M2149" s="25"/>
      <c r="N2149" s="25"/>
      <c r="O2149" s="25"/>
      <c r="P2149" s="25"/>
      <c r="Q2149" s="25"/>
      <c r="R2149" s="25"/>
      <c r="S2149" s="25"/>
      <c r="T2149" s="14"/>
    </row>
    <row r="2150" spans="1:20" x14ac:dyDescent="0.35">
      <c r="A2150" s="15"/>
      <c r="B2150" s="23"/>
      <c r="C2150" s="26"/>
      <c r="D2150" s="27"/>
      <c r="E2150" s="27"/>
      <c r="F2150" s="28"/>
      <c r="G2150" s="25"/>
      <c r="H2150" s="25"/>
      <c r="I2150" s="25"/>
      <c r="J2150" s="25"/>
      <c r="K2150" s="25"/>
      <c r="L2150" s="25"/>
      <c r="M2150" s="25"/>
      <c r="N2150" s="25"/>
      <c r="O2150" s="25"/>
      <c r="P2150" s="25"/>
      <c r="Q2150" s="25"/>
      <c r="R2150" s="25"/>
      <c r="S2150" s="25"/>
      <c r="T2150" s="14"/>
    </row>
    <row r="2151" spans="1:20" x14ac:dyDescent="0.35">
      <c r="A2151" s="15"/>
      <c r="B2151" s="23"/>
      <c r="C2151" s="26"/>
      <c r="D2151" s="27"/>
      <c r="E2151" s="27"/>
      <c r="F2151" s="28"/>
      <c r="G2151" s="25"/>
      <c r="H2151" s="25"/>
      <c r="I2151" s="25"/>
      <c r="J2151" s="25"/>
      <c r="K2151" s="25"/>
      <c r="L2151" s="25"/>
      <c r="M2151" s="25"/>
      <c r="N2151" s="25"/>
      <c r="O2151" s="25"/>
      <c r="P2151" s="25"/>
      <c r="Q2151" s="25"/>
      <c r="R2151" s="25"/>
      <c r="S2151" s="25"/>
      <c r="T2151" s="14"/>
    </row>
    <row r="2152" spans="1:20" x14ac:dyDescent="0.35">
      <c r="A2152" s="15"/>
      <c r="B2152" s="23"/>
      <c r="C2152" s="26"/>
      <c r="D2152" s="27"/>
      <c r="E2152" s="27"/>
      <c r="F2152" s="28"/>
      <c r="G2152" s="25"/>
      <c r="H2152" s="25"/>
      <c r="I2152" s="25"/>
      <c r="J2152" s="25"/>
      <c r="K2152" s="25"/>
      <c r="L2152" s="25"/>
      <c r="M2152" s="25"/>
      <c r="N2152" s="25"/>
      <c r="O2152" s="25"/>
      <c r="P2152" s="25"/>
      <c r="Q2152" s="25"/>
      <c r="R2152" s="25"/>
      <c r="S2152" s="25"/>
      <c r="T2152" s="14"/>
    </row>
    <row r="2153" spans="1:20" x14ac:dyDescent="0.35">
      <c r="A2153" s="15"/>
      <c r="B2153" s="23"/>
      <c r="C2153" s="26"/>
      <c r="D2153" s="27"/>
      <c r="E2153" s="27"/>
      <c r="F2153" s="28"/>
      <c r="G2153" s="25"/>
      <c r="H2153" s="25"/>
      <c r="I2153" s="25"/>
      <c r="J2153" s="25"/>
      <c r="K2153" s="25"/>
      <c r="L2153" s="25"/>
      <c r="M2153" s="25"/>
      <c r="N2153" s="25"/>
      <c r="O2153" s="25"/>
      <c r="P2153" s="25"/>
      <c r="Q2153" s="25"/>
      <c r="R2153" s="25"/>
      <c r="S2153" s="25"/>
      <c r="T2153" s="14"/>
    </row>
    <row r="2154" spans="1:20" x14ac:dyDescent="0.35">
      <c r="A2154" s="15"/>
      <c r="B2154" s="23"/>
      <c r="C2154" s="26"/>
      <c r="D2154" s="27"/>
      <c r="E2154" s="27"/>
      <c r="F2154" s="28"/>
      <c r="G2154" s="25"/>
      <c r="H2154" s="25"/>
      <c r="I2154" s="25"/>
      <c r="J2154" s="25"/>
      <c r="K2154" s="25"/>
      <c r="L2154" s="25"/>
      <c r="M2154" s="25"/>
      <c r="N2154" s="25"/>
      <c r="O2154" s="25"/>
      <c r="P2154" s="25"/>
      <c r="Q2154" s="25"/>
      <c r="R2154" s="25"/>
      <c r="S2154" s="25"/>
      <c r="T2154" s="14"/>
    </row>
    <row r="2155" spans="1:20" x14ac:dyDescent="0.35">
      <c r="A2155" s="15"/>
      <c r="B2155" s="23"/>
      <c r="C2155" s="26"/>
      <c r="D2155" s="27"/>
      <c r="E2155" s="27"/>
      <c r="F2155" s="28"/>
      <c r="G2155" s="25"/>
      <c r="H2155" s="25"/>
      <c r="I2155" s="25"/>
      <c r="J2155" s="25"/>
      <c r="K2155" s="25"/>
      <c r="L2155" s="25"/>
      <c r="M2155" s="25"/>
      <c r="N2155" s="25"/>
      <c r="O2155" s="25"/>
      <c r="P2155" s="25"/>
      <c r="Q2155" s="25"/>
      <c r="R2155" s="25"/>
      <c r="S2155" s="25"/>
      <c r="T2155" s="14"/>
    </row>
    <row r="2156" spans="1:20" x14ac:dyDescent="0.35">
      <c r="A2156" s="15"/>
      <c r="B2156" s="23"/>
      <c r="C2156" s="26"/>
      <c r="D2156" s="27"/>
      <c r="E2156" s="27"/>
      <c r="F2156" s="28"/>
      <c r="G2156" s="25"/>
      <c r="H2156" s="25"/>
      <c r="I2156" s="25"/>
      <c r="J2156" s="25"/>
      <c r="K2156" s="25"/>
      <c r="L2156" s="25"/>
      <c r="M2156" s="25"/>
      <c r="N2156" s="25"/>
      <c r="O2156" s="25"/>
      <c r="P2156" s="25"/>
      <c r="Q2156" s="25"/>
      <c r="R2156" s="25"/>
      <c r="S2156" s="25"/>
      <c r="T2156" s="14"/>
    </row>
    <row r="2157" spans="1:20" x14ac:dyDescent="0.35">
      <c r="A2157" s="15"/>
      <c r="B2157" s="23"/>
      <c r="C2157" s="26"/>
      <c r="D2157" s="27"/>
      <c r="E2157" s="27"/>
      <c r="F2157" s="28"/>
      <c r="G2157" s="25"/>
      <c r="H2157" s="25"/>
      <c r="I2157" s="25"/>
      <c r="J2157" s="25"/>
      <c r="K2157" s="25"/>
      <c r="L2157" s="25"/>
      <c r="M2157" s="25"/>
      <c r="N2157" s="25"/>
      <c r="O2157" s="25"/>
      <c r="P2157" s="25"/>
      <c r="Q2157" s="25"/>
      <c r="R2157" s="25"/>
      <c r="S2157" s="25"/>
      <c r="T2157" s="14"/>
    </row>
    <row r="2158" spans="1:20" x14ac:dyDescent="0.35">
      <c r="A2158" s="15"/>
      <c r="B2158" s="23"/>
      <c r="C2158" s="26"/>
      <c r="D2158" s="27"/>
      <c r="E2158" s="27"/>
      <c r="F2158" s="28"/>
      <c r="G2158" s="25"/>
      <c r="H2158" s="25"/>
      <c r="I2158" s="25"/>
      <c r="J2158" s="25"/>
      <c r="K2158" s="25"/>
      <c r="L2158" s="25"/>
      <c r="M2158" s="25"/>
      <c r="N2158" s="25"/>
      <c r="O2158" s="25"/>
      <c r="P2158" s="25"/>
      <c r="Q2158" s="25"/>
      <c r="R2158" s="25"/>
      <c r="S2158" s="25"/>
      <c r="T2158" s="14"/>
    </row>
    <row r="2159" spans="1:20" x14ac:dyDescent="0.35">
      <c r="A2159" s="15"/>
      <c r="B2159" s="23"/>
      <c r="C2159" s="26"/>
      <c r="D2159" s="27"/>
      <c r="E2159" s="27"/>
      <c r="F2159" s="28"/>
      <c r="G2159" s="25"/>
      <c r="H2159" s="25"/>
      <c r="I2159" s="25"/>
      <c r="J2159" s="25"/>
      <c r="K2159" s="25"/>
      <c r="L2159" s="25"/>
      <c r="M2159" s="25"/>
      <c r="N2159" s="25"/>
      <c r="O2159" s="25"/>
      <c r="P2159" s="25"/>
      <c r="Q2159" s="25"/>
      <c r="R2159" s="25"/>
      <c r="S2159" s="25"/>
      <c r="T2159" s="14"/>
    </row>
    <row r="2160" spans="1:20" x14ac:dyDescent="0.35">
      <c r="A2160" s="15"/>
      <c r="B2160" s="23"/>
      <c r="C2160" s="26"/>
      <c r="D2160" s="27"/>
      <c r="E2160" s="27"/>
      <c r="F2160" s="28"/>
      <c r="G2160" s="25"/>
      <c r="H2160" s="25"/>
      <c r="I2160" s="25"/>
      <c r="J2160" s="25"/>
      <c r="K2160" s="25"/>
      <c r="L2160" s="25"/>
      <c r="M2160" s="25"/>
      <c r="N2160" s="25"/>
      <c r="O2160" s="25"/>
      <c r="P2160" s="25"/>
      <c r="Q2160" s="25"/>
      <c r="R2160" s="25"/>
      <c r="S2160" s="25"/>
      <c r="T2160" s="22"/>
    </row>
    <row r="2161" spans="1:20" x14ac:dyDescent="0.35">
      <c r="A2161" s="15"/>
      <c r="B2161" s="23"/>
      <c r="C2161" s="26"/>
      <c r="D2161" s="27"/>
      <c r="E2161" s="27"/>
      <c r="F2161" s="28"/>
      <c r="G2161" s="25"/>
      <c r="H2161" s="25"/>
      <c r="I2161" s="25"/>
      <c r="J2161" s="25"/>
      <c r="K2161" s="25"/>
      <c r="L2161" s="25"/>
      <c r="M2161" s="25"/>
      <c r="N2161" s="25"/>
      <c r="O2161" s="25"/>
      <c r="P2161" s="25"/>
      <c r="Q2161" s="25"/>
      <c r="R2161" s="25"/>
      <c r="S2161" s="25"/>
      <c r="T2161" s="22"/>
    </row>
    <row r="2162" spans="1:20" x14ac:dyDescent="0.35">
      <c r="A2162" s="15"/>
      <c r="B2162" s="23"/>
      <c r="C2162" s="26"/>
      <c r="D2162" s="27"/>
      <c r="E2162" s="27"/>
      <c r="F2162" s="28"/>
      <c r="G2162" s="25"/>
      <c r="H2162" s="25"/>
      <c r="I2162" s="25"/>
      <c r="J2162" s="25"/>
      <c r="K2162" s="25"/>
      <c r="L2162" s="25"/>
      <c r="M2162" s="25"/>
      <c r="N2162" s="25"/>
      <c r="O2162" s="25"/>
      <c r="P2162" s="25"/>
      <c r="Q2162" s="25"/>
      <c r="R2162" s="25"/>
      <c r="S2162" s="25"/>
      <c r="T2162" s="22"/>
    </row>
    <row r="2163" spans="1:20" x14ac:dyDescent="0.35">
      <c r="A2163" s="15"/>
      <c r="B2163" s="23"/>
      <c r="C2163" s="26"/>
      <c r="D2163" s="27"/>
      <c r="E2163" s="27"/>
      <c r="F2163" s="28"/>
      <c r="G2163" s="25"/>
      <c r="H2163" s="25"/>
      <c r="I2163" s="25"/>
      <c r="J2163" s="25"/>
      <c r="K2163" s="25"/>
      <c r="L2163" s="25"/>
      <c r="M2163" s="25"/>
      <c r="N2163" s="25"/>
      <c r="O2163" s="25"/>
      <c r="P2163" s="25"/>
      <c r="Q2163" s="25"/>
      <c r="R2163" s="25"/>
      <c r="S2163" s="25"/>
      <c r="T2163" s="22"/>
    </row>
    <row r="2164" spans="1:20" x14ac:dyDescent="0.35">
      <c r="A2164" s="15"/>
      <c r="B2164" s="23"/>
      <c r="C2164" s="26"/>
      <c r="D2164" s="27"/>
      <c r="E2164" s="27"/>
      <c r="F2164" s="28"/>
      <c r="G2164" s="25"/>
      <c r="H2164" s="25"/>
      <c r="I2164" s="25"/>
      <c r="J2164" s="25"/>
      <c r="K2164" s="25"/>
      <c r="L2164" s="25"/>
      <c r="M2164" s="25"/>
      <c r="N2164" s="25"/>
      <c r="O2164" s="25"/>
      <c r="P2164" s="25"/>
      <c r="Q2164" s="25"/>
      <c r="R2164" s="25"/>
      <c r="S2164" s="25"/>
      <c r="T2164" s="22"/>
    </row>
    <row r="2165" spans="1:20" x14ac:dyDescent="0.35">
      <c r="A2165" s="15"/>
      <c r="B2165" s="23"/>
      <c r="C2165" s="26"/>
      <c r="D2165" s="27"/>
      <c r="E2165" s="27"/>
      <c r="F2165" s="28"/>
      <c r="G2165" s="25"/>
      <c r="H2165" s="25"/>
      <c r="I2165" s="25"/>
      <c r="J2165" s="25"/>
      <c r="K2165" s="25"/>
      <c r="L2165" s="25"/>
      <c r="M2165" s="25"/>
      <c r="N2165" s="25"/>
      <c r="O2165" s="25"/>
      <c r="P2165" s="25"/>
      <c r="Q2165" s="25"/>
      <c r="R2165" s="25"/>
      <c r="S2165" s="25"/>
      <c r="T2165" s="22"/>
    </row>
    <row r="2166" spans="1:20" x14ac:dyDescent="0.35">
      <c r="A2166" s="15"/>
      <c r="B2166" s="23"/>
      <c r="C2166" s="26"/>
      <c r="D2166" s="27"/>
      <c r="E2166" s="27"/>
      <c r="F2166" s="28"/>
      <c r="G2166" s="25"/>
      <c r="H2166" s="25"/>
      <c r="I2166" s="25"/>
      <c r="J2166" s="25"/>
      <c r="K2166" s="25"/>
      <c r="L2166" s="25"/>
      <c r="M2166" s="25"/>
      <c r="N2166" s="25"/>
      <c r="O2166" s="25"/>
      <c r="P2166" s="25"/>
      <c r="Q2166" s="25"/>
      <c r="R2166" s="25"/>
      <c r="S2166" s="25"/>
      <c r="T2166" s="22"/>
    </row>
    <row r="2167" spans="1:20" x14ac:dyDescent="0.35">
      <c r="A2167" s="21"/>
      <c r="B2167" s="23"/>
      <c r="C2167" s="26"/>
      <c r="D2167" s="27"/>
      <c r="E2167" s="27"/>
      <c r="F2167" s="28"/>
      <c r="G2167" s="25"/>
      <c r="H2167" s="25"/>
      <c r="I2167" s="25"/>
      <c r="J2167" s="25"/>
      <c r="K2167" s="25"/>
      <c r="L2167" s="25"/>
      <c r="M2167" s="25"/>
      <c r="N2167" s="25"/>
      <c r="O2167" s="25"/>
      <c r="P2167" s="25"/>
      <c r="Q2167" s="25"/>
      <c r="R2167" s="25"/>
      <c r="S2167" s="25"/>
      <c r="T2167" s="22"/>
    </row>
    <row r="2168" spans="1:20" x14ac:dyDescent="0.35">
      <c r="A2168" s="21"/>
      <c r="B2168" s="23"/>
      <c r="C2168" s="26"/>
      <c r="D2168" s="27"/>
      <c r="E2168" s="27"/>
      <c r="F2168" s="28"/>
      <c r="G2168" s="25"/>
      <c r="H2168" s="25"/>
      <c r="I2168" s="25"/>
      <c r="J2168" s="25"/>
      <c r="K2168" s="25"/>
      <c r="L2168" s="25"/>
      <c r="M2168" s="25"/>
      <c r="N2168" s="25"/>
      <c r="O2168" s="25"/>
      <c r="P2168" s="25"/>
      <c r="Q2168" s="25"/>
      <c r="R2168" s="25"/>
      <c r="S2168" s="25"/>
      <c r="T2168" s="22"/>
    </row>
    <row r="2169" spans="1:20" x14ac:dyDescent="0.35">
      <c r="A2169" s="21"/>
      <c r="B2169" s="23"/>
      <c r="C2169" s="26"/>
      <c r="D2169" s="27"/>
      <c r="E2169" s="27"/>
      <c r="F2169" s="28"/>
      <c r="G2169" s="25"/>
      <c r="H2169" s="25"/>
      <c r="I2169" s="25"/>
      <c r="J2169" s="25"/>
      <c r="K2169" s="25"/>
      <c r="L2169" s="25"/>
      <c r="M2169" s="25"/>
      <c r="N2169" s="25"/>
      <c r="O2169" s="25"/>
      <c r="P2169" s="25"/>
      <c r="Q2169" s="25"/>
      <c r="R2169" s="25"/>
      <c r="S2169" s="25"/>
      <c r="T2169" s="22"/>
    </row>
    <row r="2170" spans="1:20" x14ac:dyDescent="0.35">
      <c r="A2170" s="21"/>
      <c r="B2170" s="23"/>
      <c r="C2170" s="26"/>
      <c r="D2170" s="27"/>
      <c r="E2170" s="27"/>
      <c r="F2170" s="28"/>
      <c r="G2170" s="25"/>
      <c r="H2170" s="25"/>
      <c r="I2170" s="25"/>
      <c r="J2170" s="25"/>
      <c r="K2170" s="25"/>
      <c r="L2170" s="25"/>
      <c r="M2170" s="25"/>
      <c r="N2170" s="25"/>
      <c r="O2170" s="25"/>
      <c r="P2170" s="25"/>
      <c r="Q2170" s="25"/>
      <c r="R2170" s="25"/>
      <c r="S2170" s="25"/>
      <c r="T2170" s="22"/>
    </row>
    <row r="2171" spans="1:20" x14ac:dyDescent="0.35">
      <c r="A2171" s="21"/>
      <c r="B2171" s="23"/>
      <c r="C2171" s="26"/>
      <c r="D2171" s="27"/>
      <c r="E2171" s="27"/>
      <c r="F2171" s="28"/>
      <c r="G2171" s="25"/>
      <c r="H2171" s="25"/>
      <c r="I2171" s="25"/>
      <c r="J2171" s="25"/>
      <c r="K2171" s="25"/>
      <c r="L2171" s="25"/>
      <c r="M2171" s="25"/>
      <c r="N2171" s="25"/>
      <c r="O2171" s="25"/>
      <c r="P2171" s="25"/>
      <c r="Q2171" s="25"/>
      <c r="R2171" s="25"/>
      <c r="S2171" s="25"/>
      <c r="T2171" s="22"/>
    </row>
    <row r="2172" spans="1:20" x14ac:dyDescent="0.35">
      <c r="A2172" s="21"/>
      <c r="B2172" s="23"/>
      <c r="C2172" s="26"/>
      <c r="D2172" s="27"/>
      <c r="E2172" s="27"/>
      <c r="F2172" s="28"/>
      <c r="G2172" s="25"/>
      <c r="H2172" s="25"/>
      <c r="I2172" s="25"/>
      <c r="J2172" s="25"/>
      <c r="K2172" s="25"/>
      <c r="L2172" s="25"/>
      <c r="M2172" s="25"/>
      <c r="N2172" s="25"/>
      <c r="O2172" s="25"/>
      <c r="P2172" s="25"/>
      <c r="Q2172" s="25"/>
      <c r="R2172" s="25"/>
      <c r="S2172" s="25"/>
      <c r="T2172" s="22"/>
    </row>
    <row r="2173" spans="1:20" x14ac:dyDescent="0.35">
      <c r="A2173" s="21"/>
      <c r="B2173" s="23"/>
      <c r="C2173" s="26"/>
      <c r="D2173" s="27"/>
      <c r="E2173" s="27"/>
      <c r="F2173" s="28"/>
      <c r="G2173" s="25"/>
      <c r="H2173" s="25"/>
      <c r="I2173" s="25"/>
      <c r="J2173" s="25"/>
      <c r="K2173" s="25"/>
      <c r="L2173" s="25"/>
      <c r="M2173" s="25"/>
      <c r="N2173" s="25"/>
      <c r="O2173" s="25"/>
      <c r="P2173" s="25"/>
      <c r="Q2173" s="25"/>
      <c r="R2173" s="25"/>
      <c r="S2173" s="25"/>
      <c r="T2173" s="22"/>
    </row>
    <row r="2174" spans="1:20" x14ac:dyDescent="0.35">
      <c r="A2174" s="21"/>
      <c r="B2174" s="23"/>
      <c r="C2174" s="26"/>
      <c r="D2174" s="27"/>
      <c r="E2174" s="27"/>
      <c r="F2174" s="28"/>
      <c r="G2174" s="25"/>
      <c r="H2174" s="25"/>
      <c r="I2174" s="25"/>
      <c r="J2174" s="25"/>
      <c r="K2174" s="25"/>
      <c r="L2174" s="25"/>
      <c r="M2174" s="25"/>
      <c r="N2174" s="25"/>
      <c r="O2174" s="25"/>
      <c r="P2174" s="25"/>
      <c r="Q2174" s="25"/>
      <c r="R2174" s="25"/>
      <c r="S2174" s="25"/>
      <c r="T2174" s="22"/>
    </row>
    <row r="2175" spans="1:20" x14ac:dyDescent="0.35">
      <c r="A2175" s="21"/>
      <c r="B2175" s="23"/>
      <c r="C2175" s="26"/>
      <c r="D2175" s="27"/>
      <c r="E2175" s="27"/>
      <c r="F2175" s="28"/>
      <c r="G2175" s="25"/>
      <c r="H2175" s="25"/>
      <c r="I2175" s="25"/>
      <c r="J2175" s="25"/>
      <c r="K2175" s="25"/>
      <c r="L2175" s="25"/>
      <c r="M2175" s="25"/>
      <c r="N2175" s="25"/>
      <c r="O2175" s="25"/>
      <c r="P2175" s="25"/>
      <c r="Q2175" s="25"/>
      <c r="R2175" s="25"/>
      <c r="S2175" s="25"/>
      <c r="T2175" s="22"/>
    </row>
    <row r="2176" spans="1:20" x14ac:dyDescent="0.35">
      <c r="A2176" s="21"/>
      <c r="B2176" s="23"/>
      <c r="C2176" s="26"/>
      <c r="D2176" s="27"/>
      <c r="E2176" s="27"/>
      <c r="F2176" s="28"/>
      <c r="G2176" s="25"/>
      <c r="H2176" s="25"/>
      <c r="I2176" s="25"/>
      <c r="J2176" s="25"/>
      <c r="K2176" s="25"/>
      <c r="L2176" s="25"/>
      <c r="M2176" s="25"/>
      <c r="N2176" s="25"/>
      <c r="O2176" s="25"/>
      <c r="P2176" s="25"/>
      <c r="Q2176" s="25"/>
      <c r="R2176" s="25"/>
      <c r="S2176" s="25"/>
      <c r="T2176" s="14"/>
    </row>
    <row r="2177" spans="1:20" x14ac:dyDescent="0.35">
      <c r="A2177" s="21"/>
      <c r="B2177" s="23"/>
      <c r="C2177" s="26"/>
      <c r="D2177" s="27"/>
      <c r="E2177" s="27"/>
      <c r="F2177" s="28"/>
      <c r="G2177" s="25"/>
      <c r="H2177" s="25"/>
      <c r="I2177" s="25"/>
      <c r="J2177" s="25"/>
      <c r="K2177" s="25"/>
      <c r="L2177" s="25"/>
      <c r="M2177" s="25"/>
      <c r="N2177" s="25"/>
      <c r="O2177" s="25"/>
      <c r="P2177" s="25"/>
      <c r="Q2177" s="25"/>
      <c r="R2177" s="25"/>
      <c r="S2177" s="25"/>
      <c r="T2177" s="14"/>
    </row>
    <row r="2178" spans="1:20" x14ac:dyDescent="0.35">
      <c r="A2178" s="21"/>
      <c r="B2178" s="23"/>
      <c r="C2178" s="26"/>
      <c r="D2178" s="27"/>
      <c r="E2178" s="27"/>
      <c r="F2178" s="28"/>
      <c r="G2178" s="25"/>
      <c r="H2178" s="25"/>
      <c r="I2178" s="25"/>
      <c r="J2178" s="25"/>
      <c r="K2178" s="25"/>
      <c r="L2178" s="25"/>
      <c r="M2178" s="25"/>
      <c r="N2178" s="25"/>
      <c r="O2178" s="25"/>
      <c r="P2178" s="25"/>
      <c r="Q2178" s="25"/>
      <c r="R2178" s="25"/>
      <c r="S2178" s="25"/>
      <c r="T2178" s="14"/>
    </row>
    <row r="2179" spans="1:20" x14ac:dyDescent="0.35">
      <c r="A2179" s="21"/>
      <c r="B2179" s="23"/>
      <c r="C2179" s="26"/>
      <c r="D2179" s="27"/>
      <c r="E2179" s="27"/>
      <c r="F2179" s="28"/>
      <c r="G2179" s="25"/>
      <c r="H2179" s="25"/>
      <c r="I2179" s="25"/>
      <c r="J2179" s="25"/>
      <c r="K2179" s="25"/>
      <c r="L2179" s="25"/>
      <c r="M2179" s="25"/>
      <c r="N2179" s="25"/>
      <c r="O2179" s="25"/>
      <c r="P2179" s="25"/>
      <c r="Q2179" s="25"/>
      <c r="R2179" s="25"/>
      <c r="S2179" s="25"/>
      <c r="T2179" s="14"/>
    </row>
    <row r="2180" spans="1:20" x14ac:dyDescent="0.35">
      <c r="A2180" s="21"/>
      <c r="B2180" s="23"/>
      <c r="C2180" s="26"/>
      <c r="D2180" s="27"/>
      <c r="E2180" s="27"/>
      <c r="F2180" s="28"/>
      <c r="G2180" s="25"/>
      <c r="H2180" s="25"/>
      <c r="I2180" s="25"/>
      <c r="J2180" s="25"/>
      <c r="K2180" s="25"/>
      <c r="L2180" s="25"/>
      <c r="M2180" s="25"/>
      <c r="N2180" s="25"/>
      <c r="O2180" s="25"/>
      <c r="P2180" s="25"/>
      <c r="Q2180" s="25"/>
      <c r="R2180" s="25"/>
      <c r="S2180" s="25"/>
      <c r="T2180" s="14"/>
    </row>
    <row r="2181" spans="1:20" x14ac:dyDescent="0.35">
      <c r="A2181" s="21"/>
      <c r="B2181" s="23"/>
      <c r="C2181" s="26"/>
      <c r="D2181" s="27"/>
      <c r="E2181" s="27"/>
      <c r="F2181" s="28"/>
      <c r="G2181" s="25"/>
      <c r="H2181" s="25"/>
      <c r="I2181" s="25"/>
      <c r="J2181" s="25"/>
      <c r="K2181" s="25"/>
      <c r="L2181" s="25"/>
      <c r="M2181" s="25"/>
      <c r="N2181" s="25"/>
      <c r="O2181" s="25"/>
      <c r="P2181" s="25"/>
      <c r="Q2181" s="25"/>
      <c r="R2181" s="25"/>
      <c r="S2181" s="25"/>
      <c r="T2181" s="14"/>
    </row>
    <row r="2182" spans="1:20" x14ac:dyDescent="0.35">
      <c r="A2182" s="21"/>
      <c r="B2182" s="23"/>
      <c r="C2182" s="26"/>
      <c r="D2182" s="27"/>
      <c r="E2182" s="27"/>
      <c r="F2182" s="28"/>
      <c r="G2182" s="25"/>
      <c r="H2182" s="25"/>
      <c r="I2182" s="25"/>
      <c r="J2182" s="25"/>
      <c r="K2182" s="25"/>
      <c r="L2182" s="25"/>
      <c r="M2182" s="25"/>
      <c r="N2182" s="25"/>
      <c r="O2182" s="25"/>
      <c r="P2182" s="25"/>
      <c r="Q2182" s="25"/>
      <c r="R2182" s="25"/>
      <c r="S2182" s="25"/>
      <c r="T2182" s="14"/>
    </row>
    <row r="2183" spans="1:20" x14ac:dyDescent="0.35">
      <c r="A2183" s="21"/>
      <c r="B2183" s="23"/>
      <c r="C2183" s="26"/>
      <c r="D2183" s="27"/>
      <c r="E2183" s="27"/>
      <c r="F2183" s="28"/>
      <c r="G2183" s="25"/>
      <c r="H2183" s="25"/>
      <c r="I2183" s="25"/>
      <c r="J2183" s="25"/>
      <c r="K2183" s="25"/>
      <c r="L2183" s="25"/>
      <c r="M2183" s="25"/>
      <c r="N2183" s="25"/>
      <c r="O2183" s="25"/>
      <c r="P2183" s="25"/>
      <c r="Q2183" s="25"/>
      <c r="R2183" s="25"/>
      <c r="S2183" s="25"/>
      <c r="T2183" s="22"/>
    </row>
    <row r="2184" spans="1:20" x14ac:dyDescent="0.35">
      <c r="A2184" s="21"/>
      <c r="B2184" s="23"/>
      <c r="C2184" s="26"/>
      <c r="D2184" s="27"/>
      <c r="E2184" s="27"/>
      <c r="F2184" s="28"/>
      <c r="G2184" s="25"/>
      <c r="H2184" s="25"/>
      <c r="I2184" s="25"/>
      <c r="J2184" s="25"/>
      <c r="K2184" s="25"/>
      <c r="L2184" s="25"/>
      <c r="M2184" s="25"/>
      <c r="N2184" s="25"/>
      <c r="O2184" s="25"/>
      <c r="P2184" s="25"/>
      <c r="Q2184" s="25"/>
      <c r="R2184" s="25"/>
      <c r="S2184" s="25"/>
      <c r="T2184" s="22"/>
    </row>
    <row r="2185" spans="1:20" x14ac:dyDescent="0.35">
      <c r="A2185" s="21"/>
      <c r="B2185" s="23"/>
      <c r="C2185" s="26"/>
      <c r="D2185" s="27"/>
      <c r="E2185" s="27"/>
      <c r="F2185" s="28"/>
      <c r="G2185" s="25"/>
      <c r="H2185" s="25"/>
      <c r="I2185" s="25"/>
      <c r="J2185" s="25"/>
      <c r="K2185" s="25"/>
      <c r="L2185" s="25"/>
      <c r="M2185" s="25"/>
      <c r="N2185" s="25"/>
      <c r="O2185" s="25"/>
      <c r="P2185" s="25"/>
      <c r="Q2185" s="25"/>
      <c r="R2185" s="25"/>
      <c r="S2185" s="25"/>
      <c r="T2185" s="22"/>
    </row>
    <row r="2186" spans="1:20" x14ac:dyDescent="0.35">
      <c r="A2186" s="21"/>
      <c r="B2186" s="23"/>
      <c r="C2186" s="26"/>
      <c r="D2186" s="27"/>
      <c r="E2186" s="27"/>
      <c r="F2186" s="28"/>
      <c r="G2186" s="25"/>
      <c r="H2186" s="25"/>
      <c r="I2186" s="25"/>
      <c r="J2186" s="25"/>
      <c r="K2186" s="25"/>
      <c r="L2186" s="25"/>
      <c r="M2186" s="25"/>
      <c r="N2186" s="25"/>
      <c r="O2186" s="25"/>
      <c r="P2186" s="25"/>
      <c r="Q2186" s="25"/>
      <c r="R2186" s="25"/>
      <c r="S2186" s="25"/>
      <c r="T2186" s="22"/>
    </row>
    <row r="2187" spans="1:20" x14ac:dyDescent="0.35">
      <c r="A2187" s="21"/>
      <c r="B2187" s="23"/>
      <c r="C2187" s="26"/>
      <c r="D2187" s="27"/>
      <c r="E2187" s="27"/>
      <c r="F2187" s="28"/>
      <c r="G2187" s="25"/>
      <c r="H2187" s="25"/>
      <c r="I2187" s="25"/>
      <c r="J2187" s="25"/>
      <c r="K2187" s="25"/>
      <c r="L2187" s="25"/>
      <c r="M2187" s="25"/>
      <c r="N2187" s="25"/>
      <c r="O2187" s="25"/>
      <c r="P2187" s="25"/>
      <c r="Q2187" s="25"/>
      <c r="R2187" s="25"/>
      <c r="S2187" s="25"/>
      <c r="T2187" s="22"/>
    </row>
    <row r="2188" spans="1:20" x14ac:dyDescent="0.35">
      <c r="A2188" s="21"/>
      <c r="B2188" s="23"/>
      <c r="C2188" s="26"/>
      <c r="D2188" s="27"/>
      <c r="E2188" s="27"/>
      <c r="F2188" s="28"/>
      <c r="G2188" s="25"/>
      <c r="H2188" s="25"/>
      <c r="I2188" s="25"/>
      <c r="J2188" s="25"/>
      <c r="K2188" s="25"/>
      <c r="L2188" s="25"/>
      <c r="M2188" s="25"/>
      <c r="N2188" s="25"/>
      <c r="O2188" s="25"/>
      <c r="P2188" s="25"/>
      <c r="Q2188" s="25"/>
      <c r="R2188" s="25"/>
      <c r="S2188" s="25"/>
      <c r="T2188" s="22"/>
    </row>
    <row r="2189" spans="1:20" x14ac:dyDescent="0.35">
      <c r="A2189" s="21"/>
      <c r="B2189" s="23"/>
      <c r="C2189" s="26"/>
      <c r="D2189" s="27"/>
      <c r="E2189" s="27"/>
      <c r="F2189" s="28"/>
      <c r="G2189" s="25"/>
      <c r="H2189" s="25"/>
      <c r="I2189" s="25"/>
      <c r="J2189" s="25"/>
      <c r="K2189" s="25"/>
      <c r="L2189" s="25"/>
      <c r="M2189" s="25"/>
      <c r="N2189" s="25"/>
      <c r="O2189" s="25"/>
      <c r="P2189" s="25"/>
      <c r="Q2189" s="25"/>
      <c r="R2189" s="25"/>
      <c r="S2189" s="25"/>
      <c r="T2189" s="22"/>
    </row>
    <row r="2190" spans="1:20" x14ac:dyDescent="0.35">
      <c r="A2190" s="21"/>
      <c r="B2190" s="23"/>
      <c r="C2190" s="26"/>
      <c r="D2190" s="27"/>
      <c r="E2190" s="27"/>
      <c r="F2190" s="28"/>
      <c r="G2190" s="25"/>
      <c r="H2190" s="25"/>
      <c r="I2190" s="25"/>
      <c r="J2190" s="25"/>
      <c r="K2190" s="25"/>
      <c r="L2190" s="25"/>
      <c r="M2190" s="25"/>
      <c r="N2190" s="25"/>
      <c r="O2190" s="25"/>
      <c r="P2190" s="25"/>
      <c r="Q2190" s="25"/>
      <c r="R2190" s="25"/>
      <c r="S2190" s="25"/>
      <c r="T2190" s="22"/>
    </row>
    <row r="2191" spans="1:20" x14ac:dyDescent="0.35">
      <c r="A2191" s="21"/>
      <c r="B2191" s="23"/>
      <c r="C2191" s="26"/>
      <c r="D2191" s="27"/>
      <c r="E2191" s="27"/>
      <c r="F2191" s="28"/>
      <c r="G2191" s="25"/>
      <c r="H2191" s="25"/>
      <c r="I2191" s="25"/>
      <c r="J2191" s="25"/>
      <c r="K2191" s="25"/>
      <c r="L2191" s="25"/>
      <c r="M2191" s="25"/>
      <c r="N2191" s="25"/>
      <c r="O2191" s="25"/>
      <c r="P2191" s="25"/>
      <c r="Q2191" s="25"/>
      <c r="R2191" s="25"/>
      <c r="S2191" s="25"/>
      <c r="T2191" s="22"/>
    </row>
    <row r="2192" spans="1:20" x14ac:dyDescent="0.35">
      <c r="A2192" s="21"/>
      <c r="B2192" s="23"/>
      <c r="C2192" s="26"/>
      <c r="D2192" s="27"/>
      <c r="E2192" s="27"/>
      <c r="F2192" s="28"/>
      <c r="G2192" s="25"/>
      <c r="H2192" s="25"/>
      <c r="I2192" s="25"/>
      <c r="J2192" s="25"/>
      <c r="K2192" s="25"/>
      <c r="L2192" s="25"/>
      <c r="M2192" s="25"/>
      <c r="N2192" s="25"/>
      <c r="O2192" s="25"/>
      <c r="P2192" s="25"/>
      <c r="Q2192" s="25"/>
      <c r="R2192" s="25"/>
      <c r="S2192" s="25"/>
      <c r="T2192" s="14"/>
    </row>
    <row r="2193" spans="1:20" x14ac:dyDescent="0.35">
      <c r="A2193" s="21"/>
      <c r="B2193" s="23"/>
      <c r="C2193" s="26"/>
      <c r="D2193" s="27"/>
      <c r="E2193" s="27"/>
      <c r="F2193" s="28"/>
      <c r="G2193" s="25"/>
      <c r="H2193" s="25"/>
      <c r="I2193" s="25"/>
      <c r="J2193" s="25"/>
      <c r="K2193" s="25"/>
      <c r="L2193" s="25"/>
      <c r="M2193" s="25"/>
      <c r="N2193" s="25"/>
      <c r="O2193" s="25"/>
      <c r="P2193" s="25"/>
      <c r="Q2193" s="25"/>
      <c r="R2193" s="25"/>
      <c r="S2193" s="25"/>
      <c r="T2193" s="14"/>
    </row>
    <row r="2194" spans="1:20" x14ac:dyDescent="0.35">
      <c r="A2194" s="21"/>
      <c r="B2194" s="23"/>
      <c r="C2194" s="26"/>
      <c r="D2194" s="27"/>
      <c r="E2194" s="27"/>
      <c r="F2194" s="28"/>
      <c r="G2194" s="25"/>
      <c r="H2194" s="25"/>
      <c r="I2194" s="25"/>
      <c r="J2194" s="25"/>
      <c r="K2194" s="25"/>
      <c r="L2194" s="25"/>
      <c r="M2194" s="25"/>
      <c r="N2194" s="25"/>
      <c r="O2194" s="25"/>
      <c r="P2194" s="25"/>
      <c r="Q2194" s="25"/>
      <c r="R2194" s="25"/>
      <c r="S2194" s="25"/>
      <c r="T2194" s="14"/>
    </row>
    <row r="2195" spans="1:20" x14ac:dyDescent="0.35">
      <c r="A2195" s="21"/>
      <c r="B2195" s="23"/>
      <c r="C2195" s="26"/>
      <c r="D2195" s="27"/>
      <c r="E2195" s="27"/>
      <c r="F2195" s="28"/>
      <c r="G2195" s="25"/>
      <c r="H2195" s="25"/>
      <c r="I2195" s="25"/>
      <c r="J2195" s="25"/>
      <c r="K2195" s="25"/>
      <c r="L2195" s="25"/>
      <c r="M2195" s="25"/>
      <c r="N2195" s="25"/>
      <c r="O2195" s="25"/>
      <c r="P2195" s="25"/>
      <c r="Q2195" s="25"/>
      <c r="R2195" s="25"/>
      <c r="S2195" s="25"/>
      <c r="T2195" s="14"/>
    </row>
    <row r="2196" spans="1:20" x14ac:dyDescent="0.35">
      <c r="A2196" s="21"/>
      <c r="B2196" s="23"/>
      <c r="C2196" s="26"/>
      <c r="D2196" s="27"/>
      <c r="E2196" s="27"/>
      <c r="F2196" s="28"/>
      <c r="G2196" s="25"/>
      <c r="H2196" s="25"/>
      <c r="I2196" s="25"/>
      <c r="J2196" s="25"/>
      <c r="K2196" s="25"/>
      <c r="L2196" s="25"/>
      <c r="M2196" s="25"/>
      <c r="N2196" s="25"/>
      <c r="O2196" s="25"/>
      <c r="P2196" s="25"/>
      <c r="Q2196" s="25"/>
      <c r="R2196" s="25"/>
      <c r="S2196" s="25"/>
      <c r="T2196" s="14"/>
    </row>
    <row r="2197" spans="1:20" x14ac:dyDescent="0.35">
      <c r="A2197" s="21"/>
      <c r="B2197" s="23"/>
      <c r="C2197" s="26"/>
      <c r="D2197" s="27"/>
      <c r="E2197" s="27"/>
      <c r="F2197" s="28"/>
      <c r="G2197" s="25"/>
      <c r="H2197" s="25"/>
      <c r="I2197" s="25"/>
      <c r="J2197" s="25"/>
      <c r="K2197" s="25"/>
      <c r="L2197" s="25"/>
      <c r="M2197" s="25"/>
      <c r="N2197" s="25"/>
      <c r="O2197" s="25"/>
      <c r="P2197" s="25"/>
      <c r="Q2197" s="25"/>
      <c r="R2197" s="25"/>
      <c r="S2197" s="25"/>
      <c r="T2197" s="14"/>
    </row>
    <row r="2198" spans="1:20" x14ac:dyDescent="0.35">
      <c r="A2198" s="21"/>
      <c r="B2198" s="23"/>
      <c r="C2198" s="26"/>
      <c r="D2198" s="27"/>
      <c r="E2198" s="27"/>
      <c r="F2198" s="28"/>
      <c r="G2198" s="25"/>
      <c r="H2198" s="25"/>
      <c r="I2198" s="25"/>
      <c r="J2198" s="25"/>
      <c r="K2198" s="25"/>
      <c r="L2198" s="25"/>
      <c r="M2198" s="25"/>
      <c r="N2198" s="25"/>
      <c r="O2198" s="25"/>
      <c r="P2198" s="25"/>
      <c r="Q2198" s="25"/>
      <c r="R2198" s="25"/>
      <c r="S2198" s="25"/>
      <c r="T2198" s="14"/>
    </row>
    <row r="2199" spans="1:20" x14ac:dyDescent="0.35">
      <c r="A2199" s="21"/>
      <c r="B2199" s="23"/>
      <c r="C2199" s="26"/>
      <c r="D2199" s="27"/>
      <c r="E2199" s="27"/>
      <c r="F2199" s="28"/>
      <c r="G2199" s="25"/>
      <c r="H2199" s="25"/>
      <c r="I2199" s="25"/>
      <c r="J2199" s="25"/>
      <c r="K2199" s="25"/>
      <c r="L2199" s="25"/>
      <c r="M2199" s="25"/>
      <c r="N2199" s="25"/>
      <c r="O2199" s="25"/>
      <c r="P2199" s="25"/>
      <c r="Q2199" s="25"/>
      <c r="R2199" s="25"/>
      <c r="S2199" s="25"/>
      <c r="T2199" s="14"/>
    </row>
    <row r="2200" spans="1:20" x14ac:dyDescent="0.35">
      <c r="A2200" s="21"/>
      <c r="B2200" s="23"/>
      <c r="C2200" s="26"/>
      <c r="D2200" s="27"/>
      <c r="E2200" s="27"/>
      <c r="F2200" s="28"/>
      <c r="G2200" s="25"/>
      <c r="H2200" s="25"/>
      <c r="I2200" s="25"/>
      <c r="J2200" s="25"/>
      <c r="K2200" s="25"/>
      <c r="L2200" s="25"/>
      <c r="M2200" s="25"/>
      <c r="N2200" s="25"/>
      <c r="O2200" s="25"/>
      <c r="P2200" s="25"/>
      <c r="Q2200" s="25"/>
      <c r="R2200" s="25"/>
      <c r="S2200" s="25"/>
      <c r="T2200" s="14"/>
    </row>
    <row r="2201" spans="1:20" x14ac:dyDescent="0.35">
      <c r="A2201" s="21"/>
      <c r="B2201" s="23"/>
      <c r="C2201" s="26"/>
      <c r="D2201" s="27"/>
      <c r="E2201" s="27"/>
      <c r="F2201" s="28"/>
      <c r="G2201" s="25"/>
      <c r="H2201" s="25"/>
      <c r="I2201" s="25"/>
      <c r="J2201" s="25"/>
      <c r="K2201" s="25"/>
      <c r="L2201" s="25"/>
      <c r="M2201" s="25"/>
      <c r="N2201" s="25"/>
      <c r="O2201" s="25"/>
      <c r="P2201" s="25"/>
      <c r="Q2201" s="25"/>
      <c r="R2201" s="25"/>
      <c r="S2201" s="25"/>
      <c r="T2201" s="14"/>
    </row>
    <row r="2202" spans="1:20" x14ac:dyDescent="0.35">
      <c r="A2202" s="21"/>
      <c r="B2202" s="23"/>
      <c r="C2202" s="26"/>
      <c r="D2202" s="27"/>
      <c r="E2202" s="27"/>
      <c r="F2202" s="28"/>
      <c r="G2202" s="25"/>
      <c r="H2202" s="25"/>
      <c r="I2202" s="25"/>
      <c r="J2202" s="25"/>
      <c r="K2202" s="25"/>
      <c r="L2202" s="25"/>
      <c r="M2202" s="25"/>
      <c r="N2202" s="25"/>
      <c r="O2202" s="25"/>
      <c r="P2202" s="25"/>
      <c r="Q2202" s="25"/>
      <c r="R2202" s="25"/>
      <c r="S2202" s="25"/>
      <c r="T2202" s="14"/>
    </row>
    <row r="2203" spans="1:20" x14ac:dyDescent="0.35">
      <c r="A2203" s="21"/>
      <c r="B2203" s="23"/>
      <c r="C2203" s="26"/>
      <c r="D2203" s="27"/>
      <c r="E2203" s="27"/>
      <c r="F2203" s="28"/>
      <c r="G2203" s="25"/>
      <c r="H2203" s="25"/>
      <c r="I2203" s="25"/>
      <c r="J2203" s="25"/>
      <c r="K2203" s="25"/>
      <c r="L2203" s="25"/>
      <c r="M2203" s="25"/>
      <c r="N2203" s="25"/>
      <c r="O2203" s="25"/>
      <c r="P2203" s="25"/>
      <c r="Q2203" s="25"/>
      <c r="R2203" s="25"/>
      <c r="S2203" s="25"/>
      <c r="T2203" s="14"/>
    </row>
    <row r="2204" spans="1:20" x14ac:dyDescent="0.35">
      <c r="A2204" s="21"/>
      <c r="B2204" s="23"/>
      <c r="C2204" s="26"/>
      <c r="D2204" s="27"/>
      <c r="E2204" s="27"/>
      <c r="F2204" s="28"/>
      <c r="G2204" s="25"/>
      <c r="H2204" s="25"/>
      <c r="I2204" s="25"/>
      <c r="J2204" s="25"/>
      <c r="K2204" s="25"/>
      <c r="L2204" s="25"/>
      <c r="M2204" s="25"/>
      <c r="N2204" s="25"/>
      <c r="O2204" s="25"/>
      <c r="P2204" s="25"/>
      <c r="Q2204" s="25"/>
      <c r="R2204" s="25"/>
      <c r="S2204" s="25"/>
      <c r="T2204" s="14"/>
    </row>
    <row r="2205" spans="1:20" x14ac:dyDescent="0.35">
      <c r="A2205" s="21"/>
      <c r="B2205" s="23"/>
      <c r="C2205" s="26"/>
      <c r="D2205" s="27"/>
      <c r="E2205" s="27"/>
      <c r="F2205" s="28"/>
      <c r="G2205" s="25"/>
      <c r="H2205" s="25"/>
      <c r="I2205" s="25"/>
      <c r="J2205" s="25"/>
      <c r="K2205" s="25"/>
      <c r="L2205" s="25"/>
      <c r="M2205" s="25"/>
      <c r="N2205" s="25"/>
      <c r="O2205" s="25"/>
      <c r="P2205" s="25"/>
      <c r="Q2205" s="25"/>
      <c r="R2205" s="25"/>
      <c r="S2205" s="25"/>
      <c r="T2205" s="14"/>
    </row>
    <row r="2206" spans="1:20" x14ac:dyDescent="0.35">
      <c r="A2206" s="21"/>
      <c r="B2206" s="23"/>
      <c r="C2206" s="26"/>
      <c r="D2206" s="27"/>
      <c r="E2206" s="27"/>
      <c r="F2206" s="28"/>
      <c r="G2206" s="25"/>
      <c r="H2206" s="25"/>
      <c r="I2206" s="25"/>
      <c r="J2206" s="25"/>
      <c r="K2206" s="25"/>
      <c r="L2206" s="25"/>
      <c r="M2206" s="25"/>
      <c r="N2206" s="25"/>
      <c r="O2206" s="25"/>
      <c r="P2206" s="25"/>
      <c r="Q2206" s="25"/>
      <c r="R2206" s="25"/>
      <c r="S2206" s="25"/>
      <c r="T2206" s="14"/>
    </row>
    <row r="2207" spans="1:20" x14ac:dyDescent="0.35">
      <c r="A2207" s="21"/>
      <c r="B2207" s="23"/>
      <c r="C2207" s="26"/>
      <c r="D2207" s="27"/>
      <c r="E2207" s="27"/>
      <c r="F2207" s="28"/>
      <c r="G2207" s="25"/>
      <c r="H2207" s="25"/>
      <c r="I2207" s="25"/>
      <c r="J2207" s="25"/>
      <c r="K2207" s="25"/>
      <c r="L2207" s="25"/>
      <c r="M2207" s="25"/>
      <c r="N2207" s="25"/>
      <c r="O2207" s="25"/>
      <c r="P2207" s="25"/>
      <c r="Q2207" s="25"/>
      <c r="R2207" s="25"/>
      <c r="S2207" s="25"/>
      <c r="T2207" s="22"/>
    </row>
    <row r="2208" spans="1:20" x14ac:dyDescent="0.35">
      <c r="A2208" s="21"/>
      <c r="B2208" s="23"/>
      <c r="C2208" s="26"/>
      <c r="D2208" s="27"/>
      <c r="E2208" s="27"/>
      <c r="F2208" s="28"/>
      <c r="G2208" s="25"/>
      <c r="H2208" s="25"/>
      <c r="I2208" s="25"/>
      <c r="J2208" s="25"/>
      <c r="K2208" s="25"/>
      <c r="L2208" s="25"/>
      <c r="M2208" s="25"/>
      <c r="N2208" s="25"/>
      <c r="O2208" s="25"/>
      <c r="P2208" s="25"/>
      <c r="Q2208" s="25"/>
      <c r="R2208" s="25"/>
      <c r="S2208" s="25"/>
      <c r="T2208" s="22"/>
    </row>
    <row r="2209" spans="1:20" x14ac:dyDescent="0.35">
      <c r="A2209" s="21"/>
      <c r="B2209" s="23"/>
      <c r="C2209" s="26"/>
      <c r="D2209" s="27"/>
      <c r="E2209" s="27"/>
      <c r="F2209" s="28"/>
      <c r="G2209" s="25"/>
      <c r="H2209" s="25"/>
      <c r="I2209" s="25"/>
      <c r="J2209" s="25"/>
      <c r="K2209" s="25"/>
      <c r="L2209" s="25"/>
      <c r="M2209" s="25"/>
      <c r="N2209" s="25"/>
      <c r="O2209" s="25"/>
      <c r="P2209" s="25"/>
      <c r="Q2209" s="25"/>
      <c r="R2209" s="25"/>
      <c r="S2209" s="25"/>
      <c r="T2209" s="22"/>
    </row>
    <row r="2210" spans="1:20" x14ac:dyDescent="0.35">
      <c r="A2210" s="21"/>
      <c r="B2210" s="23"/>
      <c r="C2210" s="26"/>
      <c r="D2210" s="27"/>
      <c r="E2210" s="27"/>
      <c r="F2210" s="28"/>
      <c r="G2210" s="25"/>
      <c r="H2210" s="25"/>
      <c r="I2210" s="25"/>
      <c r="J2210" s="25"/>
      <c r="K2210" s="25"/>
      <c r="L2210" s="25"/>
      <c r="M2210" s="25"/>
      <c r="N2210" s="25"/>
      <c r="O2210" s="25"/>
      <c r="P2210" s="25"/>
      <c r="Q2210" s="25"/>
      <c r="R2210" s="25"/>
      <c r="S2210" s="25"/>
      <c r="T2210" s="22"/>
    </row>
    <row r="2211" spans="1:20" x14ac:dyDescent="0.35">
      <c r="A2211" s="21"/>
      <c r="B2211" s="23"/>
      <c r="C2211" s="26"/>
      <c r="D2211" s="27"/>
      <c r="E2211" s="27"/>
      <c r="F2211" s="28"/>
      <c r="G2211" s="25"/>
      <c r="H2211" s="25"/>
      <c r="I2211" s="25"/>
      <c r="J2211" s="25"/>
      <c r="K2211" s="25"/>
      <c r="L2211" s="25"/>
      <c r="M2211" s="25"/>
      <c r="N2211" s="25"/>
      <c r="O2211" s="25"/>
      <c r="P2211" s="25"/>
      <c r="Q2211" s="25"/>
      <c r="R2211" s="25"/>
      <c r="S2211" s="25"/>
      <c r="T2211" s="22"/>
    </row>
    <row r="2212" spans="1:20" x14ac:dyDescent="0.35">
      <c r="A2212" s="21"/>
      <c r="B2212" s="23"/>
      <c r="C2212" s="26"/>
      <c r="D2212" s="27"/>
      <c r="E2212" s="27"/>
      <c r="F2212" s="28"/>
      <c r="G2212" s="25"/>
      <c r="H2212" s="25"/>
      <c r="I2212" s="25"/>
      <c r="J2212" s="25"/>
      <c r="K2212" s="25"/>
      <c r="L2212" s="25"/>
      <c r="M2212" s="25"/>
      <c r="N2212" s="25"/>
      <c r="O2212" s="25"/>
      <c r="P2212" s="25"/>
      <c r="Q2212" s="25"/>
      <c r="R2212" s="25"/>
      <c r="S2212" s="25"/>
      <c r="T2212" s="22"/>
    </row>
    <row r="2213" spans="1:20" x14ac:dyDescent="0.35">
      <c r="A2213" s="21"/>
      <c r="B2213" s="23"/>
      <c r="C2213" s="26"/>
      <c r="D2213" s="27"/>
      <c r="E2213" s="27"/>
      <c r="F2213" s="28"/>
      <c r="G2213" s="25"/>
      <c r="H2213" s="25"/>
      <c r="I2213" s="25"/>
      <c r="J2213" s="25"/>
      <c r="K2213" s="25"/>
      <c r="L2213" s="25"/>
      <c r="M2213" s="25"/>
      <c r="N2213" s="25"/>
      <c r="O2213" s="25"/>
      <c r="P2213" s="25"/>
      <c r="Q2213" s="25"/>
      <c r="R2213" s="25"/>
      <c r="S2213" s="25"/>
      <c r="T2213" s="22"/>
    </row>
    <row r="2214" spans="1:20" x14ac:dyDescent="0.35">
      <c r="A2214" s="21"/>
      <c r="B2214" s="23"/>
      <c r="C2214" s="26"/>
      <c r="D2214" s="27"/>
      <c r="E2214" s="27"/>
      <c r="F2214" s="28"/>
      <c r="G2214" s="25"/>
      <c r="H2214" s="25"/>
      <c r="I2214" s="25"/>
      <c r="J2214" s="25"/>
      <c r="K2214" s="25"/>
      <c r="L2214" s="25"/>
      <c r="M2214" s="25"/>
      <c r="N2214" s="25"/>
      <c r="O2214" s="25"/>
      <c r="P2214" s="25"/>
      <c r="Q2214" s="25"/>
      <c r="R2214" s="25"/>
      <c r="S2214" s="25"/>
      <c r="T2214" s="22"/>
    </row>
    <row r="2215" spans="1:20" x14ac:dyDescent="0.35">
      <c r="A2215" s="21"/>
      <c r="B2215" s="17"/>
      <c r="C2215" s="18"/>
      <c r="D2215" s="19"/>
      <c r="E2215" s="19"/>
      <c r="F2215" s="22"/>
      <c r="G2215" s="22"/>
      <c r="H2215" s="22"/>
      <c r="I2215" s="22"/>
      <c r="J2215" s="22"/>
      <c r="K2215" s="22"/>
      <c r="L2215" s="22"/>
      <c r="M2215" s="22"/>
      <c r="N2215" s="22"/>
      <c r="O2215" s="22"/>
      <c r="P2215" s="22"/>
      <c r="Q2215" s="22"/>
      <c r="R2215" s="22"/>
      <c r="S2215" s="22"/>
      <c r="T2215" s="22"/>
    </row>
    <row r="2216" spans="1:20" x14ac:dyDescent="0.35">
      <c r="A2216" s="21"/>
      <c r="B2216" s="17"/>
      <c r="C2216" s="18"/>
      <c r="D2216" s="19"/>
      <c r="E2216" s="19"/>
      <c r="F2216" s="22"/>
      <c r="G2216" s="22"/>
      <c r="H2216" s="22"/>
      <c r="I2216" s="22"/>
      <c r="J2216" s="22"/>
      <c r="K2216" s="22"/>
      <c r="L2216" s="22"/>
      <c r="M2216" s="22"/>
      <c r="N2216" s="22"/>
      <c r="O2216" s="22"/>
      <c r="P2216" s="22"/>
      <c r="Q2216" s="22"/>
      <c r="R2216" s="22"/>
      <c r="S2216" s="22"/>
      <c r="T2216" s="22"/>
    </row>
    <row r="2217" spans="1:20" x14ac:dyDescent="0.35">
      <c r="A2217" s="21"/>
      <c r="B2217" s="17"/>
      <c r="C2217" s="18"/>
      <c r="D2217" s="19"/>
      <c r="E2217" s="19"/>
      <c r="F2217" s="22"/>
      <c r="G2217" s="22"/>
      <c r="H2217" s="22"/>
      <c r="I2217" s="22"/>
      <c r="J2217" s="22"/>
      <c r="K2217" s="22"/>
      <c r="L2217" s="22"/>
      <c r="M2217" s="22"/>
      <c r="N2217" s="22"/>
      <c r="O2217" s="22"/>
      <c r="P2217" s="22"/>
      <c r="Q2217" s="22"/>
      <c r="R2217" s="22"/>
      <c r="S2217" s="22"/>
      <c r="T2217" s="22"/>
    </row>
    <row r="2218" spans="1:20" x14ac:dyDescent="0.35">
      <c r="A2218" s="21"/>
      <c r="B2218" s="17"/>
      <c r="C2218" s="18"/>
      <c r="D2218" s="19"/>
      <c r="E2218" s="19"/>
      <c r="F2218" s="22"/>
      <c r="G2218" s="22"/>
      <c r="H2218" s="22"/>
      <c r="I2218" s="22"/>
      <c r="J2218" s="22"/>
      <c r="K2218" s="22"/>
      <c r="L2218" s="22"/>
      <c r="M2218" s="22"/>
      <c r="N2218" s="22"/>
      <c r="O2218" s="22"/>
      <c r="P2218" s="22"/>
      <c r="Q2218" s="22"/>
      <c r="R2218" s="22"/>
      <c r="S2218" s="22"/>
      <c r="T2218" s="22"/>
    </row>
    <row r="2219" spans="1:20" x14ac:dyDescent="0.35">
      <c r="A2219" s="21"/>
      <c r="B2219" s="17"/>
      <c r="C2219" s="18"/>
      <c r="D2219" s="19"/>
      <c r="E2219" s="19"/>
      <c r="F2219" s="22"/>
      <c r="G2219" s="22"/>
      <c r="H2219" s="22"/>
      <c r="I2219" s="22"/>
      <c r="J2219" s="22"/>
      <c r="K2219" s="22"/>
      <c r="L2219" s="22"/>
      <c r="M2219" s="22"/>
      <c r="N2219" s="22"/>
      <c r="O2219" s="22"/>
      <c r="P2219" s="22"/>
      <c r="Q2219" s="22"/>
      <c r="R2219" s="22"/>
      <c r="S2219" s="22"/>
      <c r="T2219" s="22"/>
    </row>
    <row r="2220" spans="1:20" x14ac:dyDescent="0.35">
      <c r="A2220" s="21"/>
      <c r="B2220" s="17"/>
      <c r="C2220" s="18"/>
      <c r="D2220" s="19"/>
      <c r="E2220" s="19"/>
      <c r="F2220" s="22"/>
      <c r="G2220" s="22"/>
      <c r="H2220" s="22"/>
      <c r="I2220" s="22"/>
      <c r="J2220" s="22"/>
      <c r="K2220" s="22"/>
      <c r="L2220" s="22"/>
      <c r="M2220" s="22"/>
      <c r="N2220" s="22"/>
      <c r="O2220" s="22"/>
      <c r="P2220" s="22"/>
      <c r="Q2220" s="22"/>
      <c r="R2220" s="22"/>
      <c r="S2220" s="22"/>
      <c r="T2220" s="22"/>
    </row>
    <row r="2221" spans="1:20" x14ac:dyDescent="0.35">
      <c r="A2221" s="21"/>
      <c r="B2221" s="17"/>
      <c r="C2221" s="18"/>
      <c r="D2221" s="19"/>
      <c r="E2221" s="19"/>
      <c r="F2221" s="22"/>
      <c r="G2221" s="22"/>
      <c r="H2221" s="22"/>
      <c r="I2221" s="22"/>
      <c r="J2221" s="22"/>
      <c r="K2221" s="22"/>
      <c r="L2221" s="22"/>
      <c r="M2221" s="22"/>
      <c r="N2221" s="22"/>
      <c r="O2221" s="22"/>
      <c r="P2221" s="22"/>
      <c r="Q2221" s="22"/>
      <c r="R2221" s="22"/>
      <c r="S2221" s="22"/>
      <c r="T2221" s="22"/>
    </row>
    <row r="2222" spans="1:20" x14ac:dyDescent="0.35">
      <c r="A2222" s="21"/>
      <c r="B2222" s="17"/>
      <c r="C2222" s="18"/>
      <c r="D2222" s="19"/>
      <c r="E2222" s="19"/>
      <c r="F2222" s="22"/>
      <c r="G2222" s="22"/>
      <c r="H2222" s="22"/>
      <c r="I2222" s="22"/>
      <c r="J2222" s="22"/>
      <c r="K2222" s="22"/>
      <c r="L2222" s="22"/>
      <c r="M2222" s="22"/>
      <c r="N2222" s="22"/>
      <c r="O2222" s="22"/>
      <c r="P2222" s="22"/>
      <c r="Q2222" s="22"/>
      <c r="R2222" s="22"/>
      <c r="S2222" s="22"/>
      <c r="T2222" s="22"/>
    </row>
    <row r="2223" spans="1:20" x14ac:dyDescent="0.35">
      <c r="A2223" s="21"/>
      <c r="B2223" s="17"/>
      <c r="C2223" s="13"/>
      <c r="D2223" s="13"/>
      <c r="E2223" s="13"/>
      <c r="F2223" s="14"/>
      <c r="G2223" s="14"/>
      <c r="H2223" s="14"/>
      <c r="I2223" s="14"/>
      <c r="J2223" s="14"/>
      <c r="K2223" s="14"/>
      <c r="L2223" s="14"/>
      <c r="M2223" s="14"/>
      <c r="N2223" s="14"/>
      <c r="O2223" s="14"/>
      <c r="P2223" s="14"/>
      <c r="Q2223" s="14"/>
      <c r="R2223" s="14"/>
      <c r="S2223" s="14"/>
      <c r="T2223" s="14"/>
    </row>
    <row r="2224" spans="1:20" x14ac:dyDescent="0.35">
      <c r="A2224" s="21"/>
      <c r="B2224" s="17"/>
      <c r="C2224" s="13"/>
      <c r="D2224" s="13"/>
      <c r="E2224" s="13"/>
      <c r="F2224" s="14"/>
      <c r="G2224" s="14"/>
      <c r="H2224" s="14"/>
      <c r="I2224" s="14"/>
      <c r="J2224" s="14"/>
      <c r="K2224" s="14"/>
      <c r="L2224" s="14"/>
      <c r="M2224" s="14"/>
      <c r="N2224" s="14"/>
      <c r="O2224" s="14"/>
      <c r="P2224" s="14"/>
      <c r="Q2224" s="14"/>
      <c r="R2224" s="14"/>
      <c r="S2224" s="14"/>
      <c r="T2224" s="14"/>
    </row>
    <row r="2225" spans="1:20" x14ac:dyDescent="0.35">
      <c r="A2225" s="21"/>
      <c r="B2225" s="17"/>
      <c r="C2225" s="13"/>
      <c r="D2225" s="13"/>
      <c r="E2225" s="13"/>
      <c r="F2225" s="14"/>
      <c r="G2225" s="14"/>
      <c r="H2225" s="14"/>
      <c r="I2225" s="14"/>
      <c r="J2225" s="14"/>
      <c r="K2225" s="14"/>
      <c r="L2225" s="14"/>
      <c r="M2225" s="14"/>
      <c r="N2225" s="14"/>
      <c r="O2225" s="14"/>
      <c r="P2225" s="14"/>
      <c r="Q2225" s="14"/>
      <c r="R2225" s="14"/>
      <c r="S2225" s="14"/>
      <c r="T2225" s="14"/>
    </row>
    <row r="2226" spans="1:20" x14ac:dyDescent="0.35">
      <c r="A2226" s="21"/>
      <c r="B2226" s="17"/>
      <c r="C2226" s="13"/>
      <c r="D2226" s="13"/>
      <c r="E2226" s="13"/>
      <c r="F2226" s="14"/>
      <c r="G2226" s="14"/>
      <c r="H2226" s="14"/>
      <c r="I2226" s="14"/>
      <c r="J2226" s="14"/>
      <c r="K2226" s="14"/>
      <c r="L2226" s="14"/>
      <c r="M2226" s="14"/>
      <c r="N2226" s="14"/>
      <c r="O2226" s="14"/>
      <c r="P2226" s="14"/>
      <c r="Q2226" s="14"/>
      <c r="R2226" s="14"/>
      <c r="S2226" s="14"/>
      <c r="T2226" s="14"/>
    </row>
    <row r="2227" spans="1:20" x14ac:dyDescent="0.35">
      <c r="A2227" s="21"/>
      <c r="B2227" s="17"/>
      <c r="C2227" s="13"/>
      <c r="D2227" s="13"/>
      <c r="E2227" s="13"/>
      <c r="F2227" s="14"/>
      <c r="G2227" s="14"/>
      <c r="H2227" s="14"/>
      <c r="I2227" s="14"/>
      <c r="J2227" s="14"/>
      <c r="K2227" s="14"/>
      <c r="L2227" s="14"/>
      <c r="M2227" s="14"/>
      <c r="N2227" s="14"/>
      <c r="O2227" s="14"/>
      <c r="P2227" s="14"/>
      <c r="Q2227" s="14"/>
      <c r="R2227" s="14"/>
      <c r="S2227" s="14"/>
      <c r="T2227" s="14"/>
    </row>
    <row r="2228" spans="1:20" x14ac:dyDescent="0.35">
      <c r="A2228" s="21"/>
      <c r="B2228" s="17"/>
      <c r="C2228" s="13"/>
      <c r="D2228" s="13"/>
      <c r="E2228" s="13"/>
      <c r="F2228" s="14"/>
      <c r="G2228" s="14"/>
      <c r="H2228" s="14"/>
      <c r="I2228" s="14"/>
      <c r="J2228" s="14"/>
      <c r="K2228" s="14"/>
      <c r="L2228" s="14"/>
      <c r="M2228" s="14"/>
      <c r="N2228" s="14"/>
      <c r="O2228" s="14"/>
      <c r="P2228" s="14"/>
      <c r="Q2228" s="14"/>
      <c r="R2228" s="14"/>
      <c r="S2228" s="14"/>
      <c r="T2228" s="14"/>
    </row>
    <row r="2229" spans="1:20" x14ac:dyDescent="0.35">
      <c r="A2229" s="21"/>
      <c r="B2229" s="17"/>
      <c r="C2229" s="13"/>
      <c r="D2229" s="13"/>
      <c r="E2229" s="13"/>
      <c r="F2229" s="14"/>
      <c r="G2229" s="14"/>
      <c r="H2229" s="14"/>
      <c r="I2229" s="14"/>
      <c r="J2229" s="14"/>
      <c r="K2229" s="14"/>
      <c r="L2229" s="14"/>
      <c r="M2229" s="14"/>
      <c r="N2229" s="14"/>
      <c r="O2229" s="14"/>
      <c r="P2229" s="14"/>
      <c r="Q2229" s="14"/>
      <c r="R2229" s="14"/>
      <c r="S2229" s="14"/>
      <c r="T2229" s="14"/>
    </row>
    <row r="2230" spans="1:20" x14ac:dyDescent="0.35">
      <c r="A2230" s="21"/>
      <c r="B2230" s="17"/>
      <c r="F2230" s="14"/>
      <c r="G2230" s="14"/>
      <c r="H2230" s="14"/>
      <c r="I2230" s="14"/>
      <c r="J2230" s="14"/>
      <c r="K2230" s="14"/>
      <c r="L2230" s="14"/>
      <c r="M2230" s="14"/>
      <c r="N2230" s="14"/>
      <c r="O2230" s="14"/>
      <c r="P2230" s="14"/>
      <c r="Q2230" s="14"/>
      <c r="R2230" s="14"/>
      <c r="S2230" s="14"/>
      <c r="T2230" s="14"/>
    </row>
    <row r="2231" spans="1:20" x14ac:dyDescent="0.35">
      <c r="A2231" s="21"/>
      <c r="B2231" s="17"/>
      <c r="F2231" s="14"/>
      <c r="G2231" s="14"/>
      <c r="H2231" s="14"/>
      <c r="I2231" s="14"/>
      <c r="J2231" s="14"/>
      <c r="K2231" s="14"/>
      <c r="L2231" s="14"/>
      <c r="M2231" s="14"/>
      <c r="N2231" s="14"/>
      <c r="O2231" s="14"/>
      <c r="P2231" s="14"/>
      <c r="Q2231" s="14"/>
      <c r="R2231" s="14"/>
      <c r="S2231" s="14"/>
      <c r="T2231" s="14"/>
    </row>
    <row r="2232" spans="1:20" x14ac:dyDescent="0.35">
      <c r="A2232" s="21"/>
      <c r="B2232" s="17"/>
      <c r="F2232" s="14"/>
      <c r="G2232" s="14"/>
      <c r="H2232" s="14"/>
      <c r="I2232" s="14"/>
      <c r="J2232" s="14"/>
      <c r="K2232" s="14"/>
      <c r="L2232" s="14"/>
      <c r="M2232" s="14"/>
      <c r="N2232" s="14"/>
      <c r="O2232" s="14"/>
      <c r="P2232" s="14"/>
      <c r="Q2232" s="14"/>
      <c r="R2232" s="14"/>
      <c r="S2232" s="14"/>
      <c r="T2232" s="14"/>
    </row>
    <row r="2233" spans="1:20" x14ac:dyDescent="0.35">
      <c r="A2233" s="21"/>
      <c r="B2233" s="17"/>
      <c r="F2233" s="14"/>
      <c r="G2233" s="14"/>
      <c r="H2233" s="14"/>
      <c r="I2233" s="14"/>
      <c r="J2233" s="14"/>
      <c r="K2233" s="14"/>
      <c r="L2233" s="14"/>
      <c r="M2233" s="14"/>
      <c r="N2233" s="14"/>
      <c r="O2233" s="14"/>
      <c r="P2233" s="14"/>
      <c r="Q2233" s="14"/>
      <c r="R2233" s="14"/>
      <c r="S2233" s="14"/>
      <c r="T2233" s="14"/>
    </row>
    <row r="2234" spans="1:20" x14ac:dyDescent="0.35">
      <c r="A2234" s="21"/>
      <c r="B2234" s="17"/>
      <c r="F2234" s="14"/>
      <c r="G2234" s="14"/>
      <c r="H2234" s="14"/>
      <c r="I2234" s="14"/>
      <c r="J2234" s="14"/>
      <c r="K2234" s="14"/>
      <c r="L2234" s="14"/>
      <c r="M2234" s="14"/>
      <c r="N2234" s="14"/>
      <c r="O2234" s="14"/>
      <c r="P2234" s="14"/>
      <c r="Q2234" s="14"/>
      <c r="R2234" s="14"/>
      <c r="S2234" s="14"/>
      <c r="T2234" s="14"/>
    </row>
    <row r="2235" spans="1:20" x14ac:dyDescent="0.35">
      <c r="A2235" s="21"/>
      <c r="B2235" s="17"/>
      <c r="F2235" s="14"/>
      <c r="G2235" s="14"/>
      <c r="H2235" s="14"/>
      <c r="I2235" s="14"/>
      <c r="J2235" s="14"/>
      <c r="K2235" s="14"/>
      <c r="L2235" s="14"/>
      <c r="M2235" s="14"/>
      <c r="N2235" s="14"/>
      <c r="O2235" s="14"/>
      <c r="P2235" s="14"/>
      <c r="Q2235" s="14"/>
      <c r="R2235" s="14"/>
      <c r="S2235" s="14"/>
      <c r="T2235" s="14"/>
    </row>
    <row r="2236" spans="1:20" x14ac:dyDescent="0.35">
      <c r="A2236" s="21"/>
      <c r="B2236" s="17"/>
      <c r="F2236" s="14"/>
      <c r="G2236" s="14"/>
      <c r="H2236" s="14"/>
      <c r="I2236" s="14"/>
      <c r="J2236" s="14"/>
      <c r="K2236" s="14"/>
      <c r="L2236" s="14"/>
      <c r="M2236" s="14"/>
      <c r="N2236" s="14"/>
      <c r="O2236" s="14"/>
      <c r="P2236" s="14"/>
      <c r="Q2236" s="14"/>
      <c r="R2236" s="14"/>
      <c r="S2236" s="14"/>
      <c r="T2236" s="14"/>
    </row>
    <row r="2237" spans="1:20" x14ac:dyDescent="0.35">
      <c r="B2237" s="17"/>
      <c r="C2237" s="18"/>
      <c r="D2237" s="19"/>
      <c r="E2237" s="19"/>
      <c r="F2237" s="22"/>
      <c r="G2237" s="22"/>
      <c r="H2237" s="22"/>
      <c r="I2237" s="22"/>
      <c r="J2237" s="22"/>
      <c r="K2237" s="22"/>
      <c r="L2237" s="22"/>
      <c r="M2237" s="22"/>
      <c r="N2237" s="22"/>
      <c r="O2237" s="22"/>
      <c r="P2237" s="22"/>
      <c r="Q2237" s="22"/>
      <c r="R2237" s="22"/>
      <c r="S2237" s="22"/>
      <c r="T2237" s="22"/>
    </row>
    <row r="2238" spans="1:20" x14ac:dyDescent="0.35">
      <c r="B2238" s="17"/>
      <c r="C2238" s="18"/>
      <c r="D2238" s="19"/>
      <c r="E2238" s="19"/>
      <c r="F2238" s="22"/>
      <c r="G2238" s="22"/>
      <c r="H2238" s="22"/>
      <c r="I2238" s="22"/>
      <c r="J2238" s="22"/>
      <c r="K2238" s="22"/>
      <c r="L2238" s="22"/>
      <c r="M2238" s="22"/>
      <c r="N2238" s="22"/>
      <c r="O2238" s="22"/>
      <c r="P2238" s="22"/>
      <c r="Q2238" s="22"/>
      <c r="R2238" s="22"/>
      <c r="S2238" s="22"/>
      <c r="T2238" s="22"/>
    </row>
    <row r="2239" spans="1:20" x14ac:dyDescent="0.35">
      <c r="B2239" s="17"/>
      <c r="C2239" s="18"/>
      <c r="D2239" s="19"/>
      <c r="E2239" s="19"/>
      <c r="F2239" s="22"/>
      <c r="G2239" s="22"/>
      <c r="H2239" s="22"/>
      <c r="I2239" s="22"/>
      <c r="J2239" s="22"/>
      <c r="K2239" s="22"/>
      <c r="L2239" s="22"/>
      <c r="M2239" s="22"/>
      <c r="N2239" s="22"/>
      <c r="O2239" s="22"/>
      <c r="P2239" s="22"/>
      <c r="Q2239" s="22"/>
      <c r="R2239" s="22"/>
      <c r="S2239" s="22"/>
      <c r="T2239" s="22"/>
    </row>
    <row r="2240" spans="1:20" x14ac:dyDescent="0.35">
      <c r="B2240" s="17"/>
      <c r="C2240" s="18"/>
      <c r="D2240" s="19"/>
      <c r="E2240" s="19"/>
      <c r="F2240" s="22"/>
      <c r="G2240" s="22"/>
      <c r="H2240" s="22"/>
      <c r="I2240" s="22"/>
      <c r="J2240" s="22"/>
      <c r="K2240" s="22"/>
      <c r="L2240" s="22"/>
      <c r="M2240" s="22"/>
      <c r="N2240" s="22"/>
      <c r="O2240" s="22"/>
      <c r="P2240" s="22"/>
      <c r="Q2240" s="22"/>
      <c r="R2240" s="22"/>
      <c r="S2240" s="22"/>
      <c r="T2240" s="22"/>
    </row>
    <row r="2241" spans="2:20" x14ac:dyDescent="0.35">
      <c r="B2241" s="17"/>
      <c r="C2241" s="18"/>
      <c r="D2241" s="19"/>
      <c r="E2241" s="19"/>
      <c r="F2241" s="22"/>
      <c r="G2241" s="22"/>
      <c r="H2241" s="22"/>
      <c r="I2241" s="22"/>
      <c r="J2241" s="22"/>
      <c r="K2241" s="22"/>
      <c r="L2241" s="22"/>
      <c r="M2241" s="22"/>
      <c r="N2241" s="22"/>
      <c r="O2241" s="22"/>
      <c r="P2241" s="22"/>
      <c r="Q2241" s="22"/>
      <c r="R2241" s="22"/>
      <c r="S2241" s="22"/>
      <c r="T2241" s="22"/>
    </row>
    <row r="2242" spans="2:20" x14ac:dyDescent="0.35">
      <c r="B2242" s="17"/>
      <c r="C2242" s="20"/>
      <c r="D2242" s="19"/>
      <c r="E2242" s="19"/>
      <c r="F2242" s="22"/>
      <c r="G2242" s="22"/>
      <c r="H2242" s="22"/>
      <c r="I2242" s="22"/>
      <c r="J2242" s="22"/>
      <c r="K2242" s="22"/>
      <c r="L2242" s="22"/>
      <c r="M2242" s="22"/>
      <c r="N2242" s="22"/>
      <c r="O2242" s="22"/>
      <c r="P2242" s="22"/>
      <c r="Q2242" s="22"/>
      <c r="R2242" s="22"/>
      <c r="S2242" s="22"/>
      <c r="T2242" s="22"/>
    </row>
    <row r="2243" spans="2:20" x14ac:dyDescent="0.35">
      <c r="B2243" s="17"/>
      <c r="C2243" s="20"/>
      <c r="D2243" s="19"/>
      <c r="E2243" s="19"/>
      <c r="F2243" s="22"/>
      <c r="G2243" s="22"/>
      <c r="H2243" s="22"/>
      <c r="I2243" s="22"/>
      <c r="J2243" s="22"/>
      <c r="K2243" s="22"/>
      <c r="L2243" s="22"/>
      <c r="M2243" s="22"/>
      <c r="N2243" s="22"/>
      <c r="O2243" s="22"/>
      <c r="P2243" s="22"/>
      <c r="Q2243" s="22"/>
      <c r="R2243" s="22"/>
      <c r="S2243" s="22"/>
      <c r="T2243" s="22"/>
    </row>
    <row r="2244" spans="2:20" x14ac:dyDescent="0.35">
      <c r="B2244" s="17"/>
      <c r="C2244" s="20"/>
      <c r="D2244" s="19"/>
      <c r="E2244" s="19"/>
      <c r="F2244" s="22"/>
      <c r="G2244" s="22"/>
      <c r="H2244" s="22"/>
      <c r="I2244" s="22"/>
      <c r="J2244" s="22"/>
      <c r="K2244" s="22"/>
      <c r="L2244" s="22"/>
      <c r="M2244" s="22"/>
      <c r="N2244" s="22"/>
      <c r="O2244" s="22"/>
      <c r="P2244" s="22"/>
      <c r="Q2244" s="22"/>
      <c r="R2244" s="22"/>
      <c r="S2244" s="22"/>
      <c r="T2244" s="22"/>
    </row>
    <row r="2245" spans="2:20" x14ac:dyDescent="0.35">
      <c r="B2245" s="17"/>
      <c r="C2245" s="20"/>
      <c r="D2245" s="19"/>
      <c r="E2245" s="19"/>
      <c r="F2245" s="22"/>
      <c r="G2245" s="22"/>
      <c r="H2245" s="22"/>
      <c r="I2245" s="22"/>
      <c r="J2245" s="22"/>
      <c r="K2245" s="22"/>
      <c r="L2245" s="22"/>
      <c r="M2245" s="22"/>
      <c r="N2245" s="22"/>
      <c r="O2245" s="22"/>
      <c r="P2245" s="22"/>
      <c r="Q2245" s="22"/>
      <c r="R2245" s="22"/>
      <c r="S2245" s="22"/>
      <c r="T2245" s="22"/>
    </row>
    <row r="2246" spans="2:20" x14ac:dyDescent="0.35">
      <c r="B2246" s="17"/>
      <c r="C2246" s="13"/>
      <c r="D2246" s="13"/>
      <c r="E2246" s="13"/>
      <c r="F2246" s="14"/>
      <c r="G2246" s="14"/>
      <c r="H2246" s="14"/>
      <c r="I2246" s="14"/>
      <c r="J2246" s="14"/>
      <c r="K2246" s="14"/>
      <c r="L2246" s="14"/>
      <c r="M2246" s="14"/>
      <c r="N2246" s="14"/>
      <c r="O2246" s="14"/>
      <c r="P2246" s="14"/>
      <c r="Q2246" s="14"/>
      <c r="R2246" s="14"/>
      <c r="S2246" s="14"/>
      <c r="T2246" s="14"/>
    </row>
    <row r="2247" spans="2:20" x14ac:dyDescent="0.35">
      <c r="B2247" s="17"/>
      <c r="C2247" s="13"/>
      <c r="D2247" s="13"/>
      <c r="E2247" s="13"/>
      <c r="F2247" s="14"/>
      <c r="G2247" s="14"/>
      <c r="H2247" s="14"/>
      <c r="I2247" s="14"/>
      <c r="J2247" s="14"/>
      <c r="K2247" s="14"/>
      <c r="L2247" s="14"/>
      <c r="M2247" s="14"/>
      <c r="N2247" s="14"/>
      <c r="O2247" s="14"/>
      <c r="P2247" s="14"/>
      <c r="Q2247" s="14"/>
      <c r="R2247" s="14"/>
      <c r="S2247" s="14"/>
      <c r="T2247" s="14"/>
    </row>
    <row r="2248" spans="2:20" x14ac:dyDescent="0.35">
      <c r="B2248" s="17"/>
      <c r="C2248" s="13"/>
      <c r="D2248" s="13"/>
      <c r="E2248" s="13"/>
      <c r="F2248" s="14"/>
      <c r="G2248" s="14"/>
      <c r="H2248" s="14"/>
      <c r="I2248" s="14"/>
      <c r="J2248" s="14"/>
      <c r="K2248" s="14"/>
      <c r="L2248" s="14"/>
      <c r="M2248" s="14"/>
      <c r="N2248" s="14"/>
      <c r="O2248" s="14"/>
      <c r="P2248" s="14"/>
      <c r="Q2248" s="14"/>
      <c r="R2248" s="14"/>
      <c r="S2248" s="14"/>
      <c r="T2248" s="14"/>
    </row>
    <row r="2249" spans="2:20" x14ac:dyDescent="0.35">
      <c r="B2249" s="17"/>
      <c r="C2249" s="13"/>
      <c r="D2249" s="13"/>
      <c r="E2249" s="13"/>
      <c r="F2249" s="14"/>
      <c r="G2249" s="14"/>
      <c r="H2249" s="14"/>
      <c r="I2249" s="14"/>
      <c r="J2249" s="14"/>
      <c r="K2249" s="14"/>
      <c r="L2249" s="14"/>
      <c r="M2249" s="14"/>
      <c r="N2249" s="14"/>
      <c r="O2249" s="14"/>
      <c r="P2249" s="14"/>
      <c r="Q2249" s="14"/>
      <c r="R2249" s="14"/>
      <c r="S2249" s="14"/>
      <c r="T2249" s="14"/>
    </row>
    <row r="2250" spans="2:20" x14ac:dyDescent="0.35">
      <c r="B2250" s="17"/>
      <c r="C2250" s="13"/>
      <c r="D2250" s="13"/>
      <c r="E2250" s="13"/>
      <c r="F2250" s="14"/>
      <c r="G2250" s="14"/>
      <c r="H2250" s="14"/>
      <c r="I2250" s="14"/>
      <c r="J2250" s="14"/>
      <c r="K2250" s="14"/>
      <c r="L2250" s="14"/>
      <c r="M2250" s="14"/>
      <c r="N2250" s="14"/>
      <c r="O2250" s="14"/>
      <c r="P2250" s="14"/>
      <c r="Q2250" s="14"/>
      <c r="R2250" s="14"/>
      <c r="S2250" s="14"/>
      <c r="T2250" s="14"/>
    </row>
    <row r="2251" spans="2:20" x14ac:dyDescent="0.35">
      <c r="B2251" s="17"/>
      <c r="C2251" s="13"/>
      <c r="D2251" s="13"/>
      <c r="E2251" s="13"/>
      <c r="F2251" s="14"/>
      <c r="G2251" s="14"/>
      <c r="H2251" s="14"/>
      <c r="I2251" s="14"/>
      <c r="J2251" s="14"/>
      <c r="K2251" s="14"/>
      <c r="L2251" s="14"/>
      <c r="M2251" s="14"/>
      <c r="N2251" s="14"/>
      <c r="O2251" s="14"/>
      <c r="P2251" s="14"/>
      <c r="Q2251" s="14"/>
      <c r="R2251" s="14"/>
      <c r="S2251" s="14"/>
      <c r="T2251" s="14"/>
    </row>
    <row r="2252" spans="2:20" x14ac:dyDescent="0.35">
      <c r="B2252" s="17"/>
      <c r="C2252" s="13"/>
      <c r="D2252" s="13"/>
      <c r="E2252" s="13"/>
      <c r="F2252" s="14"/>
      <c r="G2252" s="14"/>
      <c r="H2252" s="14"/>
      <c r="I2252" s="14"/>
      <c r="J2252" s="14"/>
      <c r="K2252" s="14"/>
      <c r="L2252" s="14"/>
      <c r="M2252" s="14"/>
      <c r="N2252" s="14"/>
      <c r="O2252" s="14"/>
      <c r="P2252" s="14"/>
      <c r="Q2252" s="14"/>
      <c r="R2252" s="14"/>
      <c r="S2252" s="14"/>
      <c r="T2252" s="14"/>
    </row>
    <row r="2253" spans="2:20" x14ac:dyDescent="0.35">
      <c r="B2253" s="17"/>
      <c r="C2253" s="13"/>
      <c r="D2253" s="13"/>
      <c r="E2253" s="13"/>
      <c r="F2253" s="14"/>
      <c r="G2253" s="14"/>
      <c r="H2253" s="14"/>
      <c r="I2253" s="14"/>
      <c r="J2253" s="14"/>
      <c r="K2253" s="14"/>
      <c r="L2253" s="14"/>
      <c r="M2253" s="14"/>
      <c r="N2253" s="14"/>
      <c r="O2253" s="14"/>
      <c r="P2253" s="14"/>
      <c r="Q2253" s="14"/>
      <c r="R2253" s="14"/>
      <c r="S2253" s="14"/>
      <c r="T2253" s="14"/>
    </row>
    <row r="2254" spans="2:20" x14ac:dyDescent="0.35">
      <c r="B2254" s="17"/>
      <c r="C2254" s="13"/>
      <c r="D2254" s="13"/>
      <c r="E2254" s="13"/>
      <c r="F2254" s="14"/>
      <c r="G2254" s="14"/>
      <c r="H2254" s="14"/>
      <c r="I2254" s="14"/>
      <c r="J2254" s="14"/>
      <c r="K2254" s="14"/>
      <c r="L2254" s="14"/>
      <c r="M2254" s="14"/>
      <c r="N2254" s="14"/>
      <c r="O2254" s="14"/>
      <c r="P2254" s="14"/>
      <c r="Q2254" s="14"/>
      <c r="R2254" s="14"/>
      <c r="S2254" s="14"/>
      <c r="T2254" s="14"/>
    </row>
    <row r="2255" spans="2:20" x14ac:dyDescent="0.35">
      <c r="B2255" s="17"/>
      <c r="C2255" s="13"/>
      <c r="D2255" s="13"/>
      <c r="E2255" s="13"/>
      <c r="F2255" s="14"/>
      <c r="G2255" s="14"/>
      <c r="H2255" s="14"/>
      <c r="I2255" s="14"/>
      <c r="J2255" s="14"/>
      <c r="K2255" s="14"/>
      <c r="L2255" s="14"/>
      <c r="M2255" s="14"/>
      <c r="N2255" s="14"/>
      <c r="O2255" s="14"/>
      <c r="P2255" s="14"/>
      <c r="Q2255" s="14"/>
      <c r="R2255" s="14"/>
      <c r="S2255" s="14"/>
      <c r="T2255" s="14"/>
    </row>
    <row r="2256" spans="2:20" x14ac:dyDescent="0.35">
      <c r="B2256" s="17"/>
      <c r="C2256" s="13"/>
      <c r="D2256" s="13"/>
      <c r="E2256" s="13"/>
      <c r="F2256" s="14"/>
      <c r="G2256" s="14"/>
      <c r="H2256" s="14"/>
      <c r="I2256" s="14"/>
      <c r="J2256" s="14"/>
      <c r="K2256" s="14"/>
      <c r="L2256" s="14"/>
      <c r="M2256" s="14"/>
      <c r="N2256" s="14"/>
      <c r="O2256" s="14"/>
      <c r="P2256" s="14"/>
      <c r="Q2256" s="14"/>
      <c r="R2256" s="14"/>
      <c r="S2256" s="14"/>
      <c r="T2256" s="14"/>
    </row>
    <row r="2257" spans="2:20" x14ac:dyDescent="0.35">
      <c r="B2257" s="17"/>
      <c r="C2257" s="13"/>
      <c r="D2257" s="13"/>
      <c r="E2257" s="13"/>
      <c r="F2257" s="14"/>
      <c r="G2257" s="14"/>
      <c r="H2257" s="14"/>
      <c r="I2257" s="14"/>
      <c r="J2257" s="14"/>
      <c r="K2257" s="14"/>
      <c r="L2257" s="14"/>
      <c r="M2257" s="14"/>
      <c r="N2257" s="14"/>
      <c r="O2257" s="14"/>
      <c r="P2257" s="14"/>
      <c r="Q2257" s="14"/>
      <c r="R2257" s="14"/>
      <c r="S2257" s="14"/>
      <c r="T2257" s="14"/>
    </row>
    <row r="2258" spans="2:20" x14ac:dyDescent="0.35">
      <c r="B2258" s="17"/>
      <c r="C2258" s="13"/>
      <c r="D2258" s="13"/>
      <c r="E2258" s="13"/>
      <c r="F2258" s="14"/>
      <c r="G2258" s="14"/>
      <c r="H2258" s="14"/>
      <c r="I2258" s="14"/>
      <c r="J2258" s="14"/>
      <c r="K2258" s="14"/>
      <c r="L2258" s="14"/>
      <c r="M2258" s="14"/>
      <c r="N2258" s="14"/>
      <c r="O2258" s="14"/>
      <c r="P2258" s="14"/>
      <c r="Q2258" s="14"/>
      <c r="R2258" s="14"/>
      <c r="S2258" s="14"/>
      <c r="T2258" s="14"/>
    </row>
    <row r="2259" spans="2:20" x14ac:dyDescent="0.35">
      <c r="B2259" s="17"/>
      <c r="C2259" s="13"/>
      <c r="D2259" s="13"/>
      <c r="E2259" s="13"/>
      <c r="F2259" s="14"/>
      <c r="G2259" s="14"/>
      <c r="H2259" s="14"/>
      <c r="I2259" s="14"/>
      <c r="J2259" s="14"/>
      <c r="K2259" s="14"/>
      <c r="L2259" s="14"/>
      <c r="M2259" s="14"/>
      <c r="N2259" s="14"/>
      <c r="O2259" s="14"/>
      <c r="P2259" s="14"/>
      <c r="Q2259" s="14"/>
      <c r="R2259" s="14"/>
      <c r="S2259" s="14"/>
      <c r="T2259" s="14"/>
    </row>
    <row r="2260" spans="2:20" x14ac:dyDescent="0.35">
      <c r="B2260" s="17"/>
      <c r="C2260" s="13"/>
      <c r="D2260" s="13"/>
      <c r="E2260" s="13"/>
      <c r="F2260" s="14"/>
      <c r="G2260" s="14"/>
      <c r="H2260" s="14"/>
      <c r="I2260" s="14"/>
      <c r="J2260" s="14"/>
      <c r="K2260" s="14"/>
      <c r="L2260" s="14"/>
      <c r="M2260" s="14"/>
      <c r="N2260" s="14"/>
      <c r="O2260" s="14"/>
      <c r="P2260" s="14"/>
      <c r="Q2260" s="14"/>
      <c r="R2260" s="14"/>
      <c r="S2260" s="14"/>
      <c r="T2260" s="14"/>
    </row>
    <row r="2261" spans="2:20" x14ac:dyDescent="0.35">
      <c r="B2261" s="17"/>
      <c r="C2261" s="18"/>
      <c r="D2261" s="19"/>
      <c r="E2261" s="19"/>
      <c r="F2261" s="22"/>
      <c r="G2261" s="22"/>
      <c r="H2261" s="22"/>
      <c r="I2261" s="22"/>
      <c r="J2261" s="22"/>
      <c r="K2261" s="22"/>
      <c r="L2261" s="22"/>
      <c r="M2261" s="22"/>
      <c r="N2261" s="22"/>
      <c r="O2261" s="22"/>
      <c r="P2261" s="22"/>
      <c r="Q2261" s="22"/>
      <c r="R2261" s="22"/>
      <c r="S2261" s="22"/>
      <c r="T2261" s="22"/>
    </row>
    <row r="2262" spans="2:20" x14ac:dyDescent="0.35">
      <c r="B2262" s="17"/>
      <c r="C2262" s="18"/>
      <c r="D2262" s="19"/>
      <c r="E2262" s="19"/>
      <c r="F2262" s="22"/>
      <c r="G2262" s="22"/>
      <c r="H2262" s="22"/>
      <c r="I2262" s="22"/>
      <c r="J2262" s="22"/>
      <c r="K2262" s="22"/>
      <c r="L2262" s="22"/>
      <c r="M2262" s="22"/>
      <c r="N2262" s="22"/>
      <c r="O2262" s="22"/>
      <c r="P2262" s="22"/>
      <c r="Q2262" s="22"/>
      <c r="R2262" s="22"/>
      <c r="S2262" s="22"/>
      <c r="T2262" s="22"/>
    </row>
    <row r="2263" spans="2:20" x14ac:dyDescent="0.35">
      <c r="B2263" s="17"/>
      <c r="C2263" s="18"/>
      <c r="D2263" s="19"/>
      <c r="E2263" s="19"/>
      <c r="F2263" s="22"/>
      <c r="G2263" s="22"/>
      <c r="H2263" s="22"/>
      <c r="I2263" s="22"/>
      <c r="J2263" s="22"/>
      <c r="K2263" s="22"/>
      <c r="L2263" s="22"/>
      <c r="M2263" s="22"/>
      <c r="N2263" s="22"/>
      <c r="O2263" s="22"/>
      <c r="P2263" s="22"/>
      <c r="Q2263" s="22"/>
      <c r="R2263" s="22"/>
      <c r="S2263" s="22"/>
      <c r="T2263" s="22"/>
    </row>
    <row r="2264" spans="2:20" x14ac:dyDescent="0.35">
      <c r="B2264" s="17"/>
      <c r="C2264" s="18"/>
      <c r="D2264" s="19"/>
      <c r="E2264" s="19"/>
      <c r="F2264" s="22"/>
      <c r="G2264" s="22"/>
      <c r="H2264" s="22"/>
      <c r="I2264" s="22"/>
      <c r="J2264" s="22"/>
      <c r="K2264" s="22"/>
      <c r="L2264" s="22"/>
      <c r="M2264" s="22"/>
      <c r="N2264" s="22"/>
      <c r="O2264" s="22"/>
      <c r="P2264" s="22"/>
      <c r="Q2264" s="22"/>
      <c r="R2264" s="22"/>
      <c r="S2264" s="22"/>
      <c r="T2264" s="22"/>
    </row>
    <row r="2265" spans="2:20" x14ac:dyDescent="0.35">
      <c r="B2265" s="17"/>
      <c r="C2265" s="18"/>
      <c r="D2265" s="19"/>
      <c r="E2265" s="19"/>
      <c r="F2265" s="22"/>
      <c r="G2265" s="22"/>
      <c r="H2265" s="22"/>
      <c r="I2265" s="22"/>
      <c r="J2265" s="22"/>
      <c r="K2265" s="22"/>
      <c r="L2265" s="22"/>
      <c r="M2265" s="22"/>
      <c r="N2265" s="22"/>
      <c r="O2265" s="22"/>
      <c r="P2265" s="22"/>
      <c r="Q2265" s="22"/>
      <c r="R2265" s="22"/>
      <c r="S2265" s="22"/>
      <c r="T2265" s="22"/>
    </row>
    <row r="2266" spans="2:20" x14ac:dyDescent="0.35">
      <c r="B2266" s="17"/>
      <c r="C2266" s="18"/>
      <c r="D2266" s="19"/>
      <c r="E2266" s="19"/>
      <c r="F2266" s="22"/>
      <c r="G2266" s="22"/>
      <c r="H2266" s="22"/>
      <c r="I2266" s="22"/>
      <c r="J2266" s="22"/>
      <c r="K2266" s="22"/>
      <c r="L2266" s="22"/>
      <c r="M2266" s="22"/>
      <c r="N2266" s="22"/>
      <c r="O2266" s="22"/>
      <c r="P2266" s="22"/>
      <c r="Q2266" s="22"/>
      <c r="R2266" s="22"/>
      <c r="S2266" s="22"/>
      <c r="T2266" s="22"/>
    </row>
    <row r="2267" spans="2:20" x14ac:dyDescent="0.35">
      <c r="B2267" s="17"/>
      <c r="C2267" s="18"/>
      <c r="D2267" s="19"/>
      <c r="E2267" s="19"/>
      <c r="F2267" s="22"/>
      <c r="G2267" s="22"/>
      <c r="H2267" s="22"/>
      <c r="I2267" s="22"/>
      <c r="J2267" s="22"/>
      <c r="K2267" s="22"/>
      <c r="L2267" s="22"/>
      <c r="M2267" s="22"/>
      <c r="N2267" s="22"/>
      <c r="O2267" s="22"/>
      <c r="P2267" s="22"/>
      <c r="Q2267" s="22"/>
      <c r="R2267" s="22"/>
      <c r="S2267" s="22"/>
      <c r="T2267" s="22"/>
    </row>
    <row r="2268" spans="2:20" x14ac:dyDescent="0.35">
      <c r="B2268" s="17"/>
      <c r="C2268" s="18"/>
      <c r="D2268" s="19"/>
      <c r="E2268" s="19"/>
      <c r="F2268" s="22"/>
      <c r="G2268" s="22"/>
      <c r="H2268" s="22"/>
      <c r="I2268" s="22"/>
      <c r="J2268" s="22"/>
      <c r="K2268" s="22"/>
      <c r="L2268" s="22"/>
      <c r="M2268" s="22"/>
      <c r="N2268" s="22"/>
      <c r="O2268" s="22"/>
      <c r="P2268" s="22"/>
      <c r="Q2268" s="22"/>
      <c r="R2268" s="22"/>
      <c r="S2268" s="22"/>
      <c r="T2268" s="22"/>
    </row>
    <row r="2269" spans="2:20" x14ac:dyDescent="0.35">
      <c r="B2269" s="17"/>
      <c r="C2269" s="18"/>
      <c r="D2269" s="19"/>
      <c r="E2269" s="19"/>
      <c r="F2269" s="22"/>
      <c r="G2269" s="22"/>
      <c r="H2269" s="22"/>
      <c r="I2269" s="22"/>
      <c r="J2269" s="22"/>
      <c r="K2269" s="22"/>
      <c r="L2269" s="22"/>
      <c r="M2269" s="22"/>
      <c r="N2269" s="22"/>
      <c r="O2269" s="22"/>
      <c r="P2269" s="22"/>
      <c r="Q2269" s="22"/>
      <c r="R2269" s="22"/>
      <c r="S2269" s="22"/>
      <c r="T2269" s="22"/>
    </row>
    <row r="2270" spans="2:20" x14ac:dyDescent="0.35">
      <c r="B2270" s="17"/>
      <c r="C2270" s="18"/>
      <c r="D2270" s="19"/>
      <c r="E2270" s="19"/>
      <c r="F2270" s="22"/>
      <c r="G2270" s="22"/>
      <c r="H2270" s="22"/>
      <c r="I2270" s="22"/>
      <c r="J2270" s="22"/>
      <c r="K2270" s="22"/>
      <c r="L2270" s="22"/>
      <c r="M2270" s="22"/>
      <c r="N2270" s="22"/>
      <c r="O2270" s="22"/>
      <c r="P2270" s="22"/>
      <c r="Q2270" s="22"/>
      <c r="R2270" s="22"/>
      <c r="S2270" s="22"/>
      <c r="T2270" s="22"/>
    </row>
    <row r="2271" spans="2:20" x14ac:dyDescent="0.35">
      <c r="B2271" s="17"/>
      <c r="C2271" s="18"/>
      <c r="D2271" s="19"/>
      <c r="E2271" s="19"/>
      <c r="F2271" s="22"/>
      <c r="G2271" s="22"/>
      <c r="H2271" s="22"/>
      <c r="I2271" s="22"/>
      <c r="J2271" s="22"/>
      <c r="K2271" s="22"/>
      <c r="L2271" s="22"/>
      <c r="M2271" s="22"/>
      <c r="N2271" s="22"/>
      <c r="O2271" s="22"/>
      <c r="P2271" s="22"/>
      <c r="Q2271" s="22"/>
      <c r="R2271" s="22"/>
      <c r="S2271" s="22"/>
      <c r="T2271" s="22"/>
    </row>
    <row r="2272" spans="2:20" x14ac:dyDescent="0.35">
      <c r="B2272" s="17"/>
      <c r="C2272" s="18"/>
      <c r="D2272" s="19"/>
      <c r="E2272" s="19"/>
      <c r="F2272" s="22"/>
      <c r="G2272" s="22"/>
      <c r="H2272" s="22"/>
      <c r="I2272" s="22"/>
      <c r="J2272" s="22"/>
      <c r="K2272" s="22"/>
      <c r="L2272" s="22"/>
      <c r="M2272" s="22"/>
      <c r="N2272" s="22"/>
      <c r="O2272" s="22"/>
      <c r="P2272" s="22"/>
      <c r="Q2272" s="22"/>
      <c r="R2272" s="22"/>
      <c r="S2272" s="22"/>
      <c r="T2272" s="22"/>
    </row>
    <row r="2273" spans="2:20" x14ac:dyDescent="0.35">
      <c r="B2273" s="17"/>
      <c r="C2273" s="18"/>
      <c r="D2273" s="19"/>
      <c r="E2273" s="19"/>
      <c r="F2273" s="22"/>
      <c r="G2273" s="22"/>
      <c r="H2273" s="22"/>
      <c r="I2273" s="22"/>
      <c r="J2273" s="22"/>
      <c r="K2273" s="22"/>
      <c r="L2273" s="22"/>
      <c r="M2273" s="22"/>
      <c r="N2273" s="22"/>
      <c r="O2273" s="22"/>
      <c r="P2273" s="22"/>
      <c r="Q2273" s="22"/>
      <c r="R2273" s="22"/>
      <c r="S2273" s="22"/>
      <c r="T2273" s="22"/>
    </row>
    <row r="2274" spans="2:20" x14ac:dyDescent="0.35">
      <c r="B2274" s="17"/>
      <c r="C2274" s="18"/>
      <c r="D2274" s="19"/>
      <c r="E2274" s="19"/>
      <c r="F2274" s="22"/>
      <c r="G2274" s="22"/>
      <c r="H2274" s="22"/>
      <c r="I2274" s="22"/>
      <c r="J2274" s="22"/>
      <c r="K2274" s="22"/>
      <c r="L2274" s="22"/>
      <c r="M2274" s="22"/>
      <c r="N2274" s="22"/>
      <c r="O2274" s="22"/>
      <c r="P2274" s="22"/>
      <c r="Q2274" s="22"/>
      <c r="R2274" s="22"/>
      <c r="S2274" s="22"/>
      <c r="T2274" s="22"/>
    </row>
    <row r="2275" spans="2:20" x14ac:dyDescent="0.35">
      <c r="B2275" s="17"/>
      <c r="C2275" s="18"/>
      <c r="D2275" s="19"/>
      <c r="E2275" s="19"/>
      <c r="F2275" s="22"/>
      <c r="G2275" s="22"/>
      <c r="H2275" s="22"/>
      <c r="I2275" s="22"/>
      <c r="J2275" s="22"/>
      <c r="K2275" s="22"/>
      <c r="L2275" s="22"/>
      <c r="M2275" s="22"/>
      <c r="N2275" s="22"/>
      <c r="O2275" s="22"/>
      <c r="P2275" s="22"/>
      <c r="Q2275" s="22"/>
      <c r="R2275" s="22"/>
      <c r="S2275" s="22"/>
      <c r="T2275" s="22"/>
    </row>
    <row r="2276" spans="2:20" x14ac:dyDescent="0.35">
      <c r="B2276" s="17"/>
      <c r="C2276" s="18"/>
      <c r="D2276" s="19"/>
      <c r="E2276" s="19"/>
      <c r="F2276" s="22"/>
      <c r="G2276" s="22"/>
      <c r="H2276" s="22"/>
      <c r="I2276" s="22"/>
      <c r="J2276" s="22"/>
      <c r="K2276" s="22"/>
      <c r="L2276" s="22"/>
      <c r="M2276" s="22"/>
      <c r="N2276" s="22"/>
      <c r="O2276" s="22"/>
      <c r="P2276" s="22"/>
      <c r="Q2276" s="22"/>
      <c r="R2276" s="22"/>
      <c r="S2276" s="22"/>
      <c r="T2276" s="22"/>
    </row>
    <row r="2277" spans="2:20" x14ac:dyDescent="0.35">
      <c r="B2277" s="17"/>
      <c r="C2277" s="13"/>
      <c r="D2277" s="13"/>
      <c r="E2277" s="13"/>
      <c r="F2277" s="14"/>
      <c r="G2277" s="14"/>
      <c r="H2277" s="14"/>
      <c r="I2277" s="14"/>
      <c r="J2277" s="14"/>
      <c r="K2277" s="14"/>
      <c r="L2277" s="14"/>
      <c r="M2277" s="14"/>
      <c r="N2277" s="14"/>
      <c r="O2277" s="14"/>
      <c r="P2277" s="14"/>
      <c r="Q2277" s="14"/>
      <c r="R2277" s="14"/>
      <c r="S2277" s="14"/>
      <c r="T2277" s="14"/>
    </row>
    <row r="2278" spans="2:20" x14ac:dyDescent="0.35">
      <c r="B2278" s="17"/>
      <c r="C2278" s="13"/>
      <c r="D2278" s="13"/>
      <c r="E2278" s="13"/>
      <c r="F2278" s="14"/>
      <c r="G2278" s="14"/>
      <c r="H2278" s="14"/>
      <c r="I2278" s="14"/>
      <c r="J2278" s="14"/>
      <c r="K2278" s="14"/>
      <c r="L2278" s="14"/>
      <c r="M2278" s="14"/>
      <c r="N2278" s="14"/>
      <c r="O2278" s="14"/>
      <c r="P2278" s="14"/>
      <c r="Q2278" s="14"/>
      <c r="R2278" s="14"/>
      <c r="S2278" s="14"/>
      <c r="T2278" s="14"/>
    </row>
    <row r="2279" spans="2:20" x14ac:dyDescent="0.35">
      <c r="B2279" s="17"/>
      <c r="C2279" s="13"/>
      <c r="D2279" s="13"/>
      <c r="E2279" s="13"/>
      <c r="F2279" s="14"/>
      <c r="G2279" s="14"/>
      <c r="H2279" s="14"/>
      <c r="I2279" s="14"/>
      <c r="J2279" s="14"/>
      <c r="K2279" s="14"/>
      <c r="L2279" s="14"/>
      <c r="M2279" s="14"/>
      <c r="N2279" s="14"/>
      <c r="O2279" s="14"/>
      <c r="P2279" s="14"/>
      <c r="Q2279" s="14"/>
      <c r="R2279" s="14"/>
      <c r="S2279" s="14"/>
      <c r="T2279" s="14"/>
    </row>
    <row r="2280" spans="2:20" x14ac:dyDescent="0.35">
      <c r="B2280" s="17"/>
      <c r="C2280" s="13"/>
      <c r="D2280" s="13"/>
      <c r="E2280" s="13"/>
      <c r="F2280" s="14"/>
      <c r="G2280" s="14"/>
      <c r="H2280" s="14"/>
      <c r="I2280" s="14"/>
      <c r="J2280" s="14"/>
      <c r="K2280" s="14"/>
      <c r="L2280" s="14"/>
      <c r="M2280" s="14"/>
      <c r="N2280" s="14"/>
      <c r="O2280" s="14"/>
      <c r="P2280" s="14"/>
      <c r="Q2280" s="14"/>
      <c r="R2280" s="14"/>
      <c r="S2280" s="14"/>
      <c r="T2280" s="14"/>
    </row>
    <row r="2281" spans="2:20" x14ac:dyDescent="0.35">
      <c r="B2281" s="17"/>
      <c r="C2281" s="13"/>
      <c r="D2281" s="13"/>
      <c r="E2281" s="13"/>
      <c r="F2281" s="14"/>
      <c r="G2281" s="14"/>
      <c r="H2281" s="14"/>
      <c r="I2281" s="14"/>
      <c r="J2281" s="14"/>
      <c r="K2281" s="14"/>
      <c r="L2281" s="14"/>
      <c r="M2281" s="14"/>
      <c r="N2281" s="14"/>
      <c r="O2281" s="14"/>
      <c r="P2281" s="14"/>
      <c r="Q2281" s="14"/>
      <c r="R2281" s="14"/>
      <c r="S2281" s="14"/>
      <c r="T2281" s="14"/>
    </row>
    <row r="2282" spans="2:20" x14ac:dyDescent="0.35">
      <c r="B2282" s="17"/>
      <c r="C2282" s="13"/>
      <c r="D2282" s="13"/>
      <c r="E2282" s="13"/>
      <c r="F2282" s="14"/>
      <c r="G2282" s="14"/>
      <c r="H2282" s="14"/>
      <c r="I2282" s="14"/>
      <c r="J2282" s="14"/>
      <c r="K2282" s="14"/>
      <c r="L2282" s="14"/>
      <c r="M2282" s="14"/>
      <c r="N2282" s="14"/>
      <c r="O2282" s="14"/>
      <c r="P2282" s="14"/>
      <c r="Q2282" s="14"/>
      <c r="R2282" s="14"/>
      <c r="S2282" s="14"/>
      <c r="T2282" s="14"/>
    </row>
    <row r="2283" spans="2:20" x14ac:dyDescent="0.35">
      <c r="B2283" s="17"/>
      <c r="C2283" s="13"/>
      <c r="D2283" s="13"/>
      <c r="E2283" s="13"/>
      <c r="F2283" s="14"/>
      <c r="G2283" s="14"/>
      <c r="H2283" s="14"/>
      <c r="I2283" s="14"/>
      <c r="J2283" s="14"/>
      <c r="K2283" s="14"/>
      <c r="L2283" s="14"/>
      <c r="M2283" s="14"/>
      <c r="N2283" s="14"/>
      <c r="O2283" s="14"/>
      <c r="P2283" s="14"/>
      <c r="Q2283" s="14"/>
      <c r="R2283" s="14"/>
      <c r="S2283" s="14"/>
      <c r="T2283" s="14"/>
    </row>
    <row r="2284" spans="2:20" x14ac:dyDescent="0.35">
      <c r="B2284" s="17"/>
      <c r="C2284" s="18"/>
      <c r="D2284" s="19"/>
      <c r="E2284" s="19"/>
      <c r="F2284" s="22"/>
      <c r="G2284" s="22"/>
      <c r="H2284" s="22"/>
      <c r="I2284" s="22"/>
      <c r="J2284" s="22"/>
      <c r="K2284" s="22"/>
      <c r="L2284" s="22"/>
      <c r="M2284" s="22"/>
      <c r="N2284" s="22"/>
      <c r="O2284" s="22"/>
      <c r="P2284" s="22"/>
      <c r="Q2284" s="22"/>
      <c r="R2284" s="22"/>
      <c r="S2284" s="22"/>
      <c r="T2284" s="22"/>
    </row>
    <row r="2285" spans="2:20" x14ac:dyDescent="0.35">
      <c r="B2285" s="17"/>
      <c r="C2285" s="18"/>
      <c r="D2285" s="19"/>
      <c r="E2285" s="19"/>
      <c r="F2285" s="22"/>
      <c r="G2285" s="22"/>
      <c r="H2285" s="22"/>
      <c r="I2285" s="22"/>
      <c r="J2285" s="22"/>
      <c r="K2285" s="22"/>
      <c r="L2285" s="22"/>
      <c r="M2285" s="22"/>
      <c r="N2285" s="22"/>
      <c r="O2285" s="22"/>
      <c r="P2285" s="22"/>
      <c r="Q2285" s="22"/>
      <c r="R2285" s="22"/>
      <c r="S2285" s="22"/>
      <c r="T2285" s="22"/>
    </row>
    <row r="2286" spans="2:20" x14ac:dyDescent="0.35">
      <c r="B2286" s="17"/>
      <c r="C2286" s="18"/>
      <c r="D2286" s="19"/>
      <c r="E2286" s="19"/>
      <c r="F2286" s="22"/>
      <c r="G2286" s="22"/>
      <c r="H2286" s="22"/>
      <c r="I2286" s="22"/>
      <c r="J2286" s="22"/>
      <c r="K2286" s="22"/>
      <c r="L2286" s="22"/>
      <c r="M2286" s="22"/>
      <c r="N2286" s="22"/>
      <c r="O2286" s="22"/>
      <c r="P2286" s="22"/>
      <c r="Q2286" s="22"/>
      <c r="R2286" s="22"/>
      <c r="S2286" s="22"/>
      <c r="T2286" s="22"/>
    </row>
    <row r="2287" spans="2:20" x14ac:dyDescent="0.35">
      <c r="B2287" s="17"/>
      <c r="C2287" s="18"/>
      <c r="D2287" s="19"/>
      <c r="E2287" s="19"/>
      <c r="F2287" s="22"/>
      <c r="G2287" s="22"/>
      <c r="H2287" s="22"/>
      <c r="I2287" s="22"/>
      <c r="J2287" s="22"/>
      <c r="K2287" s="22"/>
      <c r="L2287" s="22"/>
      <c r="M2287" s="22"/>
      <c r="N2287" s="22"/>
      <c r="O2287" s="22"/>
      <c r="P2287" s="22"/>
      <c r="Q2287" s="22"/>
      <c r="R2287" s="22"/>
      <c r="S2287" s="22"/>
      <c r="T2287" s="22"/>
    </row>
    <row r="2288" spans="2:20" x14ac:dyDescent="0.35">
      <c r="B2288" s="17"/>
      <c r="C2288" s="18"/>
      <c r="D2288" s="19"/>
      <c r="E2288" s="19"/>
      <c r="F2288" s="22"/>
      <c r="G2288" s="22"/>
      <c r="H2288" s="22"/>
      <c r="I2288" s="22"/>
      <c r="J2288" s="22"/>
      <c r="K2288" s="22"/>
      <c r="L2288" s="22"/>
      <c r="M2288" s="22"/>
      <c r="N2288" s="22"/>
      <c r="O2288" s="22"/>
      <c r="P2288" s="22"/>
      <c r="Q2288" s="22"/>
      <c r="R2288" s="22"/>
      <c r="S2288" s="22"/>
      <c r="T2288" s="22"/>
    </row>
    <row r="2289" spans="2:20" x14ac:dyDescent="0.35">
      <c r="B2289" s="17"/>
      <c r="C2289" s="20"/>
      <c r="D2289" s="19"/>
      <c r="E2289" s="19"/>
      <c r="F2289" s="22"/>
      <c r="G2289" s="22"/>
      <c r="H2289" s="22"/>
      <c r="I2289" s="22"/>
      <c r="J2289" s="22"/>
      <c r="K2289" s="22"/>
      <c r="L2289" s="22"/>
      <c r="M2289" s="22"/>
      <c r="N2289" s="22"/>
      <c r="O2289" s="22"/>
      <c r="P2289" s="22"/>
      <c r="Q2289" s="22"/>
      <c r="R2289" s="22"/>
      <c r="S2289" s="22"/>
      <c r="T2289" s="22"/>
    </row>
    <row r="2290" spans="2:20" x14ac:dyDescent="0.35">
      <c r="B2290" s="17"/>
      <c r="C2290" s="20"/>
      <c r="D2290" s="19"/>
      <c r="E2290" s="19"/>
      <c r="F2290" s="22"/>
      <c r="G2290" s="22"/>
      <c r="H2290" s="22"/>
      <c r="I2290" s="22"/>
      <c r="J2290" s="22"/>
      <c r="K2290" s="22"/>
      <c r="L2290" s="22"/>
      <c r="M2290" s="22"/>
      <c r="N2290" s="22"/>
      <c r="O2290" s="22"/>
      <c r="P2290" s="22"/>
      <c r="Q2290" s="22"/>
      <c r="R2290" s="22"/>
      <c r="S2290" s="22"/>
      <c r="T2290" s="22"/>
    </row>
    <row r="2291" spans="2:20" x14ac:dyDescent="0.35">
      <c r="B2291" s="17"/>
      <c r="C2291" s="20"/>
      <c r="D2291" s="19"/>
      <c r="E2291" s="19"/>
      <c r="F2291" s="22"/>
      <c r="G2291" s="22"/>
      <c r="H2291" s="22"/>
      <c r="I2291" s="22"/>
      <c r="J2291" s="22"/>
      <c r="K2291" s="22"/>
      <c r="L2291" s="22"/>
      <c r="M2291" s="22"/>
      <c r="N2291" s="22"/>
      <c r="O2291" s="22"/>
      <c r="P2291" s="22"/>
      <c r="Q2291" s="22"/>
      <c r="R2291" s="22"/>
      <c r="S2291" s="22"/>
      <c r="T2291" s="22"/>
    </row>
    <row r="2292" spans="2:20" x14ac:dyDescent="0.35">
      <c r="B2292" s="17"/>
      <c r="C2292" s="20"/>
      <c r="D2292" s="19"/>
      <c r="E2292" s="19"/>
      <c r="F2292" s="22"/>
      <c r="G2292" s="22"/>
      <c r="H2292" s="22"/>
      <c r="I2292" s="22"/>
      <c r="J2292" s="22"/>
      <c r="K2292" s="22"/>
      <c r="L2292" s="22"/>
      <c r="M2292" s="22"/>
      <c r="N2292" s="22"/>
      <c r="O2292" s="22"/>
      <c r="P2292" s="22"/>
      <c r="Q2292" s="22"/>
      <c r="R2292" s="22"/>
      <c r="S2292" s="22"/>
      <c r="T2292" s="22"/>
    </row>
    <row r="2293" spans="2:20" x14ac:dyDescent="0.35">
      <c r="B2293" s="17"/>
      <c r="C2293" s="13"/>
      <c r="D2293" s="13"/>
      <c r="E2293" s="13"/>
      <c r="F2293" s="14"/>
      <c r="G2293" s="14"/>
      <c r="H2293" s="14"/>
      <c r="I2293" s="14"/>
      <c r="J2293" s="14"/>
      <c r="K2293" s="14"/>
      <c r="L2293" s="14"/>
      <c r="M2293" s="14"/>
      <c r="N2293" s="14"/>
      <c r="O2293" s="14"/>
      <c r="P2293" s="14"/>
      <c r="Q2293" s="14"/>
      <c r="R2293" s="14"/>
      <c r="S2293" s="14"/>
      <c r="T2293" s="14"/>
    </row>
    <row r="2294" spans="2:20" x14ac:dyDescent="0.35">
      <c r="B2294" s="17"/>
      <c r="C2294" s="13"/>
      <c r="D2294" s="13"/>
      <c r="E2294" s="13"/>
      <c r="F2294" s="14"/>
      <c r="G2294" s="14"/>
      <c r="H2294" s="14"/>
      <c r="I2294" s="14"/>
      <c r="J2294" s="14"/>
      <c r="K2294" s="14"/>
      <c r="L2294" s="14"/>
      <c r="M2294" s="14"/>
      <c r="N2294" s="14"/>
      <c r="O2294" s="14"/>
      <c r="P2294" s="14"/>
      <c r="Q2294" s="14"/>
      <c r="R2294" s="14"/>
      <c r="S2294" s="14"/>
      <c r="T2294" s="14"/>
    </row>
    <row r="2295" spans="2:20" x14ac:dyDescent="0.35">
      <c r="B2295" s="17"/>
      <c r="C2295" s="13"/>
      <c r="D2295" s="13"/>
      <c r="E2295" s="13"/>
      <c r="F2295" s="14"/>
      <c r="G2295" s="14"/>
      <c r="H2295" s="14"/>
      <c r="I2295" s="14"/>
      <c r="J2295" s="14"/>
      <c r="K2295" s="14"/>
      <c r="L2295" s="14"/>
      <c r="M2295" s="14"/>
      <c r="N2295" s="14"/>
      <c r="O2295" s="14"/>
      <c r="P2295" s="14"/>
      <c r="Q2295" s="14"/>
      <c r="R2295" s="14"/>
      <c r="S2295" s="14"/>
      <c r="T2295" s="14"/>
    </row>
    <row r="2296" spans="2:20" x14ac:dyDescent="0.35">
      <c r="B2296" s="17"/>
      <c r="C2296" s="13"/>
      <c r="D2296" s="13"/>
      <c r="E2296" s="13"/>
      <c r="F2296" s="14"/>
      <c r="G2296" s="14"/>
      <c r="H2296" s="14"/>
      <c r="I2296" s="14"/>
      <c r="J2296" s="14"/>
      <c r="K2296" s="14"/>
      <c r="L2296" s="14"/>
      <c r="M2296" s="14"/>
      <c r="N2296" s="14"/>
      <c r="O2296" s="14"/>
      <c r="P2296" s="14"/>
      <c r="Q2296" s="14"/>
      <c r="R2296" s="14"/>
      <c r="S2296" s="14"/>
      <c r="T2296" s="14"/>
    </row>
    <row r="2297" spans="2:20" x14ac:dyDescent="0.35">
      <c r="B2297" s="17"/>
      <c r="C2297" s="13"/>
      <c r="D2297" s="13"/>
      <c r="E2297" s="13"/>
      <c r="F2297" s="14"/>
      <c r="G2297" s="14"/>
      <c r="H2297" s="14"/>
      <c r="I2297" s="14"/>
      <c r="J2297" s="14"/>
      <c r="K2297" s="14"/>
      <c r="L2297" s="14"/>
      <c r="M2297" s="14"/>
      <c r="N2297" s="14"/>
      <c r="O2297" s="14"/>
      <c r="P2297" s="14"/>
      <c r="Q2297" s="14"/>
      <c r="R2297" s="14"/>
      <c r="S2297" s="14"/>
      <c r="T2297" s="14"/>
    </row>
    <row r="2298" spans="2:20" x14ac:dyDescent="0.35">
      <c r="B2298" s="17"/>
      <c r="C2298" s="13"/>
      <c r="D2298" s="13"/>
      <c r="E2298" s="13"/>
      <c r="F2298" s="14"/>
      <c r="G2298" s="14"/>
      <c r="H2298" s="14"/>
      <c r="I2298" s="14"/>
      <c r="J2298" s="14"/>
      <c r="K2298" s="14"/>
      <c r="L2298" s="14"/>
      <c r="M2298" s="14"/>
      <c r="N2298" s="14"/>
      <c r="O2298" s="14"/>
      <c r="P2298" s="14"/>
      <c r="Q2298" s="14"/>
      <c r="R2298" s="14"/>
      <c r="S2298" s="14"/>
      <c r="T2298" s="14"/>
    </row>
    <row r="2299" spans="2:20" x14ac:dyDescent="0.35">
      <c r="B2299" s="17"/>
      <c r="C2299" s="13"/>
      <c r="D2299" s="13"/>
      <c r="E2299" s="13"/>
      <c r="F2299" s="14"/>
      <c r="G2299" s="14"/>
      <c r="H2299" s="14"/>
      <c r="I2299" s="14"/>
      <c r="J2299" s="14"/>
      <c r="K2299" s="14"/>
      <c r="L2299" s="14"/>
      <c r="M2299" s="14"/>
      <c r="N2299" s="14"/>
      <c r="O2299" s="14"/>
      <c r="P2299" s="14"/>
      <c r="Q2299" s="14"/>
      <c r="R2299" s="14"/>
      <c r="S2299" s="14"/>
      <c r="T2299" s="14"/>
    </row>
    <row r="2300" spans="2:20" x14ac:dyDescent="0.35">
      <c r="B2300" s="17"/>
      <c r="C2300" s="13"/>
      <c r="D2300" s="13"/>
      <c r="E2300" s="13"/>
      <c r="F2300" s="14"/>
      <c r="G2300" s="14"/>
      <c r="H2300" s="14"/>
      <c r="I2300" s="14"/>
      <c r="J2300" s="14"/>
      <c r="K2300" s="14"/>
      <c r="L2300" s="14"/>
      <c r="M2300" s="14"/>
      <c r="N2300" s="14"/>
      <c r="O2300" s="14"/>
      <c r="P2300" s="14"/>
      <c r="Q2300" s="14"/>
      <c r="R2300" s="14"/>
      <c r="S2300" s="14"/>
      <c r="T2300" s="14"/>
    </row>
    <row r="2301" spans="2:20" x14ac:dyDescent="0.35">
      <c r="B2301" s="17"/>
      <c r="C2301" s="13"/>
      <c r="D2301" s="13"/>
      <c r="E2301" s="13"/>
      <c r="F2301" s="14"/>
      <c r="G2301" s="14"/>
      <c r="H2301" s="14"/>
      <c r="I2301" s="14"/>
      <c r="J2301" s="14"/>
      <c r="K2301" s="14"/>
      <c r="L2301" s="14"/>
      <c r="M2301" s="14"/>
      <c r="N2301" s="14"/>
      <c r="O2301" s="14"/>
      <c r="P2301" s="14"/>
      <c r="Q2301" s="14"/>
      <c r="R2301" s="14"/>
      <c r="S2301" s="14"/>
      <c r="T2301" s="14"/>
    </row>
    <row r="2302" spans="2:20" x14ac:dyDescent="0.35">
      <c r="B2302" s="17"/>
      <c r="C2302" s="13"/>
      <c r="D2302" s="13"/>
      <c r="E2302" s="13"/>
      <c r="F2302" s="14"/>
      <c r="G2302" s="14"/>
      <c r="H2302" s="14"/>
      <c r="I2302" s="14"/>
      <c r="J2302" s="14"/>
      <c r="K2302" s="14"/>
      <c r="L2302" s="14"/>
      <c r="M2302" s="14"/>
      <c r="N2302" s="14"/>
      <c r="O2302" s="14"/>
      <c r="P2302" s="14"/>
      <c r="Q2302" s="14"/>
      <c r="R2302" s="14"/>
      <c r="S2302" s="14"/>
      <c r="T2302" s="14"/>
    </row>
    <row r="2303" spans="2:20" x14ac:dyDescent="0.35">
      <c r="B2303" s="17"/>
      <c r="C2303" s="13"/>
      <c r="D2303" s="13"/>
      <c r="E2303" s="13"/>
      <c r="F2303" s="14"/>
      <c r="G2303" s="14"/>
      <c r="H2303" s="14"/>
      <c r="I2303" s="14"/>
      <c r="J2303" s="14"/>
      <c r="K2303" s="14"/>
      <c r="L2303" s="14"/>
      <c r="M2303" s="14"/>
      <c r="N2303" s="14"/>
      <c r="O2303" s="14"/>
      <c r="P2303" s="14"/>
      <c r="Q2303" s="14"/>
      <c r="R2303" s="14"/>
      <c r="S2303" s="14"/>
      <c r="T2303" s="14"/>
    </row>
    <row r="2304" spans="2:20" x14ac:dyDescent="0.35">
      <c r="B2304" s="17"/>
      <c r="C2304" s="13"/>
      <c r="D2304" s="13"/>
      <c r="E2304" s="13"/>
      <c r="F2304" s="14"/>
      <c r="G2304" s="14"/>
      <c r="H2304" s="14"/>
      <c r="I2304" s="14"/>
      <c r="J2304" s="14"/>
      <c r="K2304" s="14"/>
      <c r="L2304" s="14"/>
      <c r="M2304" s="14"/>
      <c r="N2304" s="14"/>
      <c r="O2304" s="14"/>
      <c r="P2304" s="14"/>
      <c r="Q2304" s="14"/>
      <c r="R2304" s="14"/>
      <c r="S2304" s="14"/>
      <c r="T2304" s="14"/>
    </row>
    <row r="2305" spans="2:20" x14ac:dyDescent="0.35">
      <c r="B2305" s="17"/>
      <c r="C2305" s="13"/>
      <c r="D2305" s="13"/>
      <c r="E2305" s="13"/>
      <c r="F2305" s="14"/>
      <c r="G2305" s="14"/>
      <c r="H2305" s="14"/>
      <c r="I2305" s="14"/>
      <c r="J2305" s="14"/>
      <c r="K2305" s="14"/>
      <c r="L2305" s="14"/>
      <c r="M2305" s="14"/>
      <c r="N2305" s="14"/>
      <c r="O2305" s="14"/>
      <c r="P2305" s="14"/>
      <c r="Q2305" s="14"/>
      <c r="R2305" s="14"/>
      <c r="S2305" s="14"/>
      <c r="T2305" s="14"/>
    </row>
    <row r="2306" spans="2:20" x14ac:dyDescent="0.35">
      <c r="B2306" s="17"/>
      <c r="C2306" s="13"/>
      <c r="D2306" s="13"/>
      <c r="E2306" s="13"/>
      <c r="F2306" s="14"/>
      <c r="G2306" s="14"/>
      <c r="H2306" s="14"/>
      <c r="I2306" s="14"/>
      <c r="J2306" s="14"/>
      <c r="K2306" s="14"/>
      <c r="L2306" s="14"/>
      <c r="M2306" s="14"/>
      <c r="N2306" s="14"/>
      <c r="O2306" s="14"/>
      <c r="P2306" s="14"/>
      <c r="Q2306" s="14"/>
      <c r="R2306" s="14"/>
      <c r="S2306" s="14"/>
      <c r="T2306" s="14"/>
    </row>
    <row r="2307" spans="2:20" x14ac:dyDescent="0.35">
      <c r="B2307" s="17"/>
      <c r="C2307" s="13"/>
      <c r="D2307" s="13"/>
      <c r="E2307" s="13"/>
      <c r="F2307" s="14"/>
      <c r="G2307" s="14"/>
      <c r="H2307" s="14"/>
      <c r="I2307" s="14"/>
      <c r="J2307" s="14"/>
      <c r="K2307" s="14"/>
      <c r="L2307" s="14"/>
      <c r="M2307" s="14"/>
      <c r="N2307" s="14"/>
      <c r="O2307" s="14"/>
      <c r="P2307" s="14"/>
      <c r="Q2307" s="14"/>
      <c r="R2307" s="14"/>
      <c r="S2307" s="14"/>
      <c r="T2307" s="14"/>
    </row>
    <row r="2308" spans="2:20" x14ac:dyDescent="0.35">
      <c r="B2308" s="17"/>
      <c r="C2308" s="18"/>
      <c r="D2308" s="19"/>
      <c r="E2308" s="19"/>
      <c r="F2308" s="22"/>
      <c r="G2308" s="22"/>
      <c r="H2308" s="22"/>
      <c r="I2308" s="22"/>
      <c r="J2308" s="22"/>
      <c r="K2308" s="22"/>
      <c r="L2308" s="22"/>
      <c r="M2308" s="22"/>
      <c r="N2308" s="22"/>
      <c r="O2308" s="22"/>
      <c r="P2308" s="22"/>
      <c r="Q2308" s="22"/>
      <c r="R2308" s="22"/>
      <c r="S2308" s="22"/>
      <c r="T2308" s="22"/>
    </row>
    <row r="2309" spans="2:20" x14ac:dyDescent="0.35">
      <c r="B2309" s="17"/>
      <c r="C2309" s="18"/>
      <c r="D2309" s="19"/>
      <c r="E2309" s="19"/>
      <c r="F2309" s="22"/>
      <c r="G2309" s="22"/>
      <c r="H2309" s="22"/>
      <c r="I2309" s="22"/>
      <c r="J2309" s="22"/>
      <c r="K2309" s="22"/>
      <c r="L2309" s="22"/>
      <c r="M2309" s="22"/>
      <c r="N2309" s="22"/>
      <c r="O2309" s="22"/>
      <c r="P2309" s="22"/>
      <c r="Q2309" s="22"/>
      <c r="R2309" s="22"/>
      <c r="S2309" s="22"/>
      <c r="T2309" s="22"/>
    </row>
    <row r="2310" spans="2:20" x14ac:dyDescent="0.35">
      <c r="B2310" s="17"/>
      <c r="C2310" s="18"/>
      <c r="D2310" s="19"/>
      <c r="E2310" s="19"/>
      <c r="F2310" s="22"/>
      <c r="G2310" s="22"/>
      <c r="H2310" s="22"/>
      <c r="I2310" s="22"/>
      <c r="J2310" s="22"/>
      <c r="K2310" s="22"/>
      <c r="L2310" s="22"/>
      <c r="M2310" s="22"/>
      <c r="N2310" s="22"/>
      <c r="O2310" s="22"/>
      <c r="P2310" s="22"/>
      <c r="Q2310" s="22"/>
      <c r="R2310" s="22"/>
      <c r="S2310" s="22"/>
      <c r="T2310" s="22"/>
    </row>
    <row r="2311" spans="2:20" x14ac:dyDescent="0.35">
      <c r="B2311" s="17"/>
      <c r="C2311" s="18"/>
      <c r="D2311" s="19"/>
      <c r="E2311" s="19"/>
      <c r="F2311" s="22"/>
      <c r="G2311" s="22"/>
      <c r="H2311" s="22"/>
      <c r="I2311" s="22"/>
      <c r="J2311" s="22"/>
      <c r="K2311" s="22"/>
      <c r="L2311" s="22"/>
      <c r="M2311" s="22"/>
      <c r="N2311" s="22"/>
      <c r="O2311" s="22"/>
      <c r="P2311" s="22"/>
      <c r="Q2311" s="22"/>
      <c r="R2311" s="22"/>
      <c r="S2311" s="22"/>
      <c r="T2311" s="22"/>
    </row>
    <row r="2312" spans="2:20" x14ac:dyDescent="0.35">
      <c r="B2312" s="17"/>
      <c r="C2312" s="18"/>
      <c r="D2312" s="19"/>
      <c r="E2312" s="19"/>
      <c r="F2312" s="22"/>
      <c r="G2312" s="22"/>
      <c r="H2312" s="22"/>
      <c r="I2312" s="22"/>
      <c r="J2312" s="22"/>
      <c r="K2312" s="22"/>
      <c r="L2312" s="22"/>
      <c r="M2312" s="22"/>
      <c r="N2312" s="22"/>
      <c r="O2312" s="22"/>
      <c r="P2312" s="22"/>
      <c r="Q2312" s="22"/>
      <c r="R2312" s="22"/>
      <c r="S2312" s="22"/>
      <c r="T2312" s="22"/>
    </row>
    <row r="2313" spans="2:20" x14ac:dyDescent="0.35">
      <c r="B2313" s="17"/>
      <c r="C2313" s="18"/>
      <c r="D2313" s="19"/>
      <c r="E2313" s="19"/>
      <c r="F2313" s="22"/>
      <c r="G2313" s="22"/>
      <c r="H2313" s="22"/>
      <c r="I2313" s="22"/>
      <c r="J2313" s="22"/>
      <c r="K2313" s="22"/>
      <c r="L2313" s="22"/>
      <c r="M2313" s="22"/>
      <c r="N2313" s="22"/>
      <c r="O2313" s="22"/>
      <c r="P2313" s="22"/>
      <c r="Q2313" s="22"/>
      <c r="R2313" s="22"/>
      <c r="S2313" s="22"/>
      <c r="T2313" s="22"/>
    </row>
    <row r="2314" spans="2:20" x14ac:dyDescent="0.35">
      <c r="B2314" s="17"/>
      <c r="C2314" s="18"/>
      <c r="D2314" s="19"/>
      <c r="E2314" s="19"/>
      <c r="F2314" s="22"/>
      <c r="G2314" s="22"/>
      <c r="H2314" s="22"/>
      <c r="I2314" s="22"/>
      <c r="J2314" s="22"/>
      <c r="K2314" s="22"/>
      <c r="L2314" s="22"/>
      <c r="M2314" s="22"/>
      <c r="N2314" s="22"/>
      <c r="O2314" s="22"/>
      <c r="P2314" s="22"/>
      <c r="Q2314" s="22"/>
      <c r="R2314" s="22"/>
      <c r="S2314" s="22"/>
      <c r="T2314" s="22"/>
    </row>
    <row r="2315" spans="2:20" x14ac:dyDescent="0.35">
      <c r="B2315" s="17"/>
      <c r="C2315" s="18"/>
      <c r="D2315" s="19"/>
      <c r="E2315" s="19"/>
      <c r="F2315" s="22"/>
      <c r="G2315" s="22"/>
      <c r="H2315" s="22"/>
      <c r="I2315" s="22"/>
      <c r="J2315" s="22"/>
      <c r="K2315" s="22"/>
      <c r="L2315" s="22"/>
      <c r="M2315" s="22"/>
      <c r="N2315" s="22"/>
      <c r="O2315" s="22"/>
      <c r="P2315" s="22"/>
      <c r="Q2315" s="22"/>
      <c r="R2315" s="22"/>
      <c r="S2315" s="22"/>
      <c r="T2315" s="22"/>
    </row>
    <row r="2316" spans="2:20" x14ac:dyDescent="0.35">
      <c r="B2316" s="17"/>
      <c r="C2316" s="18"/>
      <c r="D2316" s="19"/>
      <c r="E2316" s="19"/>
      <c r="F2316" s="22"/>
      <c r="G2316" s="22"/>
      <c r="H2316" s="22"/>
      <c r="I2316" s="22"/>
      <c r="J2316" s="22"/>
      <c r="K2316" s="22"/>
      <c r="L2316" s="22"/>
      <c r="M2316" s="22"/>
      <c r="N2316" s="22"/>
      <c r="O2316" s="22"/>
      <c r="P2316" s="22"/>
      <c r="Q2316" s="22"/>
      <c r="R2316" s="22"/>
      <c r="S2316" s="22"/>
      <c r="T2316" s="22"/>
    </row>
    <row r="2317" spans="2:20" x14ac:dyDescent="0.35">
      <c r="B2317" s="17"/>
      <c r="C2317" s="18"/>
      <c r="D2317" s="19"/>
      <c r="E2317" s="19"/>
      <c r="F2317" s="22"/>
      <c r="G2317" s="22"/>
      <c r="H2317" s="22"/>
      <c r="I2317" s="22"/>
      <c r="J2317" s="22"/>
      <c r="K2317" s="22"/>
      <c r="L2317" s="22"/>
      <c r="M2317" s="22"/>
      <c r="N2317" s="22"/>
      <c r="O2317" s="22"/>
      <c r="P2317" s="22"/>
      <c r="Q2317" s="22"/>
      <c r="R2317" s="22"/>
      <c r="S2317" s="22"/>
      <c r="T2317" s="22"/>
    </row>
    <row r="2318" spans="2:20" x14ac:dyDescent="0.35">
      <c r="B2318" s="17"/>
      <c r="C2318" s="18"/>
      <c r="D2318" s="19"/>
      <c r="E2318" s="19"/>
      <c r="F2318" s="22"/>
      <c r="G2318" s="22"/>
      <c r="H2318" s="22"/>
      <c r="I2318" s="22"/>
      <c r="J2318" s="22"/>
      <c r="K2318" s="22"/>
      <c r="L2318" s="22"/>
      <c r="M2318" s="22"/>
      <c r="N2318" s="22"/>
      <c r="O2318" s="22"/>
      <c r="P2318" s="22"/>
      <c r="Q2318" s="22"/>
      <c r="R2318" s="22"/>
      <c r="S2318" s="22"/>
      <c r="T2318" s="22"/>
    </row>
    <row r="2319" spans="2:20" x14ac:dyDescent="0.35">
      <c r="B2319" s="17"/>
      <c r="C2319" s="18"/>
      <c r="D2319" s="19"/>
      <c r="E2319" s="19"/>
      <c r="F2319" s="22"/>
      <c r="G2319" s="22"/>
      <c r="H2319" s="22"/>
      <c r="I2319" s="22"/>
      <c r="J2319" s="22"/>
      <c r="K2319" s="22"/>
      <c r="L2319" s="22"/>
      <c r="M2319" s="22"/>
      <c r="N2319" s="22"/>
      <c r="O2319" s="22"/>
      <c r="P2319" s="22"/>
      <c r="Q2319" s="22"/>
      <c r="R2319" s="22"/>
      <c r="S2319" s="22"/>
      <c r="T2319" s="22"/>
    </row>
    <row r="2320" spans="2:20" x14ac:dyDescent="0.35">
      <c r="B2320" s="17"/>
      <c r="C2320" s="18"/>
      <c r="D2320" s="19"/>
      <c r="E2320" s="19"/>
      <c r="F2320" s="22"/>
      <c r="G2320" s="22"/>
      <c r="H2320" s="22"/>
      <c r="I2320" s="22"/>
      <c r="J2320" s="22"/>
      <c r="K2320" s="22"/>
      <c r="L2320" s="22"/>
      <c r="M2320" s="22"/>
      <c r="N2320" s="22"/>
      <c r="O2320" s="22"/>
      <c r="P2320" s="22"/>
      <c r="Q2320" s="22"/>
      <c r="R2320" s="22"/>
      <c r="S2320" s="22"/>
      <c r="T2320" s="22"/>
    </row>
    <row r="2321" spans="2:20" x14ac:dyDescent="0.35">
      <c r="B2321" s="17"/>
      <c r="C2321" s="18"/>
      <c r="D2321" s="19"/>
      <c r="E2321" s="19"/>
      <c r="F2321" s="22"/>
      <c r="G2321" s="22"/>
      <c r="H2321" s="22"/>
      <c r="I2321" s="22"/>
      <c r="J2321" s="22"/>
      <c r="K2321" s="22"/>
      <c r="L2321" s="22"/>
      <c r="M2321" s="22"/>
      <c r="N2321" s="22"/>
      <c r="O2321" s="22"/>
      <c r="P2321" s="22"/>
      <c r="Q2321" s="22"/>
      <c r="R2321" s="22"/>
      <c r="S2321" s="22"/>
      <c r="T2321" s="22"/>
    </row>
    <row r="2322" spans="2:20" x14ac:dyDescent="0.35">
      <c r="B2322" s="17"/>
      <c r="C2322" s="18"/>
      <c r="D2322" s="19"/>
      <c r="E2322" s="19"/>
      <c r="F2322" s="22"/>
      <c r="G2322" s="22"/>
      <c r="H2322" s="22"/>
      <c r="I2322" s="22"/>
      <c r="J2322" s="22"/>
      <c r="K2322" s="22"/>
      <c r="L2322" s="22"/>
      <c r="M2322" s="22"/>
      <c r="N2322" s="22"/>
      <c r="O2322" s="22"/>
      <c r="P2322" s="22"/>
      <c r="Q2322" s="22"/>
      <c r="R2322" s="22"/>
      <c r="S2322" s="22"/>
      <c r="T2322" s="22"/>
    </row>
    <row r="2323" spans="2:20" x14ac:dyDescent="0.35">
      <c r="B2323" s="17"/>
      <c r="C2323" s="18"/>
      <c r="D2323" s="19"/>
      <c r="E2323" s="19"/>
      <c r="F2323" s="22"/>
      <c r="G2323" s="22"/>
      <c r="H2323" s="22"/>
      <c r="I2323" s="22"/>
      <c r="J2323" s="22"/>
      <c r="K2323" s="22"/>
      <c r="L2323" s="22"/>
      <c r="M2323" s="22"/>
      <c r="N2323" s="22"/>
      <c r="O2323" s="22"/>
      <c r="P2323" s="22"/>
      <c r="Q2323" s="22"/>
      <c r="R2323" s="22"/>
      <c r="S2323" s="22"/>
      <c r="T2323" s="22"/>
    </row>
    <row r="2324" spans="2:20" x14ac:dyDescent="0.35">
      <c r="B2324" s="17"/>
      <c r="C2324" s="13"/>
      <c r="D2324" s="13"/>
      <c r="E2324" s="13"/>
      <c r="F2324" s="14"/>
      <c r="G2324" s="14"/>
      <c r="H2324" s="14"/>
      <c r="I2324" s="14"/>
      <c r="J2324" s="14"/>
      <c r="K2324" s="14"/>
      <c r="L2324" s="14"/>
      <c r="M2324" s="14"/>
      <c r="N2324" s="14"/>
      <c r="O2324" s="14"/>
      <c r="P2324" s="14"/>
      <c r="Q2324" s="14"/>
      <c r="R2324" s="14"/>
      <c r="S2324" s="14"/>
      <c r="T2324" s="14"/>
    </row>
    <row r="2325" spans="2:20" x14ac:dyDescent="0.35">
      <c r="B2325" s="17"/>
      <c r="C2325" s="13"/>
      <c r="D2325" s="13"/>
      <c r="E2325" s="13"/>
      <c r="F2325" s="14"/>
      <c r="G2325" s="14"/>
      <c r="H2325" s="14"/>
      <c r="I2325" s="14"/>
      <c r="J2325" s="14"/>
      <c r="K2325" s="14"/>
      <c r="L2325" s="14"/>
      <c r="M2325" s="14"/>
      <c r="N2325" s="14"/>
      <c r="O2325" s="14"/>
      <c r="P2325" s="14"/>
      <c r="Q2325" s="14"/>
      <c r="R2325" s="14"/>
      <c r="S2325" s="14"/>
      <c r="T2325" s="14"/>
    </row>
    <row r="2326" spans="2:20" x14ac:dyDescent="0.35">
      <c r="B2326" s="17"/>
      <c r="C2326" s="13"/>
      <c r="D2326" s="13"/>
      <c r="E2326" s="13"/>
      <c r="F2326" s="14"/>
      <c r="G2326" s="14"/>
      <c r="H2326" s="14"/>
      <c r="I2326" s="14"/>
      <c r="J2326" s="14"/>
      <c r="K2326" s="14"/>
      <c r="L2326" s="14"/>
      <c r="M2326" s="14"/>
      <c r="N2326" s="14"/>
      <c r="O2326" s="14"/>
      <c r="P2326" s="14"/>
      <c r="Q2326" s="14"/>
      <c r="R2326" s="14"/>
      <c r="S2326" s="14"/>
      <c r="T2326" s="14"/>
    </row>
    <row r="2327" spans="2:20" x14ac:dyDescent="0.35">
      <c r="B2327" s="17"/>
      <c r="C2327" s="13"/>
      <c r="D2327" s="13"/>
      <c r="E2327" s="13"/>
      <c r="F2327" s="14"/>
      <c r="G2327" s="14"/>
      <c r="H2327" s="14"/>
      <c r="I2327" s="14"/>
      <c r="J2327" s="14"/>
      <c r="K2327" s="14"/>
      <c r="L2327" s="14"/>
      <c r="M2327" s="14"/>
      <c r="N2327" s="14"/>
      <c r="O2327" s="14"/>
      <c r="P2327" s="14"/>
      <c r="Q2327" s="14"/>
      <c r="R2327" s="14"/>
      <c r="S2327" s="14"/>
      <c r="T2327" s="14"/>
    </row>
    <row r="2328" spans="2:20" x14ac:dyDescent="0.35">
      <c r="B2328" s="17"/>
      <c r="C2328" s="13"/>
      <c r="D2328" s="13"/>
      <c r="E2328" s="13"/>
      <c r="F2328" s="14"/>
      <c r="G2328" s="14"/>
      <c r="H2328" s="14"/>
      <c r="I2328" s="14"/>
      <c r="J2328" s="14"/>
      <c r="K2328" s="14"/>
      <c r="L2328" s="14"/>
      <c r="M2328" s="14"/>
      <c r="N2328" s="14"/>
      <c r="O2328" s="14"/>
      <c r="P2328" s="14"/>
      <c r="Q2328" s="14"/>
      <c r="R2328" s="14"/>
      <c r="S2328" s="14"/>
      <c r="T2328" s="14"/>
    </row>
    <row r="2329" spans="2:20" x14ac:dyDescent="0.35">
      <c r="B2329" s="17"/>
      <c r="C2329" s="13"/>
      <c r="D2329" s="13"/>
      <c r="E2329" s="13"/>
      <c r="F2329" s="14"/>
      <c r="G2329" s="14"/>
      <c r="H2329" s="14"/>
      <c r="I2329" s="14"/>
      <c r="J2329" s="14"/>
      <c r="K2329" s="14"/>
      <c r="L2329" s="14"/>
      <c r="M2329" s="14"/>
      <c r="N2329" s="14"/>
      <c r="O2329" s="14"/>
      <c r="P2329" s="14"/>
      <c r="Q2329" s="14"/>
      <c r="R2329" s="14"/>
      <c r="S2329" s="14"/>
      <c r="T2329" s="14"/>
    </row>
    <row r="2330" spans="2:20" x14ac:dyDescent="0.35">
      <c r="B2330" s="17"/>
      <c r="C2330" s="13"/>
      <c r="D2330" s="13"/>
      <c r="E2330" s="13"/>
      <c r="F2330" s="14"/>
      <c r="G2330" s="14"/>
      <c r="H2330" s="14"/>
      <c r="I2330" s="14"/>
      <c r="J2330" s="14"/>
      <c r="K2330" s="14"/>
      <c r="L2330" s="14"/>
      <c r="M2330" s="14"/>
      <c r="N2330" s="14"/>
      <c r="O2330" s="14"/>
      <c r="P2330" s="14"/>
      <c r="Q2330" s="14"/>
      <c r="R2330" s="14"/>
      <c r="S2330" s="14"/>
      <c r="T2330" s="14"/>
    </row>
    <row r="2331" spans="2:20" x14ac:dyDescent="0.35">
      <c r="B2331" s="17"/>
      <c r="C2331" s="18"/>
      <c r="D2331" s="19"/>
      <c r="E2331" s="19"/>
      <c r="F2331" s="22"/>
      <c r="G2331" s="22"/>
      <c r="H2331" s="22"/>
      <c r="I2331" s="22"/>
      <c r="J2331" s="22"/>
      <c r="K2331" s="22"/>
      <c r="L2331" s="22"/>
      <c r="M2331" s="22"/>
      <c r="N2331" s="22"/>
      <c r="O2331" s="22"/>
      <c r="P2331" s="22"/>
      <c r="Q2331" s="22"/>
      <c r="R2331" s="22"/>
      <c r="S2331" s="22"/>
      <c r="T2331" s="22"/>
    </row>
    <row r="2332" spans="2:20" x14ac:dyDescent="0.35">
      <c r="B2332" s="17"/>
      <c r="C2332" s="18"/>
      <c r="D2332" s="19"/>
      <c r="E2332" s="19"/>
      <c r="F2332" s="22"/>
      <c r="G2332" s="22"/>
      <c r="H2332" s="22"/>
      <c r="I2332" s="22"/>
      <c r="J2332" s="22"/>
      <c r="K2332" s="22"/>
      <c r="L2332" s="22"/>
      <c r="M2332" s="22"/>
      <c r="N2332" s="22"/>
      <c r="O2332" s="22"/>
      <c r="P2332" s="22"/>
      <c r="Q2332" s="22"/>
      <c r="R2332" s="22"/>
      <c r="S2332" s="22"/>
      <c r="T2332" s="22"/>
    </row>
    <row r="2333" spans="2:20" x14ac:dyDescent="0.35">
      <c r="B2333" s="17"/>
      <c r="C2333" s="18"/>
      <c r="D2333" s="19"/>
      <c r="E2333" s="19"/>
      <c r="F2333" s="22"/>
      <c r="G2333" s="22"/>
      <c r="H2333" s="22"/>
      <c r="I2333" s="22"/>
      <c r="J2333" s="22"/>
      <c r="K2333" s="22"/>
      <c r="L2333" s="22"/>
      <c r="M2333" s="22"/>
      <c r="N2333" s="22"/>
      <c r="O2333" s="22"/>
      <c r="P2333" s="22"/>
      <c r="Q2333" s="22"/>
      <c r="R2333" s="22"/>
      <c r="S2333" s="22"/>
      <c r="T2333" s="22"/>
    </row>
    <row r="2334" spans="2:20" x14ac:dyDescent="0.35">
      <c r="B2334" s="17"/>
      <c r="C2334" s="18"/>
      <c r="D2334" s="19"/>
      <c r="E2334" s="19"/>
      <c r="F2334" s="22"/>
      <c r="G2334" s="22"/>
      <c r="H2334" s="22"/>
      <c r="I2334" s="22"/>
      <c r="J2334" s="22"/>
      <c r="K2334" s="22"/>
      <c r="L2334" s="22"/>
      <c r="M2334" s="22"/>
      <c r="N2334" s="22"/>
      <c r="O2334" s="22"/>
      <c r="P2334" s="22"/>
      <c r="Q2334" s="22"/>
      <c r="R2334" s="22"/>
      <c r="S2334" s="22"/>
      <c r="T2334" s="22"/>
    </row>
    <row r="2335" spans="2:20" x14ac:dyDescent="0.35">
      <c r="B2335" s="17"/>
      <c r="C2335" s="18"/>
      <c r="D2335" s="19"/>
      <c r="E2335" s="19"/>
      <c r="F2335" s="22"/>
      <c r="G2335" s="22"/>
      <c r="H2335" s="22"/>
      <c r="I2335" s="22"/>
      <c r="J2335" s="22"/>
      <c r="K2335" s="22"/>
      <c r="L2335" s="22"/>
      <c r="M2335" s="22"/>
      <c r="N2335" s="22"/>
      <c r="O2335" s="22"/>
      <c r="P2335" s="22"/>
      <c r="Q2335" s="22"/>
      <c r="R2335" s="22"/>
      <c r="S2335" s="22"/>
      <c r="T2335" s="22"/>
    </row>
    <row r="2336" spans="2:20" x14ac:dyDescent="0.35">
      <c r="B2336" s="17"/>
      <c r="C2336" s="20"/>
      <c r="D2336" s="19"/>
      <c r="E2336" s="19"/>
      <c r="F2336" s="22"/>
      <c r="G2336" s="22"/>
      <c r="H2336" s="22"/>
      <c r="I2336" s="22"/>
      <c r="J2336" s="22"/>
      <c r="K2336" s="22"/>
      <c r="L2336" s="22"/>
      <c r="M2336" s="22"/>
      <c r="N2336" s="22"/>
      <c r="O2336" s="22"/>
      <c r="P2336" s="22"/>
      <c r="Q2336" s="22"/>
      <c r="R2336" s="22"/>
      <c r="S2336" s="22"/>
      <c r="T2336" s="22"/>
    </row>
    <row r="2337" spans="2:20" x14ac:dyDescent="0.35">
      <c r="B2337" s="17"/>
      <c r="C2337" s="20"/>
      <c r="D2337" s="19"/>
      <c r="E2337" s="19"/>
      <c r="F2337" s="22"/>
      <c r="G2337" s="22"/>
      <c r="H2337" s="22"/>
      <c r="I2337" s="22"/>
      <c r="J2337" s="22"/>
      <c r="K2337" s="22"/>
      <c r="L2337" s="22"/>
      <c r="M2337" s="22"/>
      <c r="N2337" s="22"/>
      <c r="O2337" s="22"/>
      <c r="P2337" s="22"/>
      <c r="Q2337" s="22"/>
      <c r="R2337" s="22"/>
      <c r="S2337" s="22"/>
      <c r="T2337" s="22"/>
    </row>
    <row r="2338" spans="2:20" x14ac:dyDescent="0.35">
      <c r="B2338" s="17"/>
      <c r="C2338" s="20"/>
      <c r="D2338" s="19"/>
      <c r="E2338" s="19"/>
      <c r="F2338" s="22"/>
      <c r="G2338" s="22"/>
      <c r="H2338" s="22"/>
      <c r="I2338" s="22"/>
      <c r="J2338" s="22"/>
      <c r="K2338" s="22"/>
      <c r="L2338" s="22"/>
      <c r="M2338" s="22"/>
      <c r="N2338" s="22"/>
      <c r="O2338" s="22"/>
      <c r="P2338" s="22"/>
      <c r="Q2338" s="22"/>
      <c r="R2338" s="22"/>
      <c r="S2338" s="22"/>
      <c r="T2338" s="22"/>
    </row>
    <row r="2339" spans="2:20" x14ac:dyDescent="0.35">
      <c r="B2339" s="17"/>
      <c r="C2339" s="20"/>
      <c r="D2339" s="19"/>
      <c r="E2339" s="19"/>
      <c r="F2339" s="22"/>
      <c r="G2339" s="22"/>
      <c r="H2339" s="22"/>
      <c r="I2339" s="22"/>
      <c r="J2339" s="22"/>
      <c r="K2339" s="22"/>
      <c r="L2339" s="22"/>
      <c r="M2339" s="22"/>
      <c r="N2339" s="22"/>
      <c r="O2339" s="22"/>
      <c r="P2339" s="22"/>
      <c r="Q2339" s="22"/>
      <c r="R2339" s="22"/>
      <c r="S2339" s="22"/>
      <c r="T2339" s="22"/>
    </row>
    <row r="2340" spans="2:20" x14ac:dyDescent="0.35">
      <c r="B2340" s="17"/>
      <c r="C2340" s="13"/>
      <c r="D2340" s="13"/>
      <c r="E2340" s="13"/>
      <c r="F2340" s="14"/>
      <c r="G2340" s="14"/>
      <c r="H2340" s="14"/>
      <c r="I2340" s="14"/>
      <c r="J2340" s="14"/>
      <c r="K2340" s="14"/>
      <c r="L2340" s="14"/>
      <c r="M2340" s="14"/>
      <c r="N2340" s="14"/>
      <c r="O2340" s="14"/>
      <c r="P2340" s="14"/>
      <c r="Q2340" s="14"/>
      <c r="R2340" s="14"/>
      <c r="S2340" s="14"/>
      <c r="T2340" s="14"/>
    </row>
    <row r="2341" spans="2:20" x14ac:dyDescent="0.35">
      <c r="B2341" s="17"/>
      <c r="C2341" s="13"/>
      <c r="D2341" s="13"/>
      <c r="E2341" s="13"/>
      <c r="F2341" s="14"/>
      <c r="G2341" s="14"/>
      <c r="H2341" s="14"/>
      <c r="I2341" s="14"/>
      <c r="J2341" s="14"/>
      <c r="K2341" s="14"/>
      <c r="L2341" s="14"/>
      <c r="M2341" s="14"/>
      <c r="N2341" s="14"/>
      <c r="O2341" s="14"/>
      <c r="P2341" s="14"/>
      <c r="Q2341" s="14"/>
      <c r="R2341" s="14"/>
      <c r="S2341" s="14"/>
      <c r="T2341" s="14"/>
    </row>
    <row r="2342" spans="2:20" x14ac:dyDescent="0.35">
      <c r="B2342" s="17"/>
      <c r="C2342" s="13"/>
      <c r="D2342" s="13"/>
      <c r="E2342" s="13"/>
      <c r="F2342" s="14"/>
      <c r="G2342" s="14"/>
      <c r="H2342" s="14"/>
      <c r="I2342" s="14"/>
      <c r="J2342" s="14"/>
      <c r="K2342" s="14"/>
      <c r="L2342" s="14"/>
      <c r="M2342" s="14"/>
      <c r="N2342" s="14"/>
      <c r="O2342" s="14"/>
      <c r="P2342" s="14"/>
      <c r="Q2342" s="14"/>
      <c r="R2342" s="14"/>
      <c r="S2342" s="14"/>
      <c r="T2342" s="14"/>
    </row>
    <row r="2343" spans="2:20" x14ac:dyDescent="0.35">
      <c r="B2343" s="17"/>
      <c r="C2343" s="13"/>
      <c r="D2343" s="13"/>
      <c r="E2343" s="13"/>
      <c r="F2343" s="14"/>
      <c r="G2343" s="14"/>
      <c r="H2343" s="14"/>
      <c r="I2343" s="14"/>
      <c r="J2343" s="14"/>
      <c r="K2343" s="14"/>
      <c r="L2343" s="14"/>
      <c r="M2343" s="14"/>
      <c r="N2343" s="14"/>
      <c r="O2343" s="14"/>
      <c r="P2343" s="14"/>
      <c r="Q2343" s="14"/>
      <c r="R2343" s="14"/>
      <c r="S2343" s="14"/>
      <c r="T2343" s="14"/>
    </row>
    <row r="2344" spans="2:20" x14ac:dyDescent="0.35">
      <c r="B2344" s="17"/>
      <c r="C2344" s="13"/>
      <c r="D2344" s="13"/>
      <c r="E2344" s="13"/>
      <c r="F2344" s="14"/>
      <c r="G2344" s="14"/>
      <c r="H2344" s="14"/>
      <c r="I2344" s="14"/>
      <c r="J2344" s="14"/>
      <c r="K2344" s="14"/>
      <c r="L2344" s="14"/>
      <c r="M2344" s="14"/>
      <c r="N2344" s="14"/>
      <c r="O2344" s="14"/>
      <c r="P2344" s="14"/>
      <c r="Q2344" s="14"/>
      <c r="R2344" s="14"/>
      <c r="S2344" s="14"/>
      <c r="T2344" s="14"/>
    </row>
    <row r="2345" spans="2:20" x14ac:dyDescent="0.35">
      <c r="B2345" s="17"/>
      <c r="C2345" s="13"/>
      <c r="D2345" s="13"/>
      <c r="E2345" s="13"/>
      <c r="F2345" s="14"/>
      <c r="G2345" s="14"/>
      <c r="H2345" s="14"/>
      <c r="I2345" s="14"/>
      <c r="J2345" s="14"/>
      <c r="K2345" s="14"/>
      <c r="L2345" s="14"/>
      <c r="M2345" s="14"/>
      <c r="N2345" s="14"/>
      <c r="O2345" s="14"/>
      <c r="P2345" s="14"/>
      <c r="Q2345" s="14"/>
      <c r="R2345" s="14"/>
      <c r="S2345" s="14"/>
      <c r="T2345" s="14"/>
    </row>
    <row r="2346" spans="2:20" x14ac:dyDescent="0.35">
      <c r="B2346" s="17"/>
      <c r="C2346" s="13"/>
      <c r="D2346" s="13"/>
      <c r="E2346" s="13"/>
      <c r="F2346" s="14"/>
      <c r="G2346" s="14"/>
      <c r="H2346" s="14"/>
      <c r="I2346" s="14"/>
      <c r="J2346" s="14"/>
      <c r="K2346" s="14"/>
      <c r="L2346" s="14"/>
      <c r="M2346" s="14"/>
      <c r="N2346" s="14"/>
      <c r="O2346" s="14"/>
      <c r="P2346" s="14"/>
      <c r="Q2346" s="14"/>
      <c r="R2346" s="14"/>
      <c r="S2346" s="14"/>
      <c r="T2346" s="14"/>
    </row>
    <row r="2347" spans="2:20" x14ac:dyDescent="0.35">
      <c r="B2347" s="17"/>
      <c r="C2347" s="13"/>
      <c r="D2347" s="13"/>
      <c r="E2347" s="13"/>
      <c r="F2347" s="14"/>
      <c r="G2347" s="14"/>
      <c r="H2347" s="14"/>
      <c r="I2347" s="14"/>
      <c r="J2347" s="14"/>
      <c r="K2347" s="14"/>
      <c r="L2347" s="14"/>
      <c r="M2347" s="14"/>
      <c r="N2347" s="14"/>
      <c r="O2347" s="14"/>
      <c r="P2347" s="14"/>
      <c r="Q2347" s="14"/>
      <c r="R2347" s="14"/>
      <c r="S2347" s="14"/>
      <c r="T2347" s="14"/>
    </row>
    <row r="2348" spans="2:20" x14ac:dyDescent="0.35">
      <c r="B2348" s="17"/>
      <c r="C2348" s="13"/>
      <c r="D2348" s="13"/>
      <c r="E2348" s="13"/>
      <c r="F2348" s="14"/>
      <c r="G2348" s="14"/>
      <c r="H2348" s="14"/>
      <c r="I2348" s="14"/>
      <c r="J2348" s="14"/>
      <c r="K2348" s="14"/>
      <c r="L2348" s="14"/>
      <c r="M2348" s="14"/>
      <c r="N2348" s="14"/>
      <c r="O2348" s="14"/>
      <c r="P2348" s="14"/>
      <c r="Q2348" s="14"/>
      <c r="R2348" s="14"/>
      <c r="S2348" s="14"/>
      <c r="T2348" s="14"/>
    </row>
    <row r="2349" spans="2:20" x14ac:dyDescent="0.35">
      <c r="B2349" s="17"/>
      <c r="C2349" s="13"/>
      <c r="D2349" s="13"/>
      <c r="E2349" s="13"/>
      <c r="F2349" s="14"/>
      <c r="G2349" s="14"/>
      <c r="H2349" s="14"/>
      <c r="I2349" s="14"/>
      <c r="J2349" s="14"/>
      <c r="K2349" s="14"/>
      <c r="L2349" s="14"/>
      <c r="M2349" s="14"/>
      <c r="N2349" s="14"/>
      <c r="O2349" s="14"/>
      <c r="P2349" s="14"/>
      <c r="Q2349" s="14"/>
      <c r="R2349" s="14"/>
      <c r="S2349" s="14"/>
      <c r="T2349" s="14"/>
    </row>
    <row r="2350" spans="2:20" x14ac:dyDescent="0.35">
      <c r="B2350" s="17"/>
      <c r="C2350" s="13"/>
      <c r="D2350" s="13"/>
      <c r="E2350" s="13"/>
      <c r="F2350" s="14"/>
      <c r="G2350" s="14"/>
      <c r="H2350" s="14"/>
      <c r="I2350" s="14"/>
      <c r="J2350" s="14"/>
      <c r="K2350" s="14"/>
      <c r="L2350" s="14"/>
      <c r="M2350" s="14"/>
      <c r="N2350" s="14"/>
      <c r="O2350" s="14"/>
      <c r="P2350" s="14"/>
      <c r="Q2350" s="14"/>
      <c r="R2350" s="14"/>
      <c r="S2350" s="14"/>
      <c r="T2350" s="14"/>
    </row>
    <row r="2351" spans="2:20" x14ac:dyDescent="0.35">
      <c r="B2351" s="17"/>
      <c r="C2351" s="13"/>
      <c r="D2351" s="13"/>
      <c r="E2351" s="13"/>
      <c r="F2351" s="14"/>
      <c r="G2351" s="14"/>
      <c r="H2351" s="14"/>
      <c r="I2351" s="14"/>
      <c r="J2351" s="14"/>
      <c r="K2351" s="14"/>
      <c r="L2351" s="14"/>
      <c r="M2351" s="14"/>
      <c r="N2351" s="14"/>
      <c r="O2351" s="14"/>
      <c r="P2351" s="14"/>
      <c r="Q2351" s="14"/>
      <c r="R2351" s="14"/>
      <c r="S2351" s="14"/>
      <c r="T2351" s="14"/>
    </row>
    <row r="2352" spans="2:20" x14ac:dyDescent="0.35">
      <c r="B2352" s="17"/>
      <c r="C2352" s="13"/>
      <c r="D2352" s="13"/>
      <c r="E2352" s="13"/>
      <c r="F2352" s="14"/>
      <c r="G2352" s="14"/>
      <c r="H2352" s="14"/>
      <c r="I2352" s="14"/>
      <c r="J2352" s="14"/>
      <c r="K2352" s="14"/>
      <c r="L2352" s="14"/>
      <c r="M2352" s="14"/>
      <c r="N2352" s="14"/>
      <c r="O2352" s="14"/>
      <c r="P2352" s="14"/>
      <c r="Q2352" s="14"/>
      <c r="R2352" s="14"/>
      <c r="S2352" s="14"/>
      <c r="T2352" s="14"/>
    </row>
    <row r="2353" spans="2:20" x14ac:dyDescent="0.35">
      <c r="B2353" s="17"/>
      <c r="C2353" s="13"/>
      <c r="D2353" s="13"/>
      <c r="E2353" s="13"/>
      <c r="F2353" s="14"/>
      <c r="G2353" s="14"/>
      <c r="H2353" s="14"/>
      <c r="I2353" s="14"/>
      <c r="J2353" s="14"/>
      <c r="K2353" s="14"/>
      <c r="L2353" s="14"/>
      <c r="M2353" s="14"/>
      <c r="N2353" s="14"/>
      <c r="O2353" s="14"/>
      <c r="P2353" s="14"/>
      <c r="Q2353" s="14"/>
      <c r="R2353" s="14"/>
      <c r="S2353" s="14"/>
      <c r="T2353" s="14"/>
    </row>
    <row r="2354" spans="2:20" x14ac:dyDescent="0.35">
      <c r="B2354" s="17"/>
      <c r="C2354" s="13"/>
      <c r="D2354" s="13"/>
      <c r="E2354" s="13"/>
      <c r="F2354" s="14"/>
      <c r="G2354" s="14"/>
      <c r="H2354" s="14"/>
      <c r="I2354" s="14"/>
      <c r="J2354" s="14"/>
      <c r="K2354" s="14"/>
      <c r="L2354" s="14"/>
      <c r="M2354" s="14"/>
      <c r="N2354" s="14"/>
      <c r="O2354" s="14"/>
      <c r="P2354" s="14"/>
      <c r="Q2354" s="14"/>
      <c r="R2354" s="14"/>
      <c r="S2354" s="14"/>
      <c r="T2354" s="14"/>
    </row>
    <row r="2355" spans="2:20" x14ac:dyDescent="0.35">
      <c r="B2355" s="17"/>
      <c r="C2355" s="18"/>
      <c r="D2355" s="19"/>
      <c r="E2355" s="19"/>
      <c r="F2355" s="22"/>
      <c r="G2355" s="22"/>
      <c r="H2355" s="22"/>
      <c r="I2355" s="22"/>
      <c r="J2355" s="22"/>
      <c r="K2355" s="22"/>
      <c r="L2355" s="22"/>
      <c r="M2355" s="22"/>
      <c r="N2355" s="22"/>
      <c r="O2355" s="22"/>
      <c r="P2355" s="22"/>
      <c r="Q2355" s="22"/>
      <c r="R2355" s="22"/>
      <c r="S2355" s="22"/>
      <c r="T2355" s="22"/>
    </row>
    <row r="2356" spans="2:20" x14ac:dyDescent="0.35">
      <c r="B2356" s="17"/>
      <c r="C2356" s="18"/>
      <c r="D2356" s="19"/>
      <c r="E2356" s="19"/>
      <c r="F2356" s="22"/>
      <c r="G2356" s="22"/>
      <c r="H2356" s="22"/>
      <c r="I2356" s="22"/>
      <c r="J2356" s="22"/>
      <c r="K2356" s="22"/>
      <c r="L2356" s="22"/>
      <c r="M2356" s="22"/>
      <c r="N2356" s="22"/>
      <c r="O2356" s="22"/>
      <c r="P2356" s="22"/>
      <c r="Q2356" s="22"/>
      <c r="R2356" s="22"/>
      <c r="S2356" s="22"/>
      <c r="T2356" s="22"/>
    </row>
    <row r="2357" spans="2:20" x14ac:dyDescent="0.35">
      <c r="B2357" s="17"/>
      <c r="C2357" s="18"/>
      <c r="D2357" s="19"/>
      <c r="E2357" s="19"/>
      <c r="F2357" s="22"/>
      <c r="G2357" s="22"/>
      <c r="H2357" s="22"/>
      <c r="I2357" s="22"/>
      <c r="J2357" s="22"/>
      <c r="K2357" s="22"/>
      <c r="L2357" s="22"/>
      <c r="M2357" s="22"/>
      <c r="N2357" s="22"/>
      <c r="O2357" s="22"/>
      <c r="P2357" s="22"/>
      <c r="Q2357" s="22"/>
      <c r="R2357" s="22"/>
      <c r="S2357" s="22"/>
      <c r="T2357" s="22"/>
    </row>
    <row r="2358" spans="2:20" x14ac:dyDescent="0.35">
      <c r="B2358" s="17"/>
      <c r="C2358" s="18"/>
      <c r="D2358" s="19"/>
      <c r="E2358" s="19"/>
      <c r="F2358" s="22"/>
      <c r="G2358" s="22"/>
      <c r="H2358" s="22"/>
      <c r="I2358" s="22"/>
      <c r="J2358" s="22"/>
      <c r="K2358" s="22"/>
      <c r="L2358" s="22"/>
      <c r="M2358" s="22"/>
      <c r="N2358" s="22"/>
      <c r="O2358" s="22"/>
      <c r="P2358" s="22"/>
      <c r="Q2358" s="22"/>
      <c r="R2358" s="22"/>
      <c r="S2358" s="22"/>
      <c r="T2358" s="22"/>
    </row>
    <row r="2359" spans="2:20" x14ac:dyDescent="0.35">
      <c r="B2359" s="17"/>
      <c r="C2359" s="18"/>
      <c r="D2359" s="19"/>
      <c r="E2359" s="19"/>
      <c r="F2359" s="22"/>
      <c r="G2359" s="22"/>
      <c r="H2359" s="22"/>
      <c r="I2359" s="22"/>
      <c r="J2359" s="22"/>
      <c r="K2359" s="22"/>
      <c r="L2359" s="22"/>
      <c r="M2359" s="22"/>
      <c r="N2359" s="22"/>
      <c r="O2359" s="22"/>
      <c r="P2359" s="22"/>
      <c r="Q2359" s="22"/>
      <c r="R2359" s="22"/>
      <c r="S2359" s="22"/>
      <c r="T2359" s="22"/>
    </row>
    <row r="2360" spans="2:20" x14ac:dyDescent="0.35">
      <c r="B2360" s="17"/>
      <c r="C2360" s="18"/>
      <c r="D2360" s="19"/>
      <c r="E2360" s="19"/>
      <c r="F2360" s="22"/>
      <c r="G2360" s="22"/>
      <c r="H2360" s="22"/>
      <c r="I2360" s="22"/>
      <c r="J2360" s="22"/>
      <c r="K2360" s="22"/>
      <c r="L2360" s="22"/>
      <c r="M2360" s="22"/>
      <c r="N2360" s="22"/>
      <c r="O2360" s="22"/>
      <c r="P2360" s="22"/>
      <c r="Q2360" s="22"/>
      <c r="R2360" s="22"/>
      <c r="S2360" s="22"/>
      <c r="T2360" s="22"/>
    </row>
    <row r="2361" spans="2:20" x14ac:dyDescent="0.35">
      <c r="B2361" s="17"/>
      <c r="C2361" s="18"/>
      <c r="D2361" s="19"/>
      <c r="E2361" s="19"/>
      <c r="F2361" s="22"/>
      <c r="G2361" s="22"/>
      <c r="H2361" s="22"/>
      <c r="I2361" s="22"/>
      <c r="J2361" s="22"/>
      <c r="K2361" s="22"/>
      <c r="L2361" s="22"/>
      <c r="M2361" s="22"/>
      <c r="N2361" s="22"/>
      <c r="O2361" s="22"/>
      <c r="P2361" s="22"/>
      <c r="Q2361" s="22"/>
      <c r="R2361" s="22"/>
      <c r="S2361" s="22"/>
      <c r="T2361" s="22"/>
    </row>
    <row r="2362" spans="2:20" x14ac:dyDescent="0.35">
      <c r="B2362" s="17"/>
      <c r="C2362" s="18"/>
      <c r="D2362" s="19"/>
      <c r="E2362" s="19"/>
      <c r="F2362" s="22"/>
      <c r="G2362" s="22"/>
      <c r="H2362" s="22"/>
      <c r="I2362" s="22"/>
      <c r="J2362" s="22"/>
      <c r="K2362" s="22"/>
      <c r="L2362" s="22"/>
      <c r="M2362" s="22"/>
      <c r="N2362" s="22"/>
      <c r="O2362" s="22"/>
      <c r="P2362" s="22"/>
      <c r="Q2362" s="22"/>
      <c r="R2362" s="22"/>
      <c r="S2362" s="22"/>
      <c r="T2362" s="22"/>
    </row>
    <row r="2363" spans="2:20" x14ac:dyDescent="0.35">
      <c r="B2363" s="17"/>
      <c r="C2363" s="18"/>
      <c r="D2363" s="19"/>
      <c r="E2363" s="19"/>
      <c r="F2363" s="22"/>
      <c r="G2363" s="22"/>
      <c r="H2363" s="22"/>
      <c r="I2363" s="22"/>
      <c r="J2363" s="22"/>
      <c r="K2363" s="22"/>
      <c r="L2363" s="22"/>
      <c r="M2363" s="22"/>
      <c r="N2363" s="22"/>
      <c r="O2363" s="22"/>
      <c r="P2363" s="22"/>
      <c r="Q2363" s="22"/>
      <c r="R2363" s="22"/>
      <c r="S2363" s="22"/>
      <c r="T2363" s="22"/>
    </row>
    <row r="2364" spans="2:20" x14ac:dyDescent="0.35">
      <c r="B2364" s="17"/>
      <c r="C2364" s="18"/>
      <c r="D2364" s="19"/>
      <c r="E2364" s="19"/>
      <c r="F2364" s="22"/>
      <c r="G2364" s="22"/>
      <c r="H2364" s="22"/>
      <c r="I2364" s="22"/>
      <c r="J2364" s="22"/>
      <c r="K2364" s="22"/>
      <c r="L2364" s="22"/>
      <c r="M2364" s="22"/>
      <c r="N2364" s="22"/>
      <c r="O2364" s="22"/>
      <c r="P2364" s="22"/>
      <c r="Q2364" s="22"/>
      <c r="R2364" s="22"/>
      <c r="S2364" s="22"/>
      <c r="T2364" s="22"/>
    </row>
    <row r="2365" spans="2:20" x14ac:dyDescent="0.35">
      <c r="B2365" s="17"/>
      <c r="C2365" s="18"/>
      <c r="D2365" s="19"/>
      <c r="E2365" s="19"/>
      <c r="F2365" s="22"/>
      <c r="G2365" s="22"/>
      <c r="H2365" s="22"/>
      <c r="I2365" s="22"/>
      <c r="J2365" s="22"/>
      <c r="K2365" s="22"/>
      <c r="L2365" s="22"/>
      <c r="M2365" s="22"/>
      <c r="N2365" s="22"/>
      <c r="O2365" s="22"/>
      <c r="P2365" s="22"/>
      <c r="Q2365" s="22"/>
      <c r="R2365" s="22"/>
      <c r="S2365" s="22"/>
      <c r="T2365" s="22"/>
    </row>
    <row r="2366" spans="2:20" x14ac:dyDescent="0.35">
      <c r="B2366" s="17"/>
      <c r="C2366" s="18"/>
      <c r="D2366" s="19"/>
      <c r="E2366" s="19"/>
      <c r="F2366" s="22"/>
      <c r="G2366" s="22"/>
      <c r="H2366" s="22"/>
      <c r="I2366" s="22"/>
      <c r="J2366" s="22"/>
      <c r="K2366" s="22"/>
      <c r="L2366" s="22"/>
      <c r="M2366" s="22"/>
      <c r="N2366" s="22"/>
      <c r="O2366" s="22"/>
      <c r="P2366" s="22"/>
      <c r="Q2366" s="22"/>
      <c r="R2366" s="22"/>
      <c r="S2366" s="22"/>
      <c r="T2366" s="22"/>
    </row>
    <row r="2367" spans="2:20" x14ac:dyDescent="0.35">
      <c r="B2367" s="17"/>
      <c r="C2367" s="18"/>
      <c r="D2367" s="19"/>
      <c r="E2367" s="19"/>
      <c r="F2367" s="22"/>
      <c r="G2367" s="22"/>
      <c r="H2367" s="22"/>
      <c r="I2367" s="22"/>
      <c r="J2367" s="22"/>
      <c r="K2367" s="22"/>
      <c r="L2367" s="22"/>
      <c r="M2367" s="22"/>
      <c r="N2367" s="22"/>
      <c r="O2367" s="22"/>
      <c r="P2367" s="22"/>
      <c r="Q2367" s="22"/>
      <c r="R2367" s="22"/>
      <c r="S2367" s="22"/>
      <c r="T2367" s="22"/>
    </row>
    <row r="2368" spans="2:20" x14ac:dyDescent="0.35">
      <c r="B2368" s="17"/>
      <c r="C2368" s="18"/>
      <c r="D2368" s="19"/>
      <c r="E2368" s="19"/>
      <c r="F2368" s="22"/>
      <c r="G2368" s="22"/>
      <c r="H2368" s="22"/>
      <c r="I2368" s="22"/>
      <c r="J2368" s="22"/>
      <c r="K2368" s="22"/>
      <c r="L2368" s="22"/>
      <c r="M2368" s="22"/>
      <c r="N2368" s="22"/>
      <c r="O2368" s="22"/>
      <c r="P2368" s="22"/>
      <c r="Q2368" s="22"/>
      <c r="R2368" s="22"/>
      <c r="S2368" s="22"/>
      <c r="T2368" s="22"/>
    </row>
    <row r="2369" spans="2:20" x14ac:dyDescent="0.35">
      <c r="B2369" s="17"/>
      <c r="C2369" s="18"/>
      <c r="D2369" s="19"/>
      <c r="E2369" s="19"/>
      <c r="F2369" s="22"/>
      <c r="G2369" s="22"/>
      <c r="H2369" s="22"/>
      <c r="I2369" s="22"/>
      <c r="J2369" s="22"/>
      <c r="K2369" s="22"/>
      <c r="L2369" s="22"/>
      <c r="M2369" s="22"/>
      <c r="N2369" s="22"/>
      <c r="O2369" s="22"/>
      <c r="P2369" s="22"/>
      <c r="Q2369" s="22"/>
      <c r="R2369" s="22"/>
      <c r="S2369" s="22"/>
      <c r="T2369" s="22"/>
    </row>
    <row r="2370" spans="2:20" x14ac:dyDescent="0.35">
      <c r="B2370" s="17"/>
      <c r="C2370" s="18"/>
      <c r="D2370" s="19"/>
      <c r="E2370" s="19"/>
      <c r="F2370" s="22"/>
      <c r="G2370" s="22"/>
      <c r="H2370" s="22"/>
      <c r="I2370" s="22"/>
      <c r="J2370" s="22"/>
      <c r="K2370" s="22"/>
      <c r="L2370" s="22"/>
      <c r="M2370" s="22"/>
      <c r="N2370" s="22"/>
      <c r="O2370" s="22"/>
      <c r="P2370" s="22"/>
      <c r="Q2370" s="22"/>
      <c r="R2370" s="22"/>
      <c r="S2370" s="22"/>
      <c r="T2370" s="22"/>
    </row>
    <row r="2371" spans="2:20" x14ac:dyDescent="0.35">
      <c r="B2371" s="17"/>
      <c r="C2371" s="13"/>
      <c r="D2371" s="13"/>
      <c r="E2371" s="13"/>
      <c r="F2371" s="14"/>
      <c r="G2371" s="14"/>
      <c r="H2371" s="14"/>
      <c r="I2371" s="14"/>
      <c r="J2371" s="14"/>
      <c r="K2371" s="14"/>
      <c r="L2371" s="14"/>
      <c r="M2371" s="14"/>
      <c r="N2371" s="14"/>
      <c r="O2371" s="14"/>
      <c r="P2371" s="14"/>
      <c r="Q2371" s="14"/>
      <c r="R2371" s="14"/>
      <c r="S2371" s="14"/>
      <c r="T2371" s="14"/>
    </row>
    <row r="2372" spans="2:20" x14ac:dyDescent="0.35">
      <c r="B2372" s="17"/>
      <c r="C2372" s="13"/>
      <c r="D2372" s="13"/>
      <c r="E2372" s="13"/>
      <c r="F2372" s="14"/>
      <c r="G2372" s="14"/>
      <c r="H2372" s="14"/>
      <c r="I2372" s="14"/>
      <c r="J2372" s="14"/>
      <c r="K2372" s="14"/>
      <c r="L2372" s="14"/>
      <c r="M2372" s="14"/>
      <c r="N2372" s="14"/>
      <c r="O2372" s="14"/>
      <c r="P2372" s="14"/>
      <c r="Q2372" s="14"/>
      <c r="R2372" s="14"/>
      <c r="S2372" s="14"/>
      <c r="T2372" s="14"/>
    </row>
    <row r="2373" spans="2:20" x14ac:dyDescent="0.35">
      <c r="B2373" s="17"/>
      <c r="C2373" s="13"/>
      <c r="D2373" s="13"/>
      <c r="E2373" s="13"/>
      <c r="F2373" s="14"/>
      <c r="G2373" s="14"/>
      <c r="H2373" s="14"/>
      <c r="I2373" s="14"/>
      <c r="J2373" s="14"/>
      <c r="K2373" s="14"/>
      <c r="L2373" s="14"/>
      <c r="M2373" s="14"/>
      <c r="N2373" s="14"/>
      <c r="O2373" s="14"/>
      <c r="P2373" s="14"/>
      <c r="Q2373" s="14"/>
      <c r="R2373" s="14"/>
      <c r="S2373" s="14"/>
      <c r="T2373" s="14"/>
    </row>
    <row r="2374" spans="2:20" x14ac:dyDescent="0.35">
      <c r="B2374" s="17"/>
      <c r="C2374" s="13"/>
      <c r="D2374" s="13"/>
      <c r="E2374" s="13"/>
      <c r="F2374" s="14"/>
      <c r="G2374" s="14"/>
      <c r="H2374" s="14"/>
      <c r="I2374" s="14"/>
      <c r="J2374" s="14"/>
      <c r="K2374" s="14"/>
      <c r="L2374" s="14"/>
      <c r="M2374" s="14"/>
      <c r="N2374" s="14"/>
      <c r="O2374" s="14"/>
      <c r="P2374" s="14"/>
      <c r="Q2374" s="14"/>
      <c r="R2374" s="14"/>
      <c r="S2374" s="14"/>
      <c r="T2374" s="14"/>
    </row>
    <row r="2375" spans="2:20" x14ac:dyDescent="0.35">
      <c r="B2375" s="17"/>
      <c r="C2375" s="13"/>
      <c r="D2375" s="13"/>
      <c r="E2375" s="13"/>
      <c r="F2375" s="14"/>
      <c r="G2375" s="14"/>
      <c r="H2375" s="14"/>
      <c r="I2375" s="14"/>
      <c r="J2375" s="14"/>
      <c r="K2375" s="14"/>
      <c r="L2375" s="14"/>
      <c r="M2375" s="14"/>
      <c r="N2375" s="14"/>
      <c r="O2375" s="14"/>
      <c r="P2375" s="14"/>
      <c r="Q2375" s="14"/>
      <c r="R2375" s="14"/>
      <c r="S2375" s="14"/>
      <c r="T2375" s="14"/>
    </row>
    <row r="2376" spans="2:20" x14ac:dyDescent="0.35">
      <c r="B2376" s="17"/>
      <c r="C2376" s="13"/>
      <c r="D2376" s="13"/>
      <c r="E2376" s="13"/>
      <c r="F2376" s="14"/>
      <c r="G2376" s="14"/>
      <c r="H2376" s="14"/>
      <c r="I2376" s="14"/>
      <c r="J2376" s="14"/>
      <c r="K2376" s="14"/>
      <c r="L2376" s="14"/>
      <c r="M2376" s="14"/>
      <c r="N2376" s="14"/>
      <c r="O2376" s="14"/>
      <c r="P2376" s="14"/>
      <c r="Q2376" s="14"/>
      <c r="R2376" s="14"/>
      <c r="S2376" s="14"/>
      <c r="T2376" s="14"/>
    </row>
    <row r="2377" spans="2:20" x14ac:dyDescent="0.35">
      <c r="B2377" s="17"/>
      <c r="C2377" s="13"/>
      <c r="D2377" s="13"/>
      <c r="E2377" s="13"/>
      <c r="F2377" s="14"/>
      <c r="G2377" s="14"/>
      <c r="H2377" s="14"/>
      <c r="I2377" s="14"/>
      <c r="J2377" s="14"/>
      <c r="K2377" s="14"/>
      <c r="L2377" s="14"/>
      <c r="M2377" s="14"/>
      <c r="N2377" s="14"/>
      <c r="O2377" s="14"/>
      <c r="P2377" s="14"/>
      <c r="Q2377" s="14"/>
      <c r="R2377" s="14"/>
      <c r="S2377" s="14"/>
      <c r="T2377" s="14"/>
    </row>
    <row r="2378" spans="2:20" x14ac:dyDescent="0.35">
      <c r="B2378" s="17"/>
      <c r="C2378" s="18"/>
      <c r="D2378" s="19"/>
      <c r="E2378" s="19"/>
      <c r="F2378" s="22"/>
      <c r="G2378" s="22"/>
      <c r="H2378" s="22"/>
      <c r="I2378" s="22"/>
      <c r="J2378" s="22"/>
      <c r="K2378" s="22"/>
      <c r="L2378" s="22"/>
      <c r="M2378" s="22"/>
      <c r="N2378" s="22"/>
      <c r="O2378" s="22"/>
      <c r="P2378" s="22"/>
      <c r="Q2378" s="22"/>
      <c r="R2378" s="22"/>
      <c r="S2378" s="22"/>
      <c r="T2378" s="22"/>
    </row>
    <row r="2379" spans="2:20" x14ac:dyDescent="0.35">
      <c r="B2379" s="17"/>
      <c r="C2379" s="18"/>
      <c r="D2379" s="19"/>
      <c r="E2379" s="19"/>
      <c r="F2379" s="22"/>
      <c r="G2379" s="22"/>
      <c r="H2379" s="22"/>
      <c r="I2379" s="22"/>
      <c r="J2379" s="22"/>
      <c r="K2379" s="22"/>
      <c r="L2379" s="22"/>
      <c r="M2379" s="22"/>
      <c r="N2379" s="22"/>
      <c r="O2379" s="22"/>
      <c r="P2379" s="22"/>
      <c r="Q2379" s="22"/>
      <c r="R2379" s="22"/>
      <c r="S2379" s="22"/>
      <c r="T2379" s="22"/>
    </row>
    <row r="2380" spans="2:20" x14ac:dyDescent="0.35">
      <c r="B2380" s="17"/>
      <c r="C2380" s="18"/>
      <c r="D2380" s="19"/>
      <c r="E2380" s="19"/>
      <c r="F2380" s="22"/>
      <c r="G2380" s="22"/>
      <c r="H2380" s="22"/>
      <c r="I2380" s="22"/>
      <c r="J2380" s="22"/>
      <c r="K2380" s="22"/>
      <c r="L2380" s="22"/>
      <c r="M2380" s="22"/>
      <c r="N2380" s="22"/>
      <c r="O2380" s="22"/>
      <c r="P2380" s="22"/>
      <c r="Q2380" s="22"/>
      <c r="R2380" s="22"/>
      <c r="S2380" s="22"/>
      <c r="T2380" s="22"/>
    </row>
    <row r="2381" spans="2:20" x14ac:dyDescent="0.35">
      <c r="B2381" s="17"/>
      <c r="C2381" s="18"/>
      <c r="D2381" s="19"/>
      <c r="E2381" s="19"/>
      <c r="F2381" s="22"/>
      <c r="G2381" s="22"/>
      <c r="H2381" s="22"/>
      <c r="I2381" s="22"/>
      <c r="J2381" s="22"/>
      <c r="K2381" s="22"/>
      <c r="L2381" s="22"/>
      <c r="M2381" s="22"/>
      <c r="N2381" s="22"/>
      <c r="O2381" s="22"/>
      <c r="P2381" s="22"/>
      <c r="Q2381" s="22"/>
      <c r="R2381" s="22"/>
      <c r="S2381" s="22"/>
      <c r="T2381" s="22"/>
    </row>
    <row r="2382" spans="2:20" x14ac:dyDescent="0.35">
      <c r="B2382" s="17"/>
      <c r="C2382" s="18"/>
      <c r="D2382" s="19"/>
      <c r="E2382" s="19"/>
      <c r="F2382" s="22"/>
      <c r="G2382" s="22"/>
      <c r="H2382" s="22"/>
      <c r="I2382" s="22"/>
      <c r="J2382" s="22"/>
      <c r="K2382" s="22"/>
      <c r="L2382" s="22"/>
      <c r="M2382" s="22"/>
      <c r="N2382" s="22"/>
      <c r="O2382" s="22"/>
      <c r="P2382" s="22"/>
      <c r="Q2382" s="22"/>
      <c r="R2382" s="22"/>
      <c r="S2382" s="22"/>
      <c r="T2382" s="22"/>
    </row>
    <row r="2383" spans="2:20" x14ac:dyDescent="0.35">
      <c r="B2383" s="17"/>
      <c r="C2383" s="20"/>
      <c r="D2383" s="19"/>
      <c r="E2383" s="19"/>
      <c r="F2383" s="22"/>
      <c r="G2383" s="22"/>
      <c r="H2383" s="22"/>
      <c r="I2383" s="22"/>
      <c r="J2383" s="22"/>
      <c r="K2383" s="22"/>
      <c r="L2383" s="22"/>
      <c r="M2383" s="22"/>
      <c r="N2383" s="22"/>
      <c r="O2383" s="22"/>
      <c r="P2383" s="22"/>
      <c r="Q2383" s="22"/>
      <c r="R2383" s="22"/>
      <c r="S2383" s="22"/>
      <c r="T2383" s="22"/>
    </row>
    <row r="2384" spans="2:20" x14ac:dyDescent="0.35">
      <c r="B2384" s="17"/>
      <c r="C2384" s="20"/>
      <c r="D2384" s="19"/>
      <c r="E2384" s="19"/>
      <c r="F2384" s="22"/>
      <c r="G2384" s="22"/>
      <c r="H2384" s="22"/>
      <c r="I2384" s="22"/>
      <c r="J2384" s="22"/>
      <c r="K2384" s="22"/>
      <c r="L2384" s="22"/>
      <c r="M2384" s="22"/>
      <c r="N2384" s="22"/>
      <c r="O2384" s="22"/>
      <c r="P2384" s="22"/>
      <c r="Q2384" s="22"/>
      <c r="R2384" s="22"/>
      <c r="S2384" s="22"/>
      <c r="T2384" s="22"/>
    </row>
    <row r="2385" spans="2:20" x14ac:dyDescent="0.35">
      <c r="B2385" s="17"/>
      <c r="C2385" s="20"/>
      <c r="D2385" s="19"/>
      <c r="E2385" s="19"/>
      <c r="F2385" s="22"/>
      <c r="G2385" s="22"/>
      <c r="H2385" s="22"/>
      <c r="I2385" s="22"/>
      <c r="J2385" s="22"/>
      <c r="K2385" s="22"/>
      <c r="L2385" s="22"/>
      <c r="M2385" s="22"/>
      <c r="N2385" s="22"/>
      <c r="O2385" s="22"/>
      <c r="P2385" s="22"/>
      <c r="Q2385" s="22"/>
      <c r="R2385" s="22"/>
      <c r="S2385" s="22"/>
      <c r="T2385" s="22"/>
    </row>
    <row r="2386" spans="2:20" x14ac:dyDescent="0.35">
      <c r="B2386" s="17"/>
      <c r="C2386" s="20"/>
      <c r="D2386" s="19"/>
      <c r="E2386" s="19"/>
      <c r="F2386" s="22"/>
      <c r="G2386" s="22"/>
      <c r="H2386" s="22"/>
      <c r="I2386" s="22"/>
      <c r="J2386" s="22"/>
      <c r="K2386" s="22"/>
      <c r="L2386" s="22"/>
      <c r="M2386" s="22"/>
      <c r="N2386" s="22"/>
      <c r="O2386" s="22"/>
      <c r="P2386" s="22"/>
      <c r="Q2386" s="22"/>
      <c r="R2386" s="22"/>
      <c r="S2386" s="22"/>
      <c r="T2386" s="22"/>
    </row>
    <row r="2387" spans="2:20" x14ac:dyDescent="0.35">
      <c r="B2387" s="17"/>
      <c r="C2387" s="13"/>
      <c r="D2387" s="13"/>
      <c r="E2387" s="13"/>
      <c r="F2387" s="14"/>
      <c r="G2387" s="14"/>
      <c r="H2387" s="14"/>
      <c r="I2387" s="14"/>
      <c r="J2387" s="14"/>
      <c r="K2387" s="14"/>
      <c r="L2387" s="14"/>
      <c r="M2387" s="14"/>
      <c r="N2387" s="14"/>
      <c r="O2387" s="14"/>
      <c r="P2387" s="14"/>
      <c r="Q2387" s="14"/>
      <c r="R2387" s="14"/>
      <c r="S2387" s="14"/>
      <c r="T2387" s="14"/>
    </row>
    <row r="2388" spans="2:20" x14ac:dyDescent="0.35">
      <c r="B2388" s="17"/>
      <c r="C2388" s="13"/>
      <c r="D2388" s="13"/>
      <c r="E2388" s="13"/>
      <c r="F2388" s="14"/>
      <c r="G2388" s="14"/>
      <c r="H2388" s="14"/>
      <c r="I2388" s="14"/>
      <c r="J2388" s="14"/>
      <c r="K2388" s="14"/>
      <c r="L2388" s="14"/>
      <c r="M2388" s="14"/>
      <c r="N2388" s="14"/>
      <c r="O2388" s="14"/>
      <c r="P2388" s="14"/>
      <c r="Q2388" s="14"/>
      <c r="R2388" s="14"/>
      <c r="S2388" s="14"/>
      <c r="T2388" s="14"/>
    </row>
    <row r="2389" spans="2:20" x14ac:dyDescent="0.35">
      <c r="B2389" s="17"/>
      <c r="C2389" s="13"/>
      <c r="D2389" s="13"/>
      <c r="E2389" s="13"/>
      <c r="F2389" s="14"/>
      <c r="G2389" s="14"/>
      <c r="H2389" s="14"/>
      <c r="I2389" s="14"/>
      <c r="J2389" s="14"/>
      <c r="K2389" s="14"/>
      <c r="L2389" s="14"/>
      <c r="M2389" s="14"/>
      <c r="N2389" s="14"/>
      <c r="O2389" s="14"/>
      <c r="P2389" s="14"/>
      <c r="Q2389" s="14"/>
      <c r="R2389" s="14"/>
      <c r="S2389" s="14"/>
      <c r="T2389" s="14"/>
    </row>
    <row r="2390" spans="2:20" x14ac:dyDescent="0.35">
      <c r="B2390" s="17"/>
      <c r="C2390" s="13"/>
      <c r="D2390" s="13"/>
      <c r="E2390" s="13"/>
      <c r="F2390" s="14"/>
      <c r="G2390" s="14"/>
      <c r="H2390" s="14"/>
      <c r="I2390" s="14"/>
      <c r="J2390" s="14"/>
      <c r="K2390" s="14"/>
      <c r="L2390" s="14"/>
      <c r="M2390" s="14"/>
      <c r="N2390" s="14"/>
      <c r="O2390" s="14"/>
      <c r="P2390" s="14"/>
      <c r="Q2390" s="14"/>
      <c r="R2390" s="14"/>
      <c r="S2390" s="14"/>
      <c r="T2390" s="14"/>
    </row>
    <row r="2391" spans="2:20" x14ac:dyDescent="0.35">
      <c r="B2391" s="17"/>
      <c r="C2391" s="13"/>
      <c r="D2391" s="13"/>
      <c r="E2391" s="13"/>
      <c r="F2391" s="14"/>
      <c r="G2391" s="14"/>
      <c r="H2391" s="14"/>
      <c r="I2391" s="14"/>
      <c r="J2391" s="14"/>
      <c r="K2391" s="14"/>
      <c r="L2391" s="14"/>
      <c r="M2391" s="14"/>
      <c r="N2391" s="14"/>
      <c r="O2391" s="14"/>
      <c r="P2391" s="14"/>
      <c r="Q2391" s="14"/>
      <c r="R2391" s="14"/>
      <c r="S2391" s="14"/>
      <c r="T2391" s="14"/>
    </row>
    <row r="2392" spans="2:20" x14ac:dyDescent="0.35">
      <c r="B2392" s="17"/>
      <c r="C2392" s="13"/>
      <c r="D2392" s="13"/>
      <c r="E2392" s="13"/>
      <c r="F2392" s="14"/>
      <c r="G2392" s="14"/>
      <c r="H2392" s="14"/>
      <c r="I2392" s="14"/>
      <c r="J2392" s="14"/>
      <c r="K2392" s="14"/>
      <c r="L2392" s="14"/>
      <c r="M2392" s="14"/>
      <c r="N2392" s="14"/>
      <c r="O2392" s="14"/>
      <c r="P2392" s="14"/>
      <c r="Q2392" s="14"/>
      <c r="R2392" s="14"/>
      <c r="S2392" s="14"/>
      <c r="T2392" s="14"/>
    </row>
    <row r="2393" spans="2:20" x14ac:dyDescent="0.35">
      <c r="B2393" s="17"/>
      <c r="C2393" s="13"/>
      <c r="D2393" s="13"/>
      <c r="E2393" s="13"/>
      <c r="F2393" s="14"/>
      <c r="G2393" s="14"/>
      <c r="H2393" s="14"/>
      <c r="I2393" s="14"/>
      <c r="J2393" s="14"/>
      <c r="K2393" s="14"/>
      <c r="L2393" s="14"/>
      <c r="M2393" s="14"/>
      <c r="N2393" s="14"/>
      <c r="O2393" s="14"/>
      <c r="P2393" s="14"/>
      <c r="Q2393" s="14"/>
      <c r="R2393" s="14"/>
      <c r="S2393" s="14"/>
      <c r="T2393" s="14"/>
    </row>
    <row r="2394" spans="2:20" x14ac:dyDescent="0.35">
      <c r="B2394" s="17"/>
      <c r="C2394" s="13"/>
      <c r="D2394" s="13"/>
      <c r="E2394" s="13"/>
      <c r="F2394" s="14"/>
      <c r="G2394" s="14"/>
      <c r="H2394" s="14"/>
      <c r="I2394" s="14"/>
      <c r="J2394" s="14"/>
      <c r="K2394" s="14"/>
      <c r="L2394" s="14"/>
      <c r="M2394" s="14"/>
      <c r="N2394" s="14"/>
      <c r="O2394" s="14"/>
      <c r="P2394" s="14"/>
      <c r="Q2394" s="14"/>
      <c r="R2394" s="14"/>
      <c r="S2394" s="14"/>
      <c r="T2394" s="14"/>
    </row>
    <row r="2395" spans="2:20" x14ac:dyDescent="0.35">
      <c r="B2395" s="17"/>
      <c r="C2395" s="13"/>
      <c r="D2395" s="13"/>
      <c r="E2395" s="13"/>
      <c r="F2395" s="14"/>
      <c r="G2395" s="14"/>
      <c r="H2395" s="14"/>
      <c r="I2395" s="14"/>
      <c r="J2395" s="14"/>
      <c r="K2395" s="14"/>
      <c r="L2395" s="14"/>
      <c r="M2395" s="14"/>
      <c r="N2395" s="14"/>
      <c r="O2395" s="14"/>
      <c r="P2395" s="14"/>
      <c r="Q2395" s="14"/>
      <c r="R2395" s="14"/>
      <c r="S2395" s="14"/>
      <c r="T2395" s="14"/>
    </row>
    <row r="2396" spans="2:20" x14ac:dyDescent="0.35">
      <c r="B2396" s="17"/>
      <c r="C2396" s="13"/>
      <c r="D2396" s="13"/>
      <c r="E2396" s="13"/>
      <c r="F2396" s="14"/>
      <c r="G2396" s="14"/>
      <c r="H2396" s="14"/>
      <c r="I2396" s="14"/>
      <c r="J2396" s="14"/>
      <c r="K2396" s="14"/>
      <c r="L2396" s="14"/>
      <c r="M2396" s="14"/>
      <c r="N2396" s="14"/>
      <c r="O2396" s="14"/>
      <c r="P2396" s="14"/>
      <c r="Q2396" s="14"/>
      <c r="R2396" s="14"/>
      <c r="S2396" s="14"/>
      <c r="T2396" s="14"/>
    </row>
    <row r="2397" spans="2:20" x14ac:dyDescent="0.35">
      <c r="B2397" s="17"/>
      <c r="C2397" s="13"/>
      <c r="D2397" s="13"/>
      <c r="E2397" s="13"/>
      <c r="F2397" s="14"/>
      <c r="G2397" s="14"/>
      <c r="H2397" s="14"/>
      <c r="I2397" s="14"/>
      <c r="J2397" s="14"/>
      <c r="K2397" s="14"/>
      <c r="L2397" s="14"/>
      <c r="M2397" s="14"/>
      <c r="N2397" s="14"/>
      <c r="O2397" s="14"/>
      <c r="P2397" s="14"/>
      <c r="Q2397" s="14"/>
      <c r="R2397" s="14"/>
      <c r="S2397" s="14"/>
      <c r="T2397" s="14"/>
    </row>
    <row r="2398" spans="2:20" x14ac:dyDescent="0.35">
      <c r="B2398" s="17"/>
      <c r="C2398" s="13"/>
      <c r="D2398" s="13"/>
      <c r="E2398" s="13"/>
      <c r="F2398" s="14"/>
      <c r="G2398" s="14"/>
      <c r="H2398" s="14"/>
      <c r="I2398" s="14"/>
      <c r="J2398" s="14"/>
      <c r="K2398" s="14"/>
      <c r="L2398" s="14"/>
      <c r="M2398" s="14"/>
      <c r="N2398" s="14"/>
      <c r="O2398" s="14"/>
      <c r="P2398" s="14"/>
      <c r="Q2398" s="14"/>
      <c r="R2398" s="14"/>
      <c r="S2398" s="14"/>
      <c r="T2398" s="14"/>
    </row>
    <row r="2399" spans="2:20" x14ac:dyDescent="0.35">
      <c r="B2399" s="17"/>
      <c r="C2399" s="13"/>
      <c r="D2399" s="13"/>
      <c r="E2399" s="13"/>
      <c r="F2399" s="14"/>
      <c r="G2399" s="14"/>
      <c r="H2399" s="14"/>
      <c r="I2399" s="14"/>
      <c r="J2399" s="14"/>
      <c r="K2399" s="14"/>
      <c r="L2399" s="14"/>
      <c r="M2399" s="14"/>
      <c r="N2399" s="14"/>
      <c r="O2399" s="14"/>
      <c r="P2399" s="14"/>
      <c r="Q2399" s="14"/>
      <c r="R2399" s="14"/>
      <c r="S2399" s="14"/>
      <c r="T2399" s="14"/>
    </row>
    <row r="2400" spans="2:20" x14ac:dyDescent="0.35">
      <c r="B2400" s="17"/>
      <c r="C2400" s="13"/>
      <c r="D2400" s="13"/>
      <c r="E2400" s="13"/>
      <c r="F2400" s="14"/>
      <c r="G2400" s="14"/>
      <c r="H2400" s="14"/>
      <c r="I2400" s="14"/>
      <c r="J2400" s="14"/>
      <c r="K2400" s="14"/>
      <c r="L2400" s="14"/>
      <c r="M2400" s="14"/>
      <c r="N2400" s="14"/>
      <c r="O2400" s="14"/>
      <c r="P2400" s="14"/>
      <c r="Q2400" s="14"/>
      <c r="R2400" s="14"/>
      <c r="S2400" s="14"/>
      <c r="T2400" s="14"/>
    </row>
    <row r="2401" spans="2:20" x14ac:dyDescent="0.35">
      <c r="B2401" s="17"/>
      <c r="C2401" s="13"/>
      <c r="D2401" s="13"/>
      <c r="E2401" s="13"/>
      <c r="F2401" s="14"/>
      <c r="G2401" s="14"/>
      <c r="H2401" s="14"/>
      <c r="I2401" s="14"/>
      <c r="J2401" s="14"/>
      <c r="K2401" s="14"/>
      <c r="L2401" s="14"/>
      <c r="M2401" s="14"/>
      <c r="N2401" s="14"/>
      <c r="O2401" s="14"/>
      <c r="P2401" s="14"/>
      <c r="Q2401" s="14"/>
      <c r="R2401" s="14"/>
      <c r="S2401" s="14"/>
      <c r="T2401" s="14"/>
    </row>
    <row r="2402" spans="2:20" x14ac:dyDescent="0.35">
      <c r="B2402" s="17"/>
      <c r="C2402" s="18"/>
      <c r="D2402" s="19"/>
      <c r="E2402" s="19"/>
      <c r="F2402" s="22"/>
      <c r="G2402" s="22"/>
      <c r="H2402" s="22"/>
      <c r="I2402" s="22"/>
      <c r="J2402" s="22"/>
      <c r="K2402" s="22"/>
      <c r="L2402" s="22"/>
      <c r="M2402" s="22"/>
      <c r="N2402" s="22"/>
      <c r="O2402" s="22"/>
      <c r="P2402" s="22"/>
      <c r="Q2402" s="22"/>
      <c r="R2402" s="22"/>
      <c r="S2402" s="22"/>
      <c r="T2402" s="22"/>
    </row>
    <row r="2403" spans="2:20" x14ac:dyDescent="0.35">
      <c r="B2403" s="17"/>
      <c r="C2403" s="18"/>
      <c r="D2403" s="19"/>
      <c r="E2403" s="19"/>
      <c r="F2403" s="22"/>
      <c r="G2403" s="22"/>
      <c r="H2403" s="22"/>
      <c r="I2403" s="22"/>
      <c r="J2403" s="22"/>
      <c r="K2403" s="22"/>
      <c r="L2403" s="22"/>
      <c r="M2403" s="22"/>
      <c r="N2403" s="22"/>
      <c r="O2403" s="22"/>
      <c r="P2403" s="22"/>
      <c r="Q2403" s="22"/>
      <c r="R2403" s="22"/>
      <c r="S2403" s="22"/>
      <c r="T2403" s="22"/>
    </row>
    <row r="2404" spans="2:20" x14ac:dyDescent="0.35">
      <c r="B2404" s="17"/>
      <c r="C2404" s="18"/>
      <c r="D2404" s="19"/>
      <c r="E2404" s="19"/>
      <c r="F2404" s="22"/>
      <c r="G2404" s="22"/>
      <c r="H2404" s="22"/>
      <c r="I2404" s="22"/>
      <c r="J2404" s="22"/>
      <c r="K2404" s="22"/>
      <c r="L2404" s="22"/>
      <c r="M2404" s="22"/>
      <c r="N2404" s="22"/>
      <c r="O2404" s="22"/>
      <c r="P2404" s="22"/>
      <c r="Q2404" s="22"/>
      <c r="R2404" s="22"/>
      <c r="S2404" s="22"/>
      <c r="T2404" s="22"/>
    </row>
    <row r="2405" spans="2:20" x14ac:dyDescent="0.35">
      <c r="B2405" s="17"/>
      <c r="C2405" s="18"/>
      <c r="D2405" s="19"/>
      <c r="E2405" s="19"/>
      <c r="F2405" s="22"/>
      <c r="G2405" s="22"/>
      <c r="H2405" s="22"/>
      <c r="I2405" s="22"/>
      <c r="J2405" s="22"/>
      <c r="K2405" s="22"/>
      <c r="L2405" s="22"/>
      <c r="M2405" s="22"/>
      <c r="N2405" s="22"/>
      <c r="O2405" s="22"/>
      <c r="P2405" s="22"/>
      <c r="Q2405" s="22"/>
      <c r="R2405" s="22"/>
      <c r="S2405" s="22"/>
      <c r="T2405" s="22"/>
    </row>
    <row r="2406" spans="2:20" x14ac:dyDescent="0.35">
      <c r="B2406" s="17"/>
      <c r="C2406" s="18"/>
      <c r="D2406" s="19"/>
      <c r="E2406" s="19"/>
      <c r="F2406" s="22"/>
      <c r="G2406" s="22"/>
      <c r="H2406" s="22"/>
      <c r="I2406" s="22"/>
      <c r="J2406" s="22"/>
      <c r="K2406" s="22"/>
      <c r="L2406" s="22"/>
      <c r="M2406" s="22"/>
      <c r="N2406" s="22"/>
      <c r="O2406" s="22"/>
      <c r="P2406" s="22"/>
      <c r="Q2406" s="22"/>
      <c r="R2406" s="22"/>
      <c r="S2406" s="22"/>
      <c r="T2406" s="22"/>
    </row>
    <row r="2407" spans="2:20" x14ac:dyDescent="0.35">
      <c r="B2407" s="17"/>
      <c r="C2407" s="18"/>
      <c r="D2407" s="19"/>
      <c r="E2407" s="19"/>
      <c r="F2407" s="22"/>
      <c r="G2407" s="22"/>
      <c r="H2407" s="22"/>
      <c r="I2407" s="22"/>
      <c r="J2407" s="22"/>
      <c r="K2407" s="22"/>
      <c r="L2407" s="22"/>
      <c r="M2407" s="22"/>
      <c r="N2407" s="22"/>
      <c r="O2407" s="22"/>
      <c r="P2407" s="22"/>
      <c r="Q2407" s="22"/>
      <c r="R2407" s="22"/>
      <c r="S2407" s="22"/>
      <c r="T2407" s="22"/>
    </row>
    <row r="2408" spans="2:20" x14ac:dyDescent="0.35">
      <c r="B2408" s="17"/>
      <c r="C2408" s="18"/>
      <c r="D2408" s="19"/>
      <c r="E2408" s="19"/>
      <c r="F2408" s="22"/>
      <c r="G2408" s="22"/>
      <c r="H2408" s="22"/>
      <c r="I2408" s="22"/>
      <c r="J2408" s="22"/>
      <c r="K2408" s="22"/>
      <c r="L2408" s="22"/>
      <c r="M2408" s="22"/>
      <c r="N2408" s="22"/>
      <c r="O2408" s="22"/>
      <c r="P2408" s="22"/>
      <c r="Q2408" s="22"/>
      <c r="R2408" s="22"/>
      <c r="S2408" s="22"/>
      <c r="T2408" s="22"/>
    </row>
    <row r="2409" spans="2:20" x14ac:dyDescent="0.35">
      <c r="B2409" s="17"/>
      <c r="C2409" s="18"/>
      <c r="D2409" s="19"/>
      <c r="E2409" s="19"/>
      <c r="F2409" s="22"/>
      <c r="G2409" s="22"/>
      <c r="H2409" s="22"/>
      <c r="I2409" s="22"/>
      <c r="J2409" s="22"/>
      <c r="K2409" s="22"/>
      <c r="L2409" s="22"/>
      <c r="M2409" s="22"/>
      <c r="N2409" s="22"/>
      <c r="O2409" s="22"/>
      <c r="P2409" s="22"/>
      <c r="Q2409" s="22"/>
      <c r="R2409" s="22"/>
      <c r="S2409" s="22"/>
      <c r="T2409" s="22"/>
    </row>
    <row r="2410" spans="2:20" x14ac:dyDescent="0.35">
      <c r="B2410" s="17"/>
      <c r="C2410" s="18"/>
      <c r="D2410" s="19"/>
      <c r="E2410" s="19"/>
      <c r="F2410" s="22"/>
      <c r="G2410" s="22"/>
      <c r="H2410" s="22"/>
      <c r="I2410" s="22"/>
      <c r="J2410" s="22"/>
      <c r="K2410" s="22"/>
      <c r="L2410" s="22"/>
      <c r="M2410" s="22"/>
      <c r="N2410" s="22"/>
      <c r="O2410" s="22"/>
      <c r="P2410" s="22"/>
      <c r="Q2410" s="22"/>
      <c r="R2410" s="22"/>
      <c r="S2410" s="22"/>
      <c r="T2410" s="22"/>
    </row>
    <row r="2411" spans="2:20" x14ac:dyDescent="0.35">
      <c r="B2411" s="17"/>
      <c r="C2411" s="18"/>
      <c r="D2411" s="19"/>
      <c r="E2411" s="19"/>
      <c r="F2411" s="22"/>
      <c r="G2411" s="22"/>
      <c r="H2411" s="22"/>
      <c r="I2411" s="22"/>
      <c r="J2411" s="22"/>
      <c r="K2411" s="22"/>
      <c r="L2411" s="22"/>
      <c r="M2411" s="22"/>
      <c r="N2411" s="22"/>
      <c r="O2411" s="22"/>
      <c r="P2411" s="22"/>
      <c r="Q2411" s="22"/>
      <c r="R2411" s="22"/>
      <c r="S2411" s="22"/>
      <c r="T2411" s="22"/>
    </row>
    <row r="2412" spans="2:20" x14ac:dyDescent="0.35">
      <c r="B2412" s="17"/>
      <c r="C2412" s="18"/>
      <c r="D2412" s="19"/>
      <c r="E2412" s="19"/>
      <c r="F2412" s="22"/>
      <c r="G2412" s="22"/>
      <c r="H2412" s="22"/>
      <c r="I2412" s="22"/>
      <c r="J2412" s="22"/>
      <c r="K2412" s="22"/>
      <c r="L2412" s="22"/>
      <c r="M2412" s="22"/>
      <c r="N2412" s="22"/>
      <c r="O2412" s="22"/>
      <c r="P2412" s="22"/>
      <c r="Q2412" s="22"/>
      <c r="R2412" s="22"/>
      <c r="S2412" s="22"/>
      <c r="T2412" s="22"/>
    </row>
    <row r="2413" spans="2:20" x14ac:dyDescent="0.35">
      <c r="B2413" s="17"/>
      <c r="C2413" s="18"/>
      <c r="D2413" s="19"/>
      <c r="E2413" s="19"/>
      <c r="F2413" s="22"/>
      <c r="G2413" s="22"/>
      <c r="H2413" s="22"/>
      <c r="I2413" s="22"/>
      <c r="J2413" s="22"/>
      <c r="K2413" s="22"/>
      <c r="L2413" s="22"/>
      <c r="M2413" s="22"/>
      <c r="N2413" s="22"/>
      <c r="O2413" s="22"/>
      <c r="P2413" s="22"/>
      <c r="Q2413" s="22"/>
      <c r="R2413" s="22"/>
      <c r="S2413" s="22"/>
      <c r="T2413" s="22"/>
    </row>
    <row r="2414" spans="2:20" x14ac:dyDescent="0.35">
      <c r="B2414" s="17"/>
      <c r="C2414" s="18"/>
      <c r="D2414" s="19"/>
      <c r="E2414" s="19"/>
      <c r="F2414" s="22"/>
      <c r="G2414" s="22"/>
      <c r="H2414" s="22"/>
      <c r="I2414" s="22"/>
      <c r="J2414" s="22"/>
      <c r="K2414" s="22"/>
      <c r="L2414" s="22"/>
      <c r="M2414" s="22"/>
      <c r="N2414" s="22"/>
      <c r="O2414" s="22"/>
      <c r="P2414" s="22"/>
      <c r="Q2414" s="22"/>
      <c r="R2414" s="22"/>
      <c r="S2414" s="22"/>
      <c r="T2414" s="22"/>
    </row>
    <row r="2415" spans="2:20" x14ac:dyDescent="0.35">
      <c r="B2415" s="17"/>
      <c r="C2415" s="18"/>
      <c r="D2415" s="19"/>
      <c r="E2415" s="19"/>
      <c r="F2415" s="22"/>
      <c r="G2415" s="22"/>
      <c r="H2415" s="22"/>
      <c r="I2415" s="22"/>
      <c r="J2415" s="22"/>
      <c r="K2415" s="22"/>
      <c r="L2415" s="22"/>
      <c r="M2415" s="22"/>
      <c r="N2415" s="22"/>
      <c r="O2415" s="22"/>
      <c r="P2415" s="22"/>
      <c r="Q2415" s="22"/>
      <c r="R2415" s="22"/>
      <c r="S2415" s="22"/>
      <c r="T2415" s="22"/>
    </row>
    <row r="2416" spans="2:20" x14ac:dyDescent="0.35">
      <c r="B2416" s="17"/>
      <c r="C2416" s="18"/>
      <c r="D2416" s="19"/>
      <c r="E2416" s="19"/>
      <c r="F2416" s="22"/>
      <c r="G2416" s="22"/>
      <c r="H2416" s="22"/>
      <c r="I2416" s="22"/>
      <c r="J2416" s="22"/>
      <c r="K2416" s="22"/>
      <c r="L2416" s="22"/>
      <c r="M2416" s="22"/>
      <c r="N2416" s="22"/>
      <c r="O2416" s="22"/>
      <c r="P2416" s="22"/>
      <c r="Q2416" s="22"/>
      <c r="R2416" s="22"/>
      <c r="S2416" s="22"/>
      <c r="T2416" s="22"/>
    </row>
    <row r="2417" spans="2:20" x14ac:dyDescent="0.35">
      <c r="B2417" s="17"/>
      <c r="C2417" s="18"/>
      <c r="D2417" s="19"/>
      <c r="E2417" s="19"/>
      <c r="F2417" s="22"/>
      <c r="G2417" s="22"/>
      <c r="H2417" s="22"/>
      <c r="I2417" s="22"/>
      <c r="J2417" s="22"/>
      <c r="K2417" s="22"/>
      <c r="L2417" s="22"/>
      <c r="M2417" s="22"/>
      <c r="N2417" s="22"/>
      <c r="O2417" s="22"/>
      <c r="P2417" s="22"/>
      <c r="Q2417" s="22"/>
      <c r="R2417" s="22"/>
      <c r="S2417" s="22"/>
      <c r="T2417" s="22"/>
    </row>
    <row r="2418" spans="2:20" x14ac:dyDescent="0.35">
      <c r="B2418" s="17"/>
      <c r="C2418" s="13"/>
      <c r="D2418" s="13"/>
      <c r="E2418" s="13"/>
      <c r="F2418" s="14"/>
      <c r="G2418" s="14"/>
      <c r="H2418" s="14"/>
      <c r="I2418" s="14"/>
      <c r="J2418" s="14"/>
      <c r="K2418" s="14"/>
      <c r="L2418" s="14"/>
      <c r="M2418" s="14"/>
      <c r="N2418" s="14"/>
      <c r="O2418" s="14"/>
      <c r="P2418" s="14"/>
      <c r="Q2418" s="14"/>
      <c r="R2418" s="14"/>
      <c r="S2418" s="14"/>
      <c r="T2418" s="14"/>
    </row>
    <row r="2419" spans="2:20" x14ac:dyDescent="0.35">
      <c r="B2419" s="17"/>
      <c r="C2419" s="13"/>
      <c r="D2419" s="13"/>
      <c r="E2419" s="13"/>
      <c r="F2419" s="14"/>
      <c r="G2419" s="14"/>
      <c r="H2419" s="14"/>
      <c r="I2419" s="14"/>
      <c r="J2419" s="14"/>
      <c r="K2419" s="14"/>
      <c r="L2419" s="14"/>
      <c r="M2419" s="14"/>
      <c r="N2419" s="14"/>
      <c r="O2419" s="14"/>
      <c r="P2419" s="14"/>
      <c r="Q2419" s="14"/>
      <c r="R2419" s="14"/>
      <c r="S2419" s="14"/>
      <c r="T2419" s="14"/>
    </row>
    <row r="2420" spans="2:20" x14ac:dyDescent="0.35">
      <c r="B2420" s="17"/>
      <c r="C2420" s="13"/>
      <c r="D2420" s="13"/>
      <c r="E2420" s="13"/>
      <c r="F2420" s="14"/>
      <c r="G2420" s="14"/>
      <c r="H2420" s="14"/>
      <c r="I2420" s="14"/>
      <c r="J2420" s="14"/>
      <c r="K2420" s="14"/>
      <c r="L2420" s="14"/>
      <c r="M2420" s="14"/>
      <c r="N2420" s="14"/>
      <c r="O2420" s="14"/>
      <c r="P2420" s="14"/>
      <c r="Q2420" s="14"/>
      <c r="R2420" s="14"/>
      <c r="S2420" s="14"/>
      <c r="T2420" s="14"/>
    </row>
    <row r="2421" spans="2:20" x14ac:dyDescent="0.35">
      <c r="B2421" s="17"/>
      <c r="C2421" s="13"/>
      <c r="D2421" s="13"/>
      <c r="E2421" s="13"/>
      <c r="F2421" s="14"/>
      <c r="G2421" s="14"/>
      <c r="H2421" s="14"/>
      <c r="I2421" s="14"/>
      <c r="J2421" s="14"/>
      <c r="K2421" s="14"/>
      <c r="L2421" s="14"/>
      <c r="M2421" s="14"/>
      <c r="N2421" s="14"/>
      <c r="O2421" s="14"/>
      <c r="P2421" s="14"/>
      <c r="Q2421" s="14"/>
      <c r="R2421" s="14"/>
      <c r="S2421" s="14"/>
      <c r="T2421" s="14"/>
    </row>
    <row r="2422" spans="2:20" x14ac:dyDescent="0.35">
      <c r="B2422" s="17"/>
      <c r="C2422" s="13"/>
      <c r="D2422" s="13"/>
      <c r="E2422" s="13"/>
      <c r="F2422" s="14"/>
      <c r="G2422" s="14"/>
      <c r="H2422" s="14"/>
      <c r="I2422" s="14"/>
      <c r="J2422" s="14"/>
      <c r="K2422" s="14"/>
      <c r="L2422" s="14"/>
      <c r="M2422" s="14"/>
      <c r="N2422" s="14"/>
      <c r="O2422" s="14"/>
      <c r="P2422" s="14"/>
      <c r="Q2422" s="14"/>
      <c r="R2422" s="14"/>
      <c r="S2422" s="14"/>
      <c r="T2422" s="14"/>
    </row>
    <row r="2423" spans="2:20" x14ac:dyDescent="0.35">
      <c r="B2423" s="17"/>
      <c r="C2423" s="13"/>
      <c r="D2423" s="13"/>
      <c r="E2423" s="13"/>
      <c r="F2423" s="14"/>
      <c r="G2423" s="14"/>
      <c r="H2423" s="14"/>
      <c r="I2423" s="14"/>
      <c r="J2423" s="14"/>
      <c r="K2423" s="14"/>
      <c r="L2423" s="14"/>
      <c r="M2423" s="14"/>
      <c r="N2423" s="14"/>
      <c r="O2423" s="14"/>
      <c r="P2423" s="14"/>
      <c r="Q2423" s="14"/>
      <c r="R2423" s="14"/>
      <c r="S2423" s="14"/>
      <c r="T2423" s="14"/>
    </row>
    <row r="2424" spans="2:20" x14ac:dyDescent="0.35">
      <c r="B2424" s="17"/>
      <c r="C2424" s="13"/>
      <c r="D2424" s="13"/>
      <c r="E2424" s="13"/>
      <c r="F2424" s="14"/>
      <c r="G2424" s="14"/>
      <c r="H2424" s="14"/>
      <c r="I2424" s="14"/>
      <c r="J2424" s="14"/>
      <c r="K2424" s="14"/>
      <c r="L2424" s="14"/>
      <c r="M2424" s="14"/>
      <c r="N2424" s="14"/>
      <c r="O2424" s="14"/>
      <c r="P2424" s="14"/>
      <c r="Q2424" s="14"/>
      <c r="R2424" s="14"/>
      <c r="S2424" s="14"/>
      <c r="T2424" s="14"/>
    </row>
    <row r="2425" spans="2:20" x14ac:dyDescent="0.35">
      <c r="B2425" s="17"/>
      <c r="C2425" s="18"/>
      <c r="D2425" s="19"/>
      <c r="E2425" s="19"/>
      <c r="F2425" s="22"/>
      <c r="G2425" s="22"/>
      <c r="H2425" s="22"/>
      <c r="I2425" s="22"/>
      <c r="J2425" s="22"/>
      <c r="K2425" s="22"/>
      <c r="L2425" s="22"/>
      <c r="M2425" s="22"/>
      <c r="N2425" s="22"/>
      <c r="O2425" s="22"/>
      <c r="P2425" s="22"/>
      <c r="Q2425" s="22"/>
      <c r="R2425" s="22"/>
      <c r="S2425" s="22"/>
      <c r="T2425" s="22"/>
    </row>
    <row r="2426" spans="2:20" x14ac:dyDescent="0.35">
      <c r="B2426" s="17"/>
      <c r="C2426" s="18"/>
      <c r="D2426" s="19"/>
      <c r="E2426" s="19"/>
      <c r="F2426" s="22"/>
      <c r="G2426" s="22"/>
      <c r="H2426" s="22"/>
      <c r="I2426" s="22"/>
      <c r="J2426" s="22"/>
      <c r="K2426" s="22"/>
      <c r="L2426" s="22"/>
      <c r="M2426" s="22"/>
      <c r="N2426" s="22"/>
      <c r="O2426" s="22"/>
      <c r="P2426" s="22"/>
      <c r="Q2426" s="22"/>
      <c r="R2426" s="22"/>
      <c r="S2426" s="22"/>
      <c r="T2426" s="22"/>
    </row>
    <row r="2427" spans="2:20" x14ac:dyDescent="0.35">
      <c r="B2427" s="17"/>
      <c r="C2427" s="18"/>
      <c r="D2427" s="19"/>
      <c r="E2427" s="19"/>
      <c r="F2427" s="22"/>
      <c r="G2427" s="22"/>
      <c r="H2427" s="22"/>
      <c r="I2427" s="22"/>
      <c r="J2427" s="22"/>
      <c r="K2427" s="22"/>
      <c r="L2427" s="22"/>
      <c r="M2427" s="22"/>
      <c r="N2427" s="22"/>
      <c r="O2427" s="22"/>
      <c r="P2427" s="22"/>
      <c r="Q2427" s="22"/>
      <c r="R2427" s="22"/>
      <c r="S2427" s="22"/>
      <c r="T2427" s="22"/>
    </row>
    <row r="2428" spans="2:20" x14ac:dyDescent="0.35">
      <c r="B2428" s="17"/>
      <c r="C2428" s="18"/>
      <c r="D2428" s="19"/>
      <c r="E2428" s="19"/>
      <c r="F2428" s="22"/>
      <c r="G2428" s="22"/>
      <c r="H2428" s="22"/>
      <c r="I2428" s="22"/>
      <c r="J2428" s="22"/>
      <c r="K2428" s="22"/>
      <c r="L2428" s="22"/>
      <c r="M2428" s="22"/>
      <c r="N2428" s="22"/>
      <c r="O2428" s="22"/>
      <c r="P2428" s="22"/>
      <c r="Q2428" s="22"/>
      <c r="R2428" s="22"/>
      <c r="S2428" s="22"/>
      <c r="T2428" s="22"/>
    </row>
    <row r="2429" spans="2:20" x14ac:dyDescent="0.35">
      <c r="B2429" s="17"/>
      <c r="C2429" s="18"/>
      <c r="D2429" s="19"/>
      <c r="E2429" s="19"/>
      <c r="F2429" s="22"/>
      <c r="G2429" s="22"/>
      <c r="H2429" s="22"/>
      <c r="I2429" s="22"/>
      <c r="J2429" s="22"/>
      <c r="K2429" s="22"/>
      <c r="L2429" s="22"/>
      <c r="M2429" s="22"/>
      <c r="N2429" s="22"/>
      <c r="O2429" s="22"/>
      <c r="P2429" s="22"/>
      <c r="Q2429" s="22"/>
      <c r="R2429" s="22"/>
      <c r="S2429" s="22"/>
      <c r="T2429" s="22"/>
    </row>
    <row r="2430" spans="2:20" x14ac:dyDescent="0.35">
      <c r="B2430" s="17"/>
      <c r="C2430" s="20"/>
      <c r="D2430" s="19"/>
      <c r="E2430" s="19"/>
      <c r="F2430" s="22"/>
      <c r="G2430" s="22"/>
      <c r="H2430" s="22"/>
      <c r="I2430" s="22"/>
      <c r="J2430" s="22"/>
      <c r="K2430" s="22"/>
      <c r="L2430" s="22"/>
      <c r="M2430" s="22"/>
      <c r="N2430" s="22"/>
      <c r="O2430" s="22"/>
      <c r="P2430" s="22"/>
      <c r="Q2430" s="22"/>
      <c r="R2430" s="22"/>
      <c r="S2430" s="22"/>
      <c r="T2430" s="22"/>
    </row>
    <row r="2431" spans="2:20" x14ac:dyDescent="0.35">
      <c r="B2431" s="17"/>
      <c r="C2431" s="20"/>
      <c r="D2431" s="19"/>
      <c r="E2431" s="19"/>
      <c r="F2431" s="22"/>
      <c r="G2431" s="22"/>
      <c r="H2431" s="22"/>
      <c r="I2431" s="22"/>
      <c r="J2431" s="22"/>
      <c r="K2431" s="22"/>
      <c r="L2431" s="22"/>
      <c r="M2431" s="22"/>
      <c r="N2431" s="22"/>
      <c r="O2431" s="22"/>
      <c r="P2431" s="22"/>
      <c r="Q2431" s="22"/>
      <c r="R2431" s="22"/>
      <c r="S2431" s="22"/>
      <c r="T2431" s="22"/>
    </row>
    <row r="2432" spans="2:20" x14ac:dyDescent="0.35">
      <c r="B2432" s="17"/>
      <c r="C2432" s="20"/>
      <c r="D2432" s="19"/>
      <c r="E2432" s="19"/>
      <c r="F2432" s="22"/>
      <c r="G2432" s="22"/>
      <c r="H2432" s="22"/>
      <c r="I2432" s="22"/>
      <c r="J2432" s="22"/>
      <c r="K2432" s="22"/>
      <c r="L2432" s="22"/>
      <c r="M2432" s="22"/>
      <c r="N2432" s="22"/>
      <c r="O2432" s="22"/>
      <c r="P2432" s="22"/>
      <c r="Q2432" s="22"/>
      <c r="R2432" s="22"/>
      <c r="S2432" s="22"/>
      <c r="T2432" s="22"/>
    </row>
    <row r="2433" spans="2:20" x14ac:dyDescent="0.35">
      <c r="B2433" s="17"/>
      <c r="C2433" s="20"/>
      <c r="D2433" s="19"/>
      <c r="E2433" s="19"/>
      <c r="F2433" s="22"/>
      <c r="G2433" s="22"/>
      <c r="H2433" s="22"/>
      <c r="I2433" s="22"/>
      <c r="J2433" s="22"/>
      <c r="K2433" s="22"/>
      <c r="L2433" s="22"/>
      <c r="M2433" s="22"/>
      <c r="N2433" s="22"/>
      <c r="O2433" s="22"/>
      <c r="P2433" s="22"/>
      <c r="Q2433" s="22"/>
      <c r="R2433" s="22"/>
      <c r="S2433" s="22"/>
      <c r="T2433" s="22"/>
    </row>
    <row r="2434" spans="2:20" x14ac:dyDescent="0.35">
      <c r="B2434" s="17"/>
      <c r="C2434" s="13"/>
      <c r="D2434" s="13"/>
      <c r="E2434" s="13"/>
      <c r="F2434" s="14"/>
      <c r="G2434" s="14"/>
      <c r="H2434" s="14"/>
      <c r="I2434" s="14"/>
      <c r="J2434" s="14"/>
      <c r="K2434" s="14"/>
      <c r="L2434" s="14"/>
      <c r="M2434" s="14"/>
      <c r="N2434" s="14"/>
      <c r="O2434" s="14"/>
      <c r="P2434" s="14"/>
      <c r="Q2434" s="14"/>
      <c r="R2434" s="14"/>
      <c r="S2434" s="14"/>
      <c r="T2434" s="14"/>
    </row>
    <row r="2435" spans="2:20" x14ac:dyDescent="0.35">
      <c r="B2435" s="17"/>
      <c r="C2435" s="13"/>
      <c r="D2435" s="13"/>
      <c r="E2435" s="13"/>
      <c r="F2435" s="14"/>
      <c r="G2435" s="14"/>
      <c r="H2435" s="14"/>
      <c r="I2435" s="14"/>
      <c r="J2435" s="14"/>
      <c r="K2435" s="14"/>
      <c r="L2435" s="14"/>
      <c r="M2435" s="14"/>
      <c r="N2435" s="14"/>
      <c r="O2435" s="14"/>
      <c r="P2435" s="14"/>
      <c r="Q2435" s="14"/>
      <c r="R2435" s="14"/>
      <c r="S2435" s="14"/>
      <c r="T2435" s="14"/>
    </row>
    <row r="2436" spans="2:20" x14ac:dyDescent="0.35">
      <c r="B2436" s="17"/>
      <c r="C2436" s="13"/>
      <c r="D2436" s="13"/>
      <c r="E2436" s="13"/>
      <c r="F2436" s="14"/>
      <c r="G2436" s="14"/>
      <c r="H2436" s="14"/>
      <c r="I2436" s="14"/>
      <c r="J2436" s="14"/>
      <c r="K2436" s="14"/>
      <c r="L2436" s="14"/>
      <c r="M2436" s="14"/>
      <c r="N2436" s="14"/>
      <c r="O2436" s="14"/>
      <c r="P2436" s="14"/>
      <c r="Q2436" s="14"/>
      <c r="R2436" s="14"/>
      <c r="S2436" s="14"/>
      <c r="T2436" s="14"/>
    </row>
    <row r="2437" spans="2:20" x14ac:dyDescent="0.35">
      <c r="B2437" s="17"/>
      <c r="C2437" s="13"/>
      <c r="D2437" s="13"/>
      <c r="E2437" s="13"/>
      <c r="F2437" s="14"/>
      <c r="G2437" s="14"/>
      <c r="H2437" s="14"/>
      <c r="I2437" s="14"/>
      <c r="J2437" s="14"/>
      <c r="K2437" s="14"/>
      <c r="L2437" s="14"/>
      <c r="M2437" s="14"/>
      <c r="N2437" s="14"/>
      <c r="O2437" s="14"/>
      <c r="P2437" s="14"/>
      <c r="Q2437" s="14"/>
      <c r="R2437" s="14"/>
      <c r="S2437" s="14"/>
      <c r="T2437" s="14"/>
    </row>
    <row r="2438" spans="2:20" x14ac:dyDescent="0.35">
      <c r="B2438" s="17"/>
      <c r="C2438" s="13"/>
      <c r="D2438" s="13"/>
      <c r="E2438" s="13"/>
      <c r="F2438" s="14"/>
      <c r="G2438" s="14"/>
      <c r="H2438" s="14"/>
      <c r="I2438" s="14"/>
      <c r="J2438" s="14"/>
      <c r="K2438" s="14"/>
      <c r="L2438" s="14"/>
      <c r="M2438" s="14"/>
      <c r="N2438" s="14"/>
      <c r="O2438" s="14"/>
      <c r="P2438" s="14"/>
      <c r="Q2438" s="14"/>
      <c r="R2438" s="14"/>
      <c r="S2438" s="14"/>
      <c r="T2438" s="14"/>
    </row>
    <row r="2439" spans="2:20" x14ac:dyDescent="0.35">
      <c r="B2439" s="17"/>
      <c r="C2439" s="13"/>
      <c r="D2439" s="13"/>
      <c r="E2439" s="13"/>
      <c r="F2439" s="14"/>
      <c r="G2439" s="14"/>
      <c r="H2439" s="14"/>
      <c r="I2439" s="14"/>
      <c r="J2439" s="14"/>
      <c r="K2439" s="14"/>
      <c r="L2439" s="14"/>
      <c r="M2439" s="14"/>
      <c r="N2439" s="14"/>
      <c r="O2439" s="14"/>
      <c r="P2439" s="14"/>
      <c r="Q2439" s="14"/>
      <c r="R2439" s="14"/>
      <c r="S2439" s="14"/>
      <c r="T2439" s="14"/>
    </row>
    <row r="2440" spans="2:20" x14ac:dyDescent="0.35">
      <c r="B2440" s="17"/>
      <c r="C2440" s="13"/>
      <c r="D2440" s="13"/>
      <c r="E2440" s="13"/>
      <c r="F2440" s="14"/>
      <c r="G2440" s="14"/>
      <c r="H2440" s="14"/>
      <c r="I2440" s="14"/>
      <c r="J2440" s="14"/>
      <c r="K2440" s="14"/>
      <c r="L2440" s="14"/>
      <c r="M2440" s="14"/>
      <c r="N2440" s="14"/>
      <c r="O2440" s="14"/>
      <c r="P2440" s="14"/>
      <c r="Q2440" s="14"/>
      <c r="R2440" s="14"/>
      <c r="S2440" s="14"/>
      <c r="T2440" s="14"/>
    </row>
    <row r="2441" spans="2:20" x14ac:dyDescent="0.35">
      <c r="B2441" s="17"/>
      <c r="C2441" s="13"/>
      <c r="D2441" s="13"/>
      <c r="E2441" s="13"/>
      <c r="F2441" s="14"/>
      <c r="G2441" s="14"/>
      <c r="H2441" s="14"/>
      <c r="I2441" s="14"/>
      <c r="J2441" s="14"/>
      <c r="K2441" s="14"/>
      <c r="L2441" s="14"/>
      <c r="M2441" s="14"/>
      <c r="N2441" s="14"/>
      <c r="O2441" s="14"/>
      <c r="P2441" s="14"/>
      <c r="Q2441" s="14"/>
      <c r="R2441" s="14"/>
      <c r="S2441" s="14"/>
      <c r="T2441" s="14"/>
    </row>
    <row r="2442" spans="2:20" x14ac:dyDescent="0.35">
      <c r="B2442" s="17"/>
      <c r="C2442" s="13"/>
      <c r="D2442" s="13"/>
      <c r="E2442" s="13"/>
      <c r="F2442" s="14"/>
      <c r="G2442" s="14"/>
      <c r="H2442" s="14"/>
      <c r="I2442" s="14"/>
      <c r="J2442" s="14"/>
      <c r="K2442" s="14"/>
      <c r="L2442" s="14"/>
      <c r="M2442" s="14"/>
      <c r="N2442" s="14"/>
      <c r="O2442" s="14"/>
      <c r="P2442" s="14"/>
      <c r="Q2442" s="14"/>
      <c r="R2442" s="14"/>
      <c r="S2442" s="14"/>
      <c r="T2442" s="14"/>
    </row>
    <row r="2443" spans="2:20" x14ac:dyDescent="0.35">
      <c r="B2443" s="17"/>
      <c r="C2443" s="13"/>
      <c r="D2443" s="13"/>
      <c r="E2443" s="13"/>
      <c r="F2443" s="14"/>
      <c r="G2443" s="14"/>
      <c r="H2443" s="14"/>
      <c r="I2443" s="14"/>
      <c r="J2443" s="14"/>
      <c r="K2443" s="14"/>
      <c r="L2443" s="14"/>
      <c r="M2443" s="14"/>
      <c r="N2443" s="14"/>
      <c r="O2443" s="14"/>
      <c r="P2443" s="14"/>
      <c r="Q2443" s="14"/>
      <c r="R2443" s="14"/>
      <c r="S2443" s="14"/>
      <c r="T2443" s="14"/>
    </row>
    <row r="2444" spans="2:20" x14ac:dyDescent="0.35">
      <c r="B2444" s="17"/>
      <c r="C2444" s="13"/>
      <c r="D2444" s="13"/>
      <c r="E2444" s="13"/>
      <c r="F2444" s="14"/>
      <c r="G2444" s="14"/>
      <c r="H2444" s="14"/>
      <c r="I2444" s="14"/>
      <c r="J2444" s="14"/>
      <c r="K2444" s="14"/>
      <c r="L2444" s="14"/>
      <c r="M2444" s="14"/>
      <c r="N2444" s="14"/>
      <c r="O2444" s="14"/>
      <c r="P2444" s="14"/>
      <c r="Q2444" s="14"/>
      <c r="R2444" s="14"/>
      <c r="S2444" s="14"/>
      <c r="T2444" s="14"/>
    </row>
    <row r="2445" spans="2:20" x14ac:dyDescent="0.35">
      <c r="B2445" s="17"/>
      <c r="C2445" s="13"/>
      <c r="D2445" s="13"/>
      <c r="E2445" s="13"/>
      <c r="F2445" s="14"/>
      <c r="G2445" s="14"/>
      <c r="H2445" s="14"/>
      <c r="I2445" s="14"/>
      <c r="J2445" s="14"/>
      <c r="K2445" s="14"/>
      <c r="L2445" s="14"/>
      <c r="M2445" s="14"/>
      <c r="N2445" s="14"/>
      <c r="O2445" s="14"/>
      <c r="P2445" s="14"/>
      <c r="Q2445" s="14"/>
      <c r="R2445" s="14"/>
      <c r="S2445" s="14"/>
      <c r="T2445" s="14"/>
    </row>
    <row r="2446" spans="2:20" x14ac:dyDescent="0.35">
      <c r="B2446" s="17"/>
      <c r="C2446" s="13"/>
      <c r="D2446" s="13"/>
      <c r="E2446" s="13"/>
      <c r="F2446" s="14"/>
      <c r="G2446" s="14"/>
      <c r="H2446" s="14"/>
      <c r="I2446" s="14"/>
      <c r="J2446" s="14"/>
      <c r="K2446" s="14"/>
      <c r="L2446" s="14"/>
      <c r="M2446" s="14"/>
      <c r="N2446" s="14"/>
      <c r="O2446" s="14"/>
      <c r="P2446" s="14"/>
      <c r="Q2446" s="14"/>
      <c r="R2446" s="14"/>
      <c r="S2446" s="14"/>
      <c r="T2446" s="14"/>
    </row>
    <row r="2447" spans="2:20" x14ac:dyDescent="0.35">
      <c r="B2447" s="17"/>
      <c r="C2447" s="13"/>
      <c r="D2447" s="13"/>
      <c r="E2447" s="13"/>
      <c r="F2447" s="14"/>
      <c r="G2447" s="14"/>
      <c r="H2447" s="14"/>
      <c r="I2447" s="14"/>
      <c r="J2447" s="14"/>
      <c r="K2447" s="14"/>
      <c r="L2447" s="14"/>
      <c r="M2447" s="14"/>
      <c r="N2447" s="14"/>
      <c r="O2447" s="14"/>
      <c r="P2447" s="14"/>
      <c r="Q2447" s="14"/>
      <c r="R2447" s="14"/>
      <c r="S2447" s="14"/>
      <c r="T2447" s="14"/>
    </row>
    <row r="2448" spans="2:20" x14ac:dyDescent="0.35">
      <c r="B2448" s="17"/>
      <c r="C2448" s="13"/>
      <c r="D2448" s="13"/>
      <c r="E2448" s="13"/>
      <c r="F2448" s="14"/>
      <c r="G2448" s="14"/>
      <c r="H2448" s="14"/>
      <c r="I2448" s="14"/>
      <c r="J2448" s="14"/>
      <c r="K2448" s="14"/>
      <c r="L2448" s="14"/>
      <c r="M2448" s="14"/>
      <c r="N2448" s="14"/>
      <c r="O2448" s="14"/>
      <c r="P2448" s="14"/>
      <c r="Q2448" s="14"/>
      <c r="R2448" s="14"/>
      <c r="S2448" s="14"/>
      <c r="T2448" s="14"/>
    </row>
    <row r="2449" spans="2:20" x14ac:dyDescent="0.35">
      <c r="B2449" s="17"/>
      <c r="C2449" s="18"/>
      <c r="D2449" s="19"/>
      <c r="E2449" s="19"/>
      <c r="F2449" s="22"/>
      <c r="G2449" s="22"/>
      <c r="H2449" s="22"/>
      <c r="I2449" s="22"/>
      <c r="J2449" s="22"/>
      <c r="K2449" s="22"/>
      <c r="L2449" s="22"/>
      <c r="M2449" s="22"/>
      <c r="N2449" s="22"/>
      <c r="O2449" s="22"/>
      <c r="P2449" s="22"/>
      <c r="Q2449" s="22"/>
      <c r="R2449" s="22"/>
      <c r="S2449" s="22"/>
      <c r="T2449" s="22"/>
    </row>
    <row r="2450" spans="2:20" x14ac:dyDescent="0.35">
      <c r="B2450" s="17"/>
      <c r="C2450" s="18"/>
      <c r="D2450" s="19"/>
      <c r="E2450" s="19"/>
      <c r="F2450" s="22"/>
      <c r="G2450" s="22"/>
      <c r="H2450" s="22"/>
      <c r="I2450" s="22"/>
      <c r="J2450" s="22"/>
      <c r="K2450" s="22"/>
      <c r="L2450" s="22"/>
      <c r="M2450" s="22"/>
      <c r="N2450" s="22"/>
      <c r="O2450" s="22"/>
      <c r="P2450" s="22"/>
      <c r="Q2450" s="22"/>
      <c r="R2450" s="22"/>
      <c r="S2450" s="22"/>
      <c r="T2450" s="22"/>
    </row>
    <row r="2451" spans="2:20" x14ac:dyDescent="0.35">
      <c r="B2451" s="17"/>
      <c r="C2451" s="18"/>
      <c r="D2451" s="19"/>
      <c r="E2451" s="19"/>
      <c r="F2451" s="22"/>
      <c r="G2451" s="22"/>
      <c r="H2451" s="22"/>
      <c r="I2451" s="22"/>
      <c r="J2451" s="22"/>
      <c r="K2451" s="22"/>
      <c r="L2451" s="22"/>
      <c r="M2451" s="22"/>
      <c r="N2451" s="22"/>
      <c r="O2451" s="22"/>
      <c r="P2451" s="22"/>
      <c r="Q2451" s="22"/>
      <c r="R2451" s="22"/>
      <c r="S2451" s="22"/>
      <c r="T2451" s="22"/>
    </row>
    <row r="2452" spans="2:20" x14ac:dyDescent="0.35">
      <c r="B2452" s="17"/>
      <c r="C2452" s="18"/>
      <c r="D2452" s="19"/>
      <c r="E2452" s="19"/>
      <c r="F2452" s="22"/>
      <c r="G2452" s="22"/>
      <c r="H2452" s="22"/>
      <c r="I2452" s="22"/>
      <c r="J2452" s="22"/>
      <c r="K2452" s="22"/>
      <c r="L2452" s="22"/>
      <c r="M2452" s="22"/>
      <c r="N2452" s="22"/>
      <c r="O2452" s="22"/>
      <c r="P2452" s="22"/>
      <c r="Q2452" s="22"/>
      <c r="R2452" s="22"/>
      <c r="S2452" s="22"/>
      <c r="T2452" s="22"/>
    </row>
    <row r="2453" spans="2:20" x14ac:dyDescent="0.35">
      <c r="B2453" s="17"/>
      <c r="C2453" s="18"/>
      <c r="D2453" s="19"/>
      <c r="E2453" s="19"/>
      <c r="F2453" s="22"/>
      <c r="G2453" s="22"/>
      <c r="H2453" s="22"/>
      <c r="I2453" s="22"/>
      <c r="J2453" s="22"/>
      <c r="K2453" s="22"/>
      <c r="L2453" s="22"/>
      <c r="M2453" s="22"/>
      <c r="N2453" s="22"/>
      <c r="O2453" s="22"/>
      <c r="P2453" s="22"/>
      <c r="Q2453" s="22"/>
      <c r="R2453" s="22"/>
      <c r="S2453" s="22"/>
      <c r="T2453" s="22"/>
    </row>
    <row r="2454" spans="2:20" x14ac:dyDescent="0.35">
      <c r="B2454" s="17"/>
      <c r="C2454" s="18"/>
      <c r="D2454" s="19"/>
      <c r="E2454" s="19"/>
      <c r="F2454" s="22"/>
      <c r="G2454" s="22"/>
      <c r="H2454" s="22"/>
      <c r="I2454" s="22"/>
      <c r="J2454" s="22"/>
      <c r="K2454" s="22"/>
      <c r="L2454" s="22"/>
      <c r="M2454" s="22"/>
      <c r="N2454" s="22"/>
      <c r="O2454" s="22"/>
      <c r="P2454" s="22"/>
      <c r="Q2454" s="22"/>
      <c r="R2454" s="22"/>
      <c r="S2454" s="22"/>
      <c r="T2454" s="22"/>
    </row>
    <row r="2455" spans="2:20" x14ac:dyDescent="0.35">
      <c r="B2455" s="17"/>
      <c r="C2455" s="18"/>
      <c r="D2455" s="19"/>
      <c r="E2455" s="19"/>
      <c r="F2455" s="22"/>
      <c r="G2455" s="22"/>
      <c r="H2455" s="22"/>
      <c r="I2455" s="22"/>
      <c r="J2455" s="22"/>
      <c r="K2455" s="22"/>
      <c r="L2455" s="22"/>
      <c r="M2455" s="22"/>
      <c r="N2455" s="22"/>
      <c r="O2455" s="22"/>
      <c r="P2455" s="22"/>
      <c r="Q2455" s="22"/>
      <c r="R2455" s="22"/>
      <c r="S2455" s="22"/>
      <c r="T2455" s="22"/>
    </row>
    <row r="2456" spans="2:20" x14ac:dyDescent="0.35">
      <c r="B2456" s="17"/>
      <c r="C2456" s="18"/>
      <c r="D2456" s="19"/>
      <c r="E2456" s="19"/>
      <c r="F2456" s="22"/>
      <c r="G2456" s="22"/>
      <c r="H2456" s="22"/>
      <c r="I2456" s="22"/>
      <c r="J2456" s="22"/>
      <c r="K2456" s="22"/>
      <c r="L2456" s="22"/>
      <c r="M2456" s="22"/>
      <c r="N2456" s="22"/>
      <c r="O2456" s="22"/>
      <c r="P2456" s="22"/>
      <c r="Q2456" s="22"/>
      <c r="R2456" s="22"/>
      <c r="S2456" s="22"/>
      <c r="T2456" s="22"/>
    </row>
    <row r="2457" spans="2:20" x14ac:dyDescent="0.35">
      <c r="B2457" s="17"/>
      <c r="C2457" s="18"/>
      <c r="D2457" s="19"/>
      <c r="E2457" s="19"/>
      <c r="F2457" s="22"/>
      <c r="G2457" s="22"/>
      <c r="H2457" s="22"/>
      <c r="I2457" s="22"/>
      <c r="J2457" s="22"/>
      <c r="K2457" s="22"/>
      <c r="L2457" s="22"/>
      <c r="M2457" s="22"/>
      <c r="N2457" s="22"/>
      <c r="O2457" s="22"/>
      <c r="P2457" s="22"/>
      <c r="Q2457" s="22"/>
      <c r="R2457" s="22"/>
      <c r="S2457" s="22"/>
      <c r="T2457" s="22"/>
    </row>
    <row r="2458" spans="2:20" x14ac:dyDescent="0.35">
      <c r="B2458" s="17"/>
      <c r="C2458" s="18"/>
      <c r="D2458" s="19"/>
      <c r="E2458" s="19"/>
      <c r="F2458" s="22"/>
      <c r="G2458" s="22"/>
      <c r="H2458" s="22"/>
      <c r="I2458" s="22"/>
      <c r="J2458" s="22"/>
      <c r="K2458" s="22"/>
      <c r="L2458" s="22"/>
      <c r="M2458" s="22"/>
      <c r="N2458" s="22"/>
      <c r="O2458" s="22"/>
      <c r="P2458" s="22"/>
      <c r="Q2458" s="22"/>
      <c r="R2458" s="22"/>
      <c r="S2458" s="22"/>
      <c r="T2458" s="22"/>
    </row>
    <row r="2459" spans="2:20" x14ac:dyDescent="0.35">
      <c r="B2459" s="17"/>
      <c r="C2459" s="18"/>
      <c r="D2459" s="19"/>
      <c r="E2459" s="19"/>
      <c r="F2459" s="22"/>
      <c r="G2459" s="22"/>
      <c r="H2459" s="22"/>
      <c r="I2459" s="22"/>
      <c r="J2459" s="22"/>
      <c r="K2459" s="22"/>
      <c r="L2459" s="22"/>
      <c r="M2459" s="22"/>
      <c r="N2459" s="22"/>
      <c r="O2459" s="22"/>
      <c r="P2459" s="22"/>
      <c r="Q2459" s="22"/>
      <c r="R2459" s="22"/>
      <c r="S2459" s="22"/>
      <c r="T2459" s="22"/>
    </row>
    <row r="2460" spans="2:20" x14ac:dyDescent="0.35">
      <c r="B2460" s="17"/>
      <c r="C2460" s="18"/>
      <c r="D2460" s="19"/>
      <c r="E2460" s="19"/>
      <c r="F2460" s="22"/>
      <c r="G2460" s="22"/>
      <c r="H2460" s="22"/>
      <c r="I2460" s="22"/>
      <c r="J2460" s="22"/>
      <c r="K2460" s="22"/>
      <c r="L2460" s="22"/>
      <c r="M2460" s="22"/>
      <c r="N2460" s="22"/>
      <c r="O2460" s="22"/>
      <c r="P2460" s="22"/>
      <c r="Q2460" s="22"/>
      <c r="R2460" s="22"/>
      <c r="S2460" s="22"/>
      <c r="T2460" s="22"/>
    </row>
    <row r="2461" spans="2:20" x14ac:dyDescent="0.35">
      <c r="B2461" s="17"/>
      <c r="C2461" s="18"/>
      <c r="D2461" s="19"/>
      <c r="E2461" s="19"/>
      <c r="F2461" s="22"/>
      <c r="G2461" s="22"/>
      <c r="H2461" s="22"/>
      <c r="I2461" s="22"/>
      <c r="J2461" s="22"/>
      <c r="K2461" s="22"/>
      <c r="L2461" s="22"/>
      <c r="M2461" s="22"/>
      <c r="N2461" s="22"/>
      <c r="O2461" s="22"/>
      <c r="P2461" s="22"/>
      <c r="Q2461" s="22"/>
      <c r="R2461" s="22"/>
      <c r="S2461" s="22"/>
      <c r="T2461" s="22"/>
    </row>
    <row r="2462" spans="2:20" x14ac:dyDescent="0.35">
      <c r="B2462" s="17"/>
      <c r="C2462" s="18"/>
      <c r="D2462" s="19"/>
      <c r="E2462" s="19"/>
      <c r="F2462" s="22"/>
      <c r="G2462" s="22"/>
      <c r="H2462" s="22"/>
      <c r="I2462" s="22"/>
      <c r="J2462" s="22"/>
      <c r="K2462" s="22"/>
      <c r="L2462" s="22"/>
      <c r="M2462" s="22"/>
      <c r="N2462" s="22"/>
      <c r="O2462" s="22"/>
      <c r="P2462" s="22"/>
      <c r="Q2462" s="22"/>
      <c r="R2462" s="22"/>
      <c r="S2462" s="22"/>
      <c r="T2462" s="22"/>
    </row>
    <row r="2463" spans="2:20" x14ac:dyDescent="0.35">
      <c r="B2463" s="17"/>
      <c r="C2463" s="18"/>
      <c r="D2463" s="19"/>
      <c r="E2463" s="19"/>
      <c r="F2463" s="22"/>
      <c r="G2463" s="22"/>
      <c r="H2463" s="22"/>
      <c r="I2463" s="22"/>
      <c r="J2463" s="22"/>
      <c r="K2463" s="22"/>
      <c r="L2463" s="22"/>
      <c r="M2463" s="22"/>
      <c r="N2463" s="22"/>
      <c r="O2463" s="22"/>
      <c r="P2463" s="22"/>
      <c r="Q2463" s="22"/>
      <c r="R2463" s="22"/>
      <c r="S2463" s="22"/>
      <c r="T2463" s="22"/>
    </row>
    <row r="2464" spans="2:20" x14ac:dyDescent="0.35">
      <c r="B2464" s="17"/>
      <c r="C2464" s="18"/>
      <c r="D2464" s="19"/>
      <c r="E2464" s="19"/>
      <c r="F2464" s="22"/>
      <c r="G2464" s="22"/>
      <c r="H2464" s="22"/>
      <c r="I2464" s="22"/>
      <c r="J2464" s="22"/>
      <c r="K2464" s="22"/>
      <c r="L2464" s="22"/>
      <c r="M2464" s="22"/>
      <c r="N2464" s="22"/>
      <c r="O2464" s="22"/>
      <c r="P2464" s="22"/>
      <c r="Q2464" s="22"/>
      <c r="R2464" s="22"/>
      <c r="S2464" s="22"/>
      <c r="T2464" s="22"/>
    </row>
    <row r="2465" spans="2:20" x14ac:dyDescent="0.35">
      <c r="B2465" s="17"/>
      <c r="C2465" s="13"/>
      <c r="D2465" s="13"/>
      <c r="E2465" s="13"/>
      <c r="F2465" s="14"/>
      <c r="G2465" s="14"/>
      <c r="H2465" s="14"/>
      <c r="I2465" s="14"/>
      <c r="J2465" s="14"/>
      <c r="K2465" s="14"/>
      <c r="L2465" s="14"/>
      <c r="M2465" s="14"/>
      <c r="N2465" s="14"/>
      <c r="O2465" s="14"/>
      <c r="P2465" s="14"/>
      <c r="Q2465" s="14"/>
      <c r="R2465" s="14"/>
      <c r="S2465" s="14"/>
      <c r="T2465" s="14"/>
    </row>
    <row r="2466" spans="2:20" x14ac:dyDescent="0.35">
      <c r="B2466" s="17"/>
      <c r="C2466" s="13"/>
      <c r="D2466" s="13"/>
      <c r="E2466" s="13"/>
      <c r="F2466" s="14"/>
      <c r="G2466" s="14"/>
      <c r="H2466" s="14"/>
      <c r="I2466" s="14"/>
      <c r="J2466" s="14"/>
      <c r="K2466" s="14"/>
      <c r="L2466" s="14"/>
      <c r="M2466" s="14"/>
      <c r="N2466" s="14"/>
      <c r="O2466" s="14"/>
      <c r="P2466" s="14"/>
      <c r="Q2466" s="14"/>
      <c r="R2466" s="14"/>
      <c r="S2466" s="14"/>
      <c r="T2466" s="14"/>
    </row>
    <row r="2467" spans="2:20" x14ac:dyDescent="0.35">
      <c r="B2467" s="17"/>
      <c r="C2467" s="13"/>
      <c r="D2467" s="13"/>
      <c r="E2467" s="13"/>
      <c r="F2467" s="14"/>
      <c r="G2467" s="14"/>
      <c r="H2467" s="14"/>
      <c r="I2467" s="14"/>
      <c r="J2467" s="14"/>
      <c r="K2467" s="14"/>
      <c r="L2467" s="14"/>
      <c r="M2467" s="14"/>
      <c r="N2467" s="14"/>
      <c r="O2467" s="14"/>
      <c r="P2467" s="14"/>
      <c r="Q2467" s="14"/>
      <c r="R2467" s="14"/>
      <c r="S2467" s="14"/>
      <c r="T2467" s="14"/>
    </row>
    <row r="2468" spans="2:20" x14ac:dyDescent="0.35">
      <c r="B2468" s="17"/>
      <c r="C2468" s="13"/>
      <c r="D2468" s="13"/>
      <c r="E2468" s="13"/>
      <c r="F2468" s="14"/>
      <c r="G2468" s="14"/>
      <c r="H2468" s="14"/>
      <c r="I2468" s="14"/>
      <c r="J2468" s="14"/>
      <c r="K2468" s="14"/>
      <c r="L2468" s="14"/>
      <c r="M2468" s="14"/>
      <c r="N2468" s="14"/>
      <c r="O2468" s="14"/>
      <c r="P2468" s="14"/>
      <c r="Q2468" s="14"/>
      <c r="R2468" s="14"/>
      <c r="S2468" s="14"/>
      <c r="T2468" s="14"/>
    </row>
    <row r="2469" spans="2:20" x14ac:dyDescent="0.35">
      <c r="B2469" s="17"/>
      <c r="C2469" s="13"/>
      <c r="D2469" s="13"/>
      <c r="E2469" s="13"/>
      <c r="F2469" s="14"/>
      <c r="G2469" s="14"/>
      <c r="H2469" s="14"/>
      <c r="I2469" s="14"/>
      <c r="J2469" s="14"/>
      <c r="K2469" s="14"/>
      <c r="L2469" s="14"/>
      <c r="M2469" s="14"/>
      <c r="N2469" s="14"/>
      <c r="O2469" s="14"/>
      <c r="P2469" s="14"/>
      <c r="Q2469" s="14"/>
      <c r="R2469" s="14"/>
      <c r="S2469" s="14"/>
      <c r="T2469" s="14"/>
    </row>
    <row r="2470" spans="2:20" x14ac:dyDescent="0.35">
      <c r="B2470" s="17"/>
      <c r="C2470" s="13"/>
      <c r="D2470" s="13"/>
      <c r="E2470" s="13"/>
      <c r="F2470" s="14"/>
      <c r="G2470" s="14"/>
      <c r="H2470" s="14"/>
      <c r="I2470" s="14"/>
      <c r="J2470" s="14"/>
      <c r="K2470" s="14"/>
      <c r="L2470" s="14"/>
      <c r="M2470" s="14"/>
      <c r="N2470" s="14"/>
      <c r="O2470" s="14"/>
      <c r="P2470" s="14"/>
      <c r="Q2470" s="14"/>
      <c r="R2470" s="14"/>
      <c r="S2470" s="14"/>
      <c r="T2470" s="14"/>
    </row>
    <row r="2471" spans="2:20" x14ac:dyDescent="0.35">
      <c r="B2471" s="17"/>
      <c r="C2471" s="13"/>
      <c r="D2471" s="13"/>
      <c r="E2471" s="13"/>
      <c r="F2471" s="14"/>
      <c r="G2471" s="14"/>
      <c r="H2471" s="14"/>
      <c r="I2471" s="14"/>
      <c r="J2471" s="14"/>
      <c r="K2471" s="14"/>
      <c r="L2471" s="14"/>
      <c r="M2471" s="14"/>
      <c r="N2471" s="14"/>
      <c r="O2471" s="14"/>
      <c r="P2471" s="14"/>
      <c r="Q2471" s="14"/>
      <c r="R2471" s="14"/>
      <c r="S2471" s="14"/>
      <c r="T2471" s="14"/>
    </row>
    <row r="2472" spans="2:20" x14ac:dyDescent="0.35">
      <c r="B2472" s="17"/>
      <c r="C2472" s="18"/>
      <c r="D2472" s="19"/>
      <c r="E2472" s="19"/>
      <c r="F2472" s="22"/>
      <c r="G2472" s="22"/>
      <c r="H2472" s="22"/>
      <c r="I2472" s="22"/>
      <c r="J2472" s="22"/>
      <c r="K2472" s="22"/>
      <c r="L2472" s="22"/>
      <c r="M2472" s="22"/>
      <c r="N2472" s="22"/>
      <c r="O2472" s="22"/>
      <c r="P2472" s="22"/>
      <c r="Q2472" s="22"/>
      <c r="R2472" s="22"/>
      <c r="S2472" s="22"/>
      <c r="T2472" s="22"/>
    </row>
    <row r="2473" spans="2:20" x14ac:dyDescent="0.35">
      <c r="B2473" s="17"/>
      <c r="C2473" s="18"/>
      <c r="D2473" s="19"/>
      <c r="E2473" s="19"/>
      <c r="F2473" s="22"/>
      <c r="G2473" s="22"/>
      <c r="H2473" s="22"/>
      <c r="I2473" s="22"/>
      <c r="J2473" s="22"/>
      <c r="K2473" s="22"/>
      <c r="L2473" s="22"/>
      <c r="M2473" s="22"/>
      <c r="N2473" s="22"/>
      <c r="O2473" s="22"/>
      <c r="P2473" s="22"/>
      <c r="Q2473" s="22"/>
      <c r="R2473" s="22"/>
      <c r="S2473" s="22"/>
      <c r="T2473" s="22"/>
    </row>
    <row r="2474" spans="2:20" x14ac:dyDescent="0.35">
      <c r="B2474" s="17"/>
      <c r="C2474" s="18"/>
      <c r="D2474" s="19"/>
      <c r="E2474" s="19"/>
      <c r="F2474" s="22"/>
      <c r="G2474" s="22"/>
      <c r="H2474" s="22"/>
      <c r="I2474" s="22"/>
      <c r="J2474" s="22"/>
      <c r="K2474" s="22"/>
      <c r="L2474" s="22"/>
      <c r="M2474" s="22"/>
      <c r="N2474" s="22"/>
      <c r="O2474" s="22"/>
      <c r="P2474" s="22"/>
      <c r="Q2474" s="22"/>
      <c r="R2474" s="22"/>
      <c r="S2474" s="22"/>
      <c r="T2474" s="22"/>
    </row>
    <row r="2475" spans="2:20" x14ac:dyDescent="0.35">
      <c r="B2475" s="17"/>
      <c r="C2475" s="18"/>
      <c r="D2475" s="19"/>
      <c r="E2475" s="19"/>
      <c r="F2475" s="22"/>
      <c r="G2475" s="22"/>
      <c r="H2475" s="22"/>
      <c r="I2475" s="22"/>
      <c r="J2475" s="22"/>
      <c r="K2475" s="22"/>
      <c r="L2475" s="22"/>
      <c r="M2475" s="22"/>
      <c r="N2475" s="22"/>
      <c r="O2475" s="22"/>
      <c r="P2475" s="22"/>
      <c r="Q2475" s="22"/>
      <c r="R2475" s="22"/>
      <c r="S2475" s="22"/>
      <c r="T2475" s="22"/>
    </row>
    <row r="2476" spans="2:20" x14ac:dyDescent="0.35">
      <c r="B2476" s="17"/>
      <c r="C2476" s="18"/>
      <c r="D2476" s="19"/>
      <c r="E2476" s="19"/>
      <c r="F2476" s="22"/>
      <c r="G2476" s="22"/>
      <c r="H2476" s="22"/>
      <c r="I2476" s="22"/>
      <c r="J2476" s="22"/>
      <c r="K2476" s="22"/>
      <c r="L2476" s="22"/>
      <c r="M2476" s="22"/>
      <c r="N2476" s="22"/>
      <c r="O2476" s="22"/>
      <c r="P2476" s="22"/>
      <c r="Q2476" s="22"/>
      <c r="R2476" s="22"/>
      <c r="S2476" s="22"/>
      <c r="T2476" s="22"/>
    </row>
    <row r="2477" spans="2:20" x14ac:dyDescent="0.35">
      <c r="B2477" s="17"/>
      <c r="C2477" s="20"/>
      <c r="D2477" s="19"/>
      <c r="E2477" s="19"/>
      <c r="F2477" s="22"/>
      <c r="G2477" s="22"/>
      <c r="H2477" s="22"/>
      <c r="I2477" s="22"/>
      <c r="J2477" s="22"/>
      <c r="K2477" s="22"/>
      <c r="L2477" s="22"/>
      <c r="M2477" s="22"/>
      <c r="N2477" s="22"/>
      <c r="O2477" s="22"/>
      <c r="P2477" s="22"/>
      <c r="Q2477" s="22"/>
      <c r="R2477" s="22"/>
      <c r="S2477" s="22"/>
      <c r="T2477" s="22"/>
    </row>
    <row r="2478" spans="2:20" x14ac:dyDescent="0.35">
      <c r="B2478" s="17"/>
      <c r="C2478" s="20"/>
      <c r="D2478" s="19"/>
      <c r="E2478" s="19"/>
      <c r="F2478" s="22"/>
      <c r="G2478" s="22"/>
      <c r="H2478" s="22"/>
      <c r="I2478" s="22"/>
      <c r="J2478" s="22"/>
      <c r="K2478" s="22"/>
      <c r="L2478" s="22"/>
      <c r="M2478" s="22"/>
      <c r="N2478" s="22"/>
      <c r="O2478" s="22"/>
      <c r="P2478" s="22"/>
      <c r="Q2478" s="22"/>
      <c r="R2478" s="22"/>
      <c r="S2478" s="22"/>
      <c r="T2478" s="22"/>
    </row>
    <row r="2479" spans="2:20" x14ac:dyDescent="0.35">
      <c r="B2479" s="17"/>
      <c r="C2479" s="20"/>
      <c r="D2479" s="19"/>
      <c r="E2479" s="19"/>
      <c r="F2479" s="22"/>
      <c r="G2479" s="22"/>
      <c r="H2479" s="22"/>
      <c r="I2479" s="22"/>
      <c r="J2479" s="22"/>
      <c r="K2479" s="22"/>
      <c r="L2479" s="22"/>
      <c r="M2479" s="22"/>
      <c r="N2479" s="22"/>
      <c r="O2479" s="22"/>
      <c r="P2479" s="22"/>
      <c r="Q2479" s="22"/>
      <c r="R2479" s="22"/>
      <c r="S2479" s="22"/>
      <c r="T2479" s="22"/>
    </row>
    <row r="2480" spans="2:20" x14ac:dyDescent="0.35">
      <c r="B2480" s="17"/>
      <c r="C2480" s="20"/>
      <c r="D2480" s="19"/>
      <c r="E2480" s="19"/>
      <c r="F2480" s="22"/>
      <c r="G2480" s="22"/>
      <c r="H2480" s="22"/>
      <c r="I2480" s="22"/>
      <c r="J2480" s="22"/>
      <c r="K2480" s="22"/>
      <c r="L2480" s="22"/>
      <c r="M2480" s="22"/>
      <c r="N2480" s="22"/>
      <c r="O2480" s="22"/>
      <c r="P2480" s="22"/>
      <c r="Q2480" s="22"/>
      <c r="R2480" s="22"/>
      <c r="S2480" s="22"/>
      <c r="T2480" s="22"/>
    </row>
    <row r="2481" spans="2:20" x14ac:dyDescent="0.35">
      <c r="B2481" s="17"/>
      <c r="C2481" s="13"/>
      <c r="D2481" s="13"/>
      <c r="E2481" s="13"/>
      <c r="F2481" s="14"/>
      <c r="G2481" s="14"/>
      <c r="H2481" s="14"/>
      <c r="I2481" s="14"/>
      <c r="J2481" s="14"/>
      <c r="K2481" s="14"/>
      <c r="L2481" s="14"/>
      <c r="M2481" s="14"/>
      <c r="N2481" s="14"/>
      <c r="O2481" s="14"/>
      <c r="P2481" s="14"/>
      <c r="Q2481" s="14"/>
      <c r="R2481" s="14"/>
      <c r="S2481" s="14"/>
      <c r="T2481" s="14"/>
    </row>
    <row r="2482" spans="2:20" x14ac:dyDescent="0.35">
      <c r="B2482" s="17"/>
      <c r="C2482" s="13"/>
      <c r="D2482" s="13"/>
      <c r="E2482" s="13"/>
      <c r="F2482" s="14"/>
      <c r="G2482" s="14"/>
      <c r="H2482" s="14"/>
      <c r="I2482" s="14"/>
      <c r="J2482" s="14"/>
      <c r="K2482" s="14"/>
      <c r="L2482" s="14"/>
      <c r="M2482" s="14"/>
      <c r="N2482" s="14"/>
      <c r="O2482" s="14"/>
      <c r="P2482" s="14"/>
      <c r="Q2482" s="14"/>
      <c r="R2482" s="14"/>
      <c r="S2482" s="14"/>
      <c r="T2482" s="14"/>
    </row>
    <row r="2483" spans="2:20" x14ac:dyDescent="0.35">
      <c r="B2483" s="17"/>
      <c r="C2483" s="13"/>
      <c r="D2483" s="13"/>
      <c r="E2483" s="13"/>
      <c r="F2483" s="14"/>
      <c r="G2483" s="14"/>
      <c r="H2483" s="14"/>
      <c r="I2483" s="14"/>
      <c r="J2483" s="14"/>
      <c r="K2483" s="14"/>
      <c r="L2483" s="14"/>
      <c r="M2483" s="14"/>
      <c r="N2483" s="14"/>
      <c r="O2483" s="14"/>
      <c r="P2483" s="14"/>
      <c r="Q2483" s="14"/>
      <c r="R2483" s="14"/>
      <c r="S2483" s="14"/>
      <c r="T2483" s="14"/>
    </row>
    <row r="2484" spans="2:20" x14ac:dyDescent="0.35">
      <c r="B2484" s="17"/>
      <c r="C2484" s="13"/>
      <c r="D2484" s="13"/>
      <c r="E2484" s="13"/>
      <c r="F2484" s="14"/>
      <c r="G2484" s="14"/>
      <c r="H2484" s="14"/>
      <c r="I2484" s="14"/>
      <c r="J2484" s="14"/>
      <c r="K2484" s="14"/>
      <c r="L2484" s="14"/>
      <c r="M2484" s="14"/>
      <c r="N2484" s="14"/>
      <c r="O2484" s="14"/>
      <c r="P2484" s="14"/>
      <c r="Q2484" s="14"/>
      <c r="R2484" s="14"/>
      <c r="S2484" s="14"/>
      <c r="T2484" s="14"/>
    </row>
    <row r="2485" spans="2:20" x14ac:dyDescent="0.35">
      <c r="B2485" s="17"/>
      <c r="C2485" s="13"/>
      <c r="D2485" s="13"/>
      <c r="E2485" s="13"/>
      <c r="F2485" s="14"/>
      <c r="G2485" s="14"/>
      <c r="H2485" s="14"/>
      <c r="I2485" s="14"/>
      <c r="J2485" s="14"/>
      <c r="K2485" s="14"/>
      <c r="L2485" s="14"/>
      <c r="M2485" s="14"/>
      <c r="N2485" s="14"/>
      <c r="O2485" s="14"/>
      <c r="P2485" s="14"/>
      <c r="Q2485" s="14"/>
      <c r="R2485" s="14"/>
      <c r="S2485" s="14"/>
      <c r="T2485" s="14"/>
    </row>
    <row r="2486" spans="2:20" x14ac:dyDescent="0.35">
      <c r="B2486" s="17"/>
      <c r="C2486" s="13"/>
      <c r="D2486" s="13"/>
      <c r="E2486" s="13"/>
      <c r="F2486" s="14"/>
      <c r="G2486" s="14"/>
      <c r="H2486" s="14"/>
      <c r="I2486" s="14"/>
      <c r="J2486" s="14"/>
      <c r="K2486" s="14"/>
      <c r="L2486" s="14"/>
      <c r="M2486" s="14"/>
      <c r="N2486" s="14"/>
      <c r="O2486" s="14"/>
      <c r="P2486" s="14"/>
      <c r="Q2486" s="14"/>
      <c r="R2486" s="14"/>
      <c r="S2486" s="14"/>
      <c r="T2486" s="14"/>
    </row>
    <row r="2487" spans="2:20" x14ac:dyDescent="0.35">
      <c r="B2487" s="17"/>
      <c r="C2487" s="13"/>
      <c r="D2487" s="13"/>
      <c r="E2487" s="13"/>
      <c r="F2487" s="14"/>
      <c r="G2487" s="14"/>
      <c r="H2487" s="14"/>
      <c r="I2487" s="14"/>
      <c r="J2487" s="14"/>
      <c r="K2487" s="14"/>
      <c r="L2487" s="14"/>
      <c r="M2487" s="14"/>
      <c r="N2487" s="14"/>
      <c r="O2487" s="14"/>
      <c r="P2487" s="14"/>
      <c r="Q2487" s="14"/>
      <c r="R2487" s="14"/>
      <c r="S2487" s="14"/>
      <c r="T2487" s="14"/>
    </row>
    <row r="2488" spans="2:20" x14ac:dyDescent="0.35">
      <c r="B2488" s="17"/>
      <c r="C2488" s="13"/>
      <c r="D2488" s="13"/>
      <c r="E2488" s="13"/>
      <c r="F2488" s="14"/>
      <c r="G2488" s="14"/>
      <c r="H2488" s="14"/>
      <c r="I2488" s="14"/>
      <c r="J2488" s="14"/>
      <c r="K2488" s="14"/>
      <c r="L2488" s="14"/>
      <c r="M2488" s="14"/>
      <c r="N2488" s="14"/>
      <c r="O2488" s="14"/>
      <c r="P2488" s="14"/>
      <c r="Q2488" s="14"/>
      <c r="R2488" s="14"/>
      <c r="S2488" s="14"/>
      <c r="T2488" s="14"/>
    </row>
    <row r="2489" spans="2:20" x14ac:dyDescent="0.35">
      <c r="B2489" s="17"/>
      <c r="C2489" s="13"/>
      <c r="D2489" s="13"/>
      <c r="E2489" s="13"/>
      <c r="F2489" s="14"/>
      <c r="G2489" s="14"/>
      <c r="H2489" s="14"/>
      <c r="I2489" s="14"/>
      <c r="J2489" s="14"/>
      <c r="K2489" s="14"/>
      <c r="L2489" s="14"/>
      <c r="M2489" s="14"/>
      <c r="N2489" s="14"/>
      <c r="O2489" s="14"/>
      <c r="P2489" s="14"/>
      <c r="Q2489" s="14"/>
      <c r="R2489" s="14"/>
      <c r="S2489" s="14"/>
      <c r="T2489" s="14"/>
    </row>
    <row r="2490" spans="2:20" x14ac:dyDescent="0.35">
      <c r="B2490" s="17"/>
      <c r="C2490" s="13"/>
      <c r="D2490" s="13"/>
      <c r="E2490" s="13"/>
      <c r="F2490" s="14"/>
      <c r="G2490" s="14"/>
      <c r="H2490" s="14"/>
      <c r="I2490" s="14"/>
      <c r="J2490" s="14"/>
      <c r="K2490" s="14"/>
      <c r="L2490" s="14"/>
      <c r="M2490" s="14"/>
      <c r="N2490" s="14"/>
      <c r="O2490" s="14"/>
      <c r="P2490" s="14"/>
      <c r="Q2490" s="14"/>
      <c r="R2490" s="14"/>
      <c r="S2490" s="14"/>
      <c r="T2490" s="14"/>
    </row>
    <row r="2491" spans="2:20" x14ac:dyDescent="0.35">
      <c r="B2491" s="17"/>
      <c r="C2491" s="13"/>
      <c r="D2491" s="13"/>
      <c r="E2491" s="13"/>
      <c r="F2491" s="14"/>
      <c r="G2491" s="14"/>
      <c r="H2491" s="14"/>
      <c r="I2491" s="14"/>
      <c r="J2491" s="14"/>
      <c r="K2491" s="14"/>
      <c r="L2491" s="14"/>
      <c r="M2491" s="14"/>
      <c r="N2491" s="14"/>
      <c r="O2491" s="14"/>
      <c r="P2491" s="14"/>
      <c r="Q2491" s="14"/>
      <c r="R2491" s="14"/>
      <c r="S2491" s="14"/>
      <c r="T2491" s="14"/>
    </row>
    <row r="2492" spans="2:20" x14ac:dyDescent="0.35">
      <c r="B2492" s="17"/>
      <c r="C2492" s="13"/>
      <c r="D2492" s="13"/>
      <c r="E2492" s="13"/>
      <c r="F2492" s="14"/>
      <c r="G2492" s="14"/>
      <c r="H2492" s="14"/>
      <c r="I2492" s="14"/>
      <c r="J2492" s="14"/>
      <c r="K2492" s="14"/>
      <c r="L2492" s="14"/>
      <c r="M2492" s="14"/>
      <c r="N2492" s="14"/>
      <c r="O2492" s="14"/>
      <c r="P2492" s="14"/>
      <c r="Q2492" s="14"/>
      <c r="R2492" s="14"/>
      <c r="S2492" s="14"/>
      <c r="T2492" s="14"/>
    </row>
    <row r="2493" spans="2:20" x14ac:dyDescent="0.35">
      <c r="B2493" s="17"/>
      <c r="C2493" s="13"/>
      <c r="D2493" s="13"/>
      <c r="E2493" s="13"/>
      <c r="F2493" s="14"/>
      <c r="G2493" s="14"/>
      <c r="H2493" s="14"/>
      <c r="I2493" s="14"/>
      <c r="J2493" s="14"/>
      <c r="K2493" s="14"/>
      <c r="L2493" s="14"/>
      <c r="M2493" s="14"/>
      <c r="N2493" s="14"/>
      <c r="O2493" s="14"/>
      <c r="P2493" s="14"/>
      <c r="Q2493" s="14"/>
      <c r="R2493" s="14"/>
      <c r="S2493" s="14"/>
      <c r="T2493" s="14"/>
    </row>
    <row r="2494" spans="2:20" x14ac:dyDescent="0.35">
      <c r="B2494" s="17"/>
      <c r="C2494" s="13"/>
      <c r="D2494" s="13"/>
      <c r="E2494" s="13"/>
      <c r="F2494" s="14"/>
      <c r="G2494" s="14"/>
      <c r="H2494" s="14"/>
      <c r="I2494" s="14"/>
      <c r="J2494" s="14"/>
      <c r="K2494" s="14"/>
      <c r="L2494" s="14"/>
      <c r="M2494" s="14"/>
      <c r="N2494" s="14"/>
      <c r="O2494" s="14"/>
      <c r="P2494" s="14"/>
      <c r="Q2494" s="14"/>
      <c r="R2494" s="14"/>
      <c r="S2494" s="14"/>
      <c r="T2494" s="14"/>
    </row>
    <row r="2495" spans="2:20" x14ac:dyDescent="0.35">
      <c r="B2495" s="17"/>
      <c r="C2495" s="13"/>
      <c r="D2495" s="13"/>
      <c r="E2495" s="13"/>
      <c r="F2495" s="14"/>
      <c r="G2495" s="14"/>
      <c r="H2495" s="14"/>
      <c r="I2495" s="14"/>
      <c r="J2495" s="14"/>
      <c r="K2495" s="14"/>
      <c r="L2495" s="14"/>
      <c r="M2495" s="14"/>
      <c r="N2495" s="14"/>
      <c r="O2495" s="14"/>
      <c r="P2495" s="14"/>
      <c r="Q2495" s="14"/>
      <c r="R2495" s="14"/>
      <c r="S2495" s="14"/>
      <c r="T2495" s="14"/>
    </row>
    <row r="2496" spans="2:20" x14ac:dyDescent="0.35">
      <c r="B2496" s="17"/>
      <c r="C2496" s="18"/>
      <c r="D2496" s="19"/>
      <c r="E2496" s="19"/>
      <c r="F2496" s="22"/>
      <c r="G2496" s="22"/>
      <c r="H2496" s="22"/>
      <c r="I2496" s="22"/>
      <c r="J2496" s="22"/>
      <c r="K2496" s="22"/>
      <c r="L2496" s="22"/>
      <c r="M2496" s="22"/>
      <c r="N2496" s="22"/>
      <c r="O2496" s="22"/>
      <c r="P2496" s="22"/>
      <c r="Q2496" s="22"/>
      <c r="R2496" s="22"/>
      <c r="S2496" s="22"/>
      <c r="T2496" s="22"/>
    </row>
    <row r="2497" spans="2:20" x14ac:dyDescent="0.35">
      <c r="B2497" s="17"/>
      <c r="C2497" s="18"/>
      <c r="D2497" s="19"/>
      <c r="E2497" s="19"/>
      <c r="F2497" s="22"/>
      <c r="G2497" s="22"/>
      <c r="H2497" s="22"/>
      <c r="I2497" s="22"/>
      <c r="J2497" s="22"/>
      <c r="K2497" s="22"/>
      <c r="L2497" s="22"/>
      <c r="M2497" s="22"/>
      <c r="N2497" s="22"/>
      <c r="O2497" s="22"/>
      <c r="P2497" s="22"/>
      <c r="Q2497" s="22"/>
      <c r="R2497" s="22"/>
      <c r="S2497" s="22"/>
      <c r="T2497" s="22"/>
    </row>
    <row r="2498" spans="2:20" x14ac:dyDescent="0.35">
      <c r="B2498" s="17"/>
      <c r="C2498" s="18"/>
      <c r="D2498" s="19"/>
      <c r="E2498" s="19"/>
      <c r="F2498" s="22"/>
      <c r="G2498" s="22"/>
      <c r="H2498" s="22"/>
      <c r="I2498" s="22"/>
      <c r="J2498" s="22"/>
      <c r="K2498" s="22"/>
      <c r="L2498" s="22"/>
      <c r="M2498" s="22"/>
      <c r="N2498" s="22"/>
      <c r="O2498" s="22"/>
      <c r="P2498" s="22"/>
      <c r="Q2498" s="22"/>
      <c r="R2498" s="22"/>
      <c r="S2498" s="22"/>
      <c r="T2498" s="22"/>
    </row>
    <row r="2499" spans="2:20" x14ac:dyDescent="0.35">
      <c r="B2499" s="17"/>
      <c r="C2499" s="18"/>
      <c r="D2499" s="19"/>
      <c r="E2499" s="19"/>
      <c r="F2499" s="22"/>
      <c r="G2499" s="22"/>
      <c r="H2499" s="22"/>
      <c r="I2499" s="22"/>
      <c r="J2499" s="22"/>
      <c r="K2499" s="22"/>
      <c r="L2499" s="22"/>
      <c r="M2499" s="22"/>
      <c r="N2499" s="22"/>
      <c r="O2499" s="22"/>
      <c r="P2499" s="22"/>
      <c r="Q2499" s="22"/>
      <c r="R2499" s="22"/>
      <c r="S2499" s="22"/>
      <c r="T2499" s="22"/>
    </row>
    <row r="2500" spans="2:20" x14ac:dyDescent="0.35">
      <c r="B2500" s="17"/>
      <c r="C2500" s="18"/>
      <c r="D2500" s="19"/>
      <c r="E2500" s="19"/>
      <c r="F2500" s="22"/>
      <c r="G2500" s="22"/>
      <c r="H2500" s="22"/>
      <c r="I2500" s="22"/>
      <c r="J2500" s="22"/>
      <c r="K2500" s="22"/>
      <c r="L2500" s="22"/>
      <c r="M2500" s="22"/>
      <c r="N2500" s="22"/>
      <c r="O2500" s="22"/>
      <c r="P2500" s="22"/>
      <c r="Q2500" s="22"/>
      <c r="R2500" s="22"/>
      <c r="S2500" s="22"/>
      <c r="T2500" s="22"/>
    </row>
    <row r="2501" spans="2:20" x14ac:dyDescent="0.35">
      <c r="B2501" s="17"/>
      <c r="C2501" s="18"/>
      <c r="D2501" s="19"/>
      <c r="E2501" s="19"/>
      <c r="F2501" s="22"/>
      <c r="G2501" s="22"/>
      <c r="H2501" s="22"/>
      <c r="I2501" s="22"/>
      <c r="J2501" s="22"/>
      <c r="K2501" s="22"/>
      <c r="L2501" s="22"/>
      <c r="M2501" s="22"/>
      <c r="N2501" s="22"/>
      <c r="O2501" s="22"/>
      <c r="P2501" s="22"/>
      <c r="Q2501" s="22"/>
      <c r="R2501" s="22"/>
      <c r="S2501" s="22"/>
      <c r="T2501" s="22"/>
    </row>
    <row r="2502" spans="2:20" x14ac:dyDescent="0.35">
      <c r="B2502" s="17"/>
      <c r="C2502" s="18"/>
      <c r="D2502" s="19"/>
      <c r="E2502" s="19"/>
      <c r="F2502" s="22"/>
      <c r="G2502" s="22"/>
      <c r="H2502" s="22"/>
      <c r="I2502" s="22"/>
      <c r="J2502" s="22"/>
      <c r="K2502" s="22"/>
      <c r="L2502" s="22"/>
      <c r="M2502" s="22"/>
      <c r="N2502" s="22"/>
      <c r="O2502" s="22"/>
      <c r="P2502" s="22"/>
      <c r="Q2502" s="22"/>
      <c r="R2502" s="22"/>
      <c r="S2502" s="22"/>
      <c r="T2502" s="22"/>
    </row>
    <row r="2503" spans="2:20" x14ac:dyDescent="0.35">
      <c r="B2503" s="17"/>
      <c r="C2503" s="18"/>
      <c r="D2503" s="19"/>
      <c r="E2503" s="19"/>
      <c r="F2503" s="22"/>
      <c r="G2503" s="22"/>
      <c r="H2503" s="22"/>
      <c r="I2503" s="22"/>
      <c r="J2503" s="22"/>
      <c r="K2503" s="22"/>
      <c r="L2503" s="22"/>
      <c r="M2503" s="22"/>
      <c r="N2503" s="22"/>
      <c r="O2503" s="22"/>
      <c r="P2503" s="22"/>
      <c r="Q2503" s="22"/>
      <c r="R2503" s="22"/>
      <c r="S2503" s="22"/>
      <c r="T2503" s="22"/>
    </row>
    <row r="2504" spans="2:20" x14ac:dyDescent="0.35">
      <c r="B2504" s="17"/>
      <c r="C2504" s="18"/>
      <c r="D2504" s="19"/>
      <c r="E2504" s="19"/>
      <c r="F2504" s="22"/>
      <c r="G2504" s="22"/>
      <c r="H2504" s="22"/>
      <c r="I2504" s="22"/>
      <c r="J2504" s="22"/>
      <c r="K2504" s="22"/>
      <c r="L2504" s="22"/>
      <c r="M2504" s="22"/>
      <c r="N2504" s="22"/>
      <c r="O2504" s="22"/>
      <c r="P2504" s="22"/>
      <c r="Q2504" s="22"/>
      <c r="R2504" s="22"/>
      <c r="S2504" s="22"/>
      <c r="T2504" s="22"/>
    </row>
    <row r="2505" spans="2:20" x14ac:dyDescent="0.35">
      <c r="B2505" s="17"/>
      <c r="C2505" s="18"/>
      <c r="D2505" s="19"/>
      <c r="E2505" s="19"/>
      <c r="F2505" s="22"/>
      <c r="G2505" s="22"/>
      <c r="H2505" s="22"/>
      <c r="I2505" s="22"/>
      <c r="J2505" s="22"/>
      <c r="K2505" s="22"/>
      <c r="L2505" s="22"/>
      <c r="M2505" s="22"/>
      <c r="N2505" s="22"/>
      <c r="O2505" s="22"/>
      <c r="P2505" s="22"/>
      <c r="Q2505" s="22"/>
      <c r="R2505" s="22"/>
      <c r="S2505" s="22"/>
      <c r="T2505" s="22"/>
    </row>
    <row r="2506" spans="2:20" x14ac:dyDescent="0.35">
      <c r="B2506" s="17"/>
      <c r="C2506" s="18"/>
      <c r="D2506" s="19"/>
      <c r="E2506" s="19"/>
      <c r="F2506" s="22"/>
      <c r="G2506" s="22"/>
      <c r="H2506" s="22"/>
      <c r="I2506" s="22"/>
      <c r="J2506" s="22"/>
      <c r="K2506" s="22"/>
      <c r="L2506" s="22"/>
      <c r="M2506" s="22"/>
      <c r="N2506" s="22"/>
      <c r="O2506" s="22"/>
      <c r="P2506" s="22"/>
      <c r="Q2506" s="22"/>
      <c r="R2506" s="22"/>
      <c r="S2506" s="22"/>
      <c r="T2506" s="22"/>
    </row>
    <row r="2507" spans="2:20" x14ac:dyDescent="0.35">
      <c r="B2507" s="17"/>
      <c r="C2507" s="18"/>
      <c r="D2507" s="19"/>
      <c r="E2507" s="19"/>
      <c r="F2507" s="22"/>
      <c r="G2507" s="22"/>
      <c r="H2507" s="22"/>
      <c r="I2507" s="22"/>
      <c r="J2507" s="22"/>
      <c r="K2507" s="22"/>
      <c r="L2507" s="22"/>
      <c r="M2507" s="22"/>
      <c r="N2507" s="22"/>
      <c r="O2507" s="22"/>
      <c r="P2507" s="22"/>
      <c r="Q2507" s="22"/>
      <c r="R2507" s="22"/>
      <c r="S2507" s="22"/>
      <c r="T2507" s="22"/>
    </row>
    <row r="2508" spans="2:20" x14ac:dyDescent="0.35">
      <c r="B2508" s="17"/>
      <c r="C2508" s="18"/>
      <c r="D2508" s="19"/>
      <c r="E2508" s="19"/>
      <c r="F2508" s="22"/>
      <c r="G2508" s="22"/>
      <c r="H2508" s="22"/>
      <c r="I2508" s="22"/>
      <c r="J2508" s="22"/>
      <c r="K2508" s="22"/>
      <c r="L2508" s="22"/>
      <c r="M2508" s="22"/>
      <c r="N2508" s="22"/>
      <c r="O2508" s="22"/>
      <c r="P2508" s="22"/>
      <c r="Q2508" s="22"/>
      <c r="R2508" s="22"/>
      <c r="S2508" s="22"/>
      <c r="T2508" s="22"/>
    </row>
    <row r="2509" spans="2:20" x14ac:dyDescent="0.35">
      <c r="B2509" s="17"/>
      <c r="C2509" s="18"/>
      <c r="D2509" s="19"/>
      <c r="E2509" s="19"/>
      <c r="F2509" s="22"/>
      <c r="G2509" s="22"/>
      <c r="H2509" s="22"/>
      <c r="I2509" s="22"/>
      <c r="J2509" s="22"/>
      <c r="K2509" s="22"/>
      <c r="L2509" s="22"/>
      <c r="M2509" s="22"/>
      <c r="N2509" s="22"/>
      <c r="O2509" s="22"/>
      <c r="P2509" s="22"/>
      <c r="Q2509" s="22"/>
      <c r="R2509" s="22"/>
      <c r="S2509" s="22"/>
      <c r="T2509" s="22"/>
    </row>
    <row r="2510" spans="2:20" x14ac:dyDescent="0.35">
      <c r="B2510" s="17"/>
      <c r="C2510" s="18"/>
      <c r="D2510" s="19"/>
      <c r="E2510" s="19"/>
      <c r="F2510" s="22"/>
      <c r="G2510" s="22"/>
      <c r="H2510" s="22"/>
      <c r="I2510" s="22"/>
      <c r="J2510" s="22"/>
      <c r="K2510" s="22"/>
      <c r="L2510" s="22"/>
      <c r="M2510" s="22"/>
      <c r="N2510" s="22"/>
      <c r="O2510" s="22"/>
      <c r="P2510" s="22"/>
      <c r="Q2510" s="22"/>
      <c r="R2510" s="22"/>
      <c r="S2510" s="22"/>
      <c r="T2510" s="22"/>
    </row>
    <row r="2511" spans="2:20" x14ac:dyDescent="0.35">
      <c r="B2511" s="17"/>
      <c r="C2511" s="18"/>
      <c r="D2511" s="19"/>
      <c r="E2511" s="19"/>
      <c r="F2511" s="22"/>
      <c r="G2511" s="22"/>
      <c r="H2511" s="22"/>
      <c r="I2511" s="22"/>
      <c r="J2511" s="22"/>
      <c r="K2511" s="22"/>
      <c r="L2511" s="22"/>
      <c r="M2511" s="22"/>
      <c r="N2511" s="22"/>
      <c r="O2511" s="22"/>
      <c r="P2511" s="22"/>
      <c r="Q2511" s="22"/>
      <c r="R2511" s="22"/>
      <c r="S2511" s="22"/>
      <c r="T2511" s="22"/>
    </row>
    <row r="2512" spans="2:20" x14ac:dyDescent="0.35">
      <c r="B2512" s="17"/>
      <c r="C2512" s="13"/>
      <c r="D2512" s="13"/>
      <c r="E2512" s="13"/>
      <c r="F2512" s="14"/>
      <c r="G2512" s="14"/>
      <c r="H2512" s="14"/>
      <c r="I2512" s="14"/>
      <c r="J2512" s="14"/>
      <c r="K2512" s="14"/>
      <c r="L2512" s="14"/>
      <c r="M2512" s="14"/>
      <c r="N2512" s="14"/>
      <c r="O2512" s="14"/>
      <c r="P2512" s="14"/>
      <c r="Q2512" s="14"/>
      <c r="R2512" s="14"/>
      <c r="S2512" s="14"/>
      <c r="T2512" s="14"/>
    </row>
    <row r="2513" spans="2:20" x14ac:dyDescent="0.35">
      <c r="B2513" s="17"/>
      <c r="C2513" s="13"/>
      <c r="D2513" s="13"/>
      <c r="E2513" s="13"/>
      <c r="F2513" s="14"/>
      <c r="G2513" s="14"/>
      <c r="H2513" s="14"/>
      <c r="I2513" s="14"/>
      <c r="J2513" s="14"/>
      <c r="K2513" s="14"/>
      <c r="L2513" s="14"/>
      <c r="M2513" s="14"/>
      <c r="N2513" s="14"/>
      <c r="O2513" s="14"/>
      <c r="P2513" s="14"/>
      <c r="Q2513" s="14"/>
      <c r="R2513" s="14"/>
      <c r="S2513" s="14"/>
      <c r="T2513" s="14"/>
    </row>
    <row r="2514" spans="2:20" x14ac:dyDescent="0.35">
      <c r="B2514" s="17"/>
      <c r="C2514" s="13"/>
      <c r="D2514" s="13"/>
      <c r="E2514" s="13"/>
      <c r="F2514" s="14"/>
      <c r="G2514" s="14"/>
      <c r="H2514" s="14"/>
      <c r="I2514" s="14"/>
      <c r="J2514" s="14"/>
      <c r="K2514" s="14"/>
      <c r="L2514" s="14"/>
      <c r="M2514" s="14"/>
      <c r="N2514" s="14"/>
      <c r="O2514" s="14"/>
      <c r="P2514" s="14"/>
      <c r="Q2514" s="14"/>
      <c r="R2514" s="14"/>
      <c r="S2514" s="14"/>
      <c r="T2514" s="14"/>
    </row>
    <row r="2515" spans="2:20" x14ac:dyDescent="0.35">
      <c r="B2515" s="17"/>
      <c r="C2515" s="13"/>
      <c r="D2515" s="13"/>
      <c r="E2515" s="13"/>
      <c r="F2515" s="14"/>
      <c r="G2515" s="14"/>
      <c r="H2515" s="14"/>
      <c r="I2515" s="14"/>
      <c r="J2515" s="14"/>
      <c r="K2515" s="14"/>
      <c r="L2515" s="14"/>
      <c r="M2515" s="14"/>
      <c r="N2515" s="14"/>
      <c r="O2515" s="14"/>
      <c r="P2515" s="14"/>
      <c r="Q2515" s="14"/>
      <c r="R2515" s="14"/>
      <c r="S2515" s="14"/>
      <c r="T2515" s="14"/>
    </row>
    <row r="2516" spans="2:20" x14ac:dyDescent="0.35">
      <c r="B2516" s="17"/>
      <c r="C2516" s="13"/>
      <c r="D2516" s="13"/>
      <c r="E2516" s="13"/>
      <c r="F2516" s="14"/>
      <c r="G2516" s="14"/>
      <c r="H2516" s="14"/>
      <c r="I2516" s="14"/>
      <c r="J2516" s="14"/>
      <c r="K2516" s="14"/>
      <c r="L2516" s="14"/>
      <c r="M2516" s="14"/>
      <c r="N2516" s="14"/>
      <c r="O2516" s="14"/>
      <c r="P2516" s="14"/>
      <c r="Q2516" s="14"/>
      <c r="R2516" s="14"/>
      <c r="S2516" s="14"/>
      <c r="T2516" s="14"/>
    </row>
    <row r="2517" spans="2:20" x14ac:dyDescent="0.35">
      <c r="B2517" s="17"/>
      <c r="C2517" s="13"/>
      <c r="D2517" s="13"/>
      <c r="E2517" s="13"/>
      <c r="F2517" s="14"/>
      <c r="G2517" s="14"/>
      <c r="H2517" s="14"/>
      <c r="I2517" s="14"/>
      <c r="J2517" s="14"/>
      <c r="K2517" s="14"/>
      <c r="L2517" s="14"/>
      <c r="M2517" s="14"/>
      <c r="N2517" s="14"/>
      <c r="O2517" s="14"/>
      <c r="P2517" s="14"/>
      <c r="Q2517" s="14"/>
      <c r="R2517" s="14"/>
      <c r="S2517" s="14"/>
      <c r="T2517" s="14"/>
    </row>
    <row r="2518" spans="2:20" x14ac:dyDescent="0.35">
      <c r="B2518" s="17"/>
      <c r="C2518" s="13"/>
      <c r="D2518" s="13"/>
      <c r="E2518" s="13"/>
      <c r="F2518" s="14"/>
      <c r="G2518" s="14"/>
      <c r="H2518" s="14"/>
      <c r="I2518" s="14"/>
      <c r="J2518" s="14"/>
      <c r="K2518" s="14"/>
      <c r="L2518" s="14"/>
      <c r="M2518" s="14"/>
      <c r="N2518" s="14"/>
      <c r="O2518" s="14"/>
      <c r="P2518" s="14"/>
      <c r="Q2518" s="14"/>
      <c r="R2518" s="14"/>
      <c r="S2518" s="14"/>
      <c r="T2518" s="14"/>
    </row>
    <row r="2519" spans="2:20" x14ac:dyDescent="0.35">
      <c r="B2519" s="17"/>
      <c r="C2519" s="18"/>
      <c r="D2519" s="19"/>
      <c r="E2519" s="19"/>
      <c r="F2519" s="22"/>
      <c r="G2519" s="22"/>
      <c r="H2519" s="22"/>
      <c r="I2519" s="22"/>
      <c r="J2519" s="22"/>
      <c r="K2519" s="22"/>
      <c r="L2519" s="22"/>
      <c r="M2519" s="22"/>
      <c r="N2519" s="22"/>
      <c r="O2519" s="22"/>
      <c r="P2519" s="22"/>
      <c r="Q2519" s="22"/>
      <c r="R2519" s="22"/>
      <c r="S2519" s="22"/>
      <c r="T2519" s="22"/>
    </row>
    <row r="2520" spans="2:20" x14ac:dyDescent="0.35">
      <c r="B2520" s="17"/>
      <c r="C2520" s="18"/>
      <c r="D2520" s="19"/>
      <c r="E2520" s="19"/>
      <c r="F2520" s="22"/>
      <c r="G2520" s="22"/>
      <c r="H2520" s="22"/>
      <c r="I2520" s="22"/>
      <c r="J2520" s="22"/>
      <c r="K2520" s="22"/>
      <c r="L2520" s="22"/>
      <c r="M2520" s="22"/>
      <c r="N2520" s="22"/>
      <c r="O2520" s="22"/>
      <c r="P2520" s="22"/>
      <c r="Q2520" s="22"/>
      <c r="R2520" s="22"/>
      <c r="S2520" s="22"/>
      <c r="T2520" s="22"/>
    </row>
    <row r="2521" spans="2:20" x14ac:dyDescent="0.35">
      <c r="B2521" s="17"/>
      <c r="C2521" s="18"/>
      <c r="D2521" s="19"/>
      <c r="E2521" s="19"/>
      <c r="F2521" s="22"/>
      <c r="G2521" s="22"/>
      <c r="H2521" s="22"/>
      <c r="I2521" s="22"/>
      <c r="J2521" s="22"/>
      <c r="K2521" s="22"/>
      <c r="L2521" s="22"/>
      <c r="M2521" s="22"/>
      <c r="N2521" s="22"/>
      <c r="O2521" s="22"/>
      <c r="P2521" s="22"/>
      <c r="Q2521" s="22"/>
      <c r="R2521" s="22"/>
      <c r="S2521" s="22"/>
      <c r="T2521" s="22"/>
    </row>
    <row r="2522" spans="2:20" x14ac:dyDescent="0.35">
      <c r="B2522" s="17"/>
      <c r="C2522" s="18"/>
      <c r="D2522" s="19"/>
      <c r="E2522" s="19"/>
      <c r="F2522" s="22"/>
      <c r="G2522" s="22"/>
      <c r="H2522" s="22"/>
      <c r="I2522" s="22"/>
      <c r="J2522" s="22"/>
      <c r="K2522" s="22"/>
      <c r="L2522" s="22"/>
      <c r="M2522" s="22"/>
      <c r="N2522" s="22"/>
      <c r="O2522" s="22"/>
      <c r="P2522" s="22"/>
      <c r="Q2522" s="22"/>
      <c r="R2522" s="22"/>
      <c r="S2522" s="22"/>
      <c r="T2522" s="22"/>
    </row>
    <row r="2523" spans="2:20" x14ac:dyDescent="0.35">
      <c r="B2523" s="17"/>
      <c r="C2523" s="18"/>
      <c r="D2523" s="19"/>
      <c r="E2523" s="19"/>
      <c r="F2523" s="22"/>
      <c r="G2523" s="22"/>
      <c r="H2523" s="22"/>
      <c r="I2523" s="22"/>
      <c r="J2523" s="22"/>
      <c r="K2523" s="22"/>
      <c r="L2523" s="22"/>
      <c r="M2523" s="22"/>
      <c r="N2523" s="22"/>
      <c r="O2523" s="22"/>
      <c r="P2523" s="22"/>
      <c r="Q2523" s="22"/>
      <c r="R2523" s="22"/>
      <c r="S2523" s="22"/>
      <c r="T2523" s="22"/>
    </row>
    <row r="2524" spans="2:20" x14ac:dyDescent="0.35">
      <c r="B2524" s="17"/>
      <c r="C2524" s="20"/>
      <c r="D2524" s="19"/>
      <c r="E2524" s="19"/>
      <c r="F2524" s="22"/>
      <c r="G2524" s="22"/>
      <c r="H2524" s="22"/>
      <c r="I2524" s="22"/>
      <c r="J2524" s="22"/>
      <c r="K2524" s="22"/>
      <c r="L2524" s="22"/>
      <c r="M2524" s="22"/>
      <c r="N2524" s="22"/>
      <c r="O2524" s="22"/>
      <c r="P2524" s="22"/>
      <c r="Q2524" s="22"/>
      <c r="R2524" s="22"/>
      <c r="S2524" s="22"/>
      <c r="T2524" s="22"/>
    </row>
    <row r="2525" spans="2:20" x14ac:dyDescent="0.35">
      <c r="B2525" s="17"/>
      <c r="C2525" s="20"/>
      <c r="D2525" s="19"/>
      <c r="E2525" s="19"/>
      <c r="F2525" s="22"/>
      <c r="G2525" s="22"/>
      <c r="H2525" s="22"/>
      <c r="I2525" s="22"/>
      <c r="J2525" s="22"/>
      <c r="K2525" s="22"/>
      <c r="L2525" s="22"/>
      <c r="M2525" s="22"/>
      <c r="N2525" s="22"/>
      <c r="O2525" s="22"/>
      <c r="P2525" s="22"/>
      <c r="Q2525" s="22"/>
      <c r="R2525" s="22"/>
      <c r="S2525" s="22"/>
      <c r="T2525" s="22"/>
    </row>
    <row r="2526" spans="2:20" x14ac:dyDescent="0.35">
      <c r="B2526" s="17"/>
      <c r="C2526" s="20"/>
      <c r="D2526" s="19"/>
      <c r="E2526" s="19"/>
      <c r="F2526" s="22"/>
      <c r="G2526" s="22"/>
      <c r="H2526" s="22"/>
      <c r="I2526" s="22"/>
      <c r="J2526" s="22"/>
      <c r="K2526" s="22"/>
      <c r="L2526" s="22"/>
      <c r="M2526" s="22"/>
      <c r="N2526" s="22"/>
      <c r="O2526" s="22"/>
      <c r="P2526" s="22"/>
      <c r="Q2526" s="22"/>
      <c r="R2526" s="22"/>
      <c r="S2526" s="22"/>
      <c r="T2526" s="22"/>
    </row>
    <row r="2527" spans="2:20" x14ac:dyDescent="0.35">
      <c r="B2527" s="17"/>
      <c r="C2527" s="20"/>
      <c r="D2527" s="19"/>
      <c r="E2527" s="19"/>
      <c r="F2527" s="22"/>
      <c r="G2527" s="22"/>
      <c r="H2527" s="22"/>
      <c r="I2527" s="22"/>
      <c r="J2527" s="22"/>
      <c r="K2527" s="22"/>
      <c r="L2527" s="22"/>
      <c r="M2527" s="22"/>
      <c r="N2527" s="22"/>
      <c r="O2527" s="22"/>
      <c r="P2527" s="22"/>
      <c r="Q2527" s="22"/>
      <c r="R2527" s="22"/>
      <c r="S2527" s="22"/>
      <c r="T2527" s="22"/>
    </row>
    <row r="2528" spans="2:20" x14ac:dyDescent="0.35">
      <c r="B2528" s="17"/>
      <c r="C2528" s="13"/>
      <c r="D2528" s="13"/>
      <c r="E2528" s="13"/>
      <c r="F2528" s="14"/>
      <c r="G2528" s="14"/>
      <c r="H2528" s="14"/>
      <c r="I2528" s="14"/>
      <c r="J2528" s="14"/>
      <c r="K2528" s="14"/>
      <c r="L2528" s="14"/>
      <c r="M2528" s="14"/>
      <c r="N2528" s="14"/>
      <c r="O2528" s="14"/>
      <c r="P2528" s="14"/>
      <c r="Q2528" s="14"/>
      <c r="R2528" s="14"/>
      <c r="S2528" s="14"/>
      <c r="T2528" s="14"/>
    </row>
    <row r="2529" spans="2:20" x14ac:dyDescent="0.35">
      <c r="B2529" s="17"/>
      <c r="C2529" s="13"/>
      <c r="D2529" s="13"/>
      <c r="E2529" s="13"/>
      <c r="F2529" s="14"/>
      <c r="G2529" s="14"/>
      <c r="H2529" s="14"/>
      <c r="I2529" s="14"/>
      <c r="J2529" s="14"/>
      <c r="K2529" s="14"/>
      <c r="L2529" s="14"/>
      <c r="M2529" s="14"/>
      <c r="N2529" s="14"/>
      <c r="O2529" s="14"/>
      <c r="P2529" s="14"/>
      <c r="Q2529" s="14"/>
      <c r="R2529" s="14"/>
      <c r="S2529" s="14"/>
      <c r="T2529" s="14"/>
    </row>
    <row r="2530" spans="2:20" x14ac:dyDescent="0.35">
      <c r="B2530" s="17"/>
      <c r="C2530" s="13"/>
      <c r="D2530" s="13"/>
      <c r="E2530" s="13"/>
      <c r="F2530" s="14"/>
      <c r="G2530" s="14"/>
      <c r="H2530" s="14"/>
      <c r="I2530" s="14"/>
      <c r="J2530" s="14"/>
      <c r="K2530" s="14"/>
      <c r="L2530" s="14"/>
      <c r="M2530" s="14"/>
      <c r="N2530" s="14"/>
      <c r="O2530" s="14"/>
      <c r="P2530" s="14"/>
      <c r="Q2530" s="14"/>
      <c r="R2530" s="14"/>
      <c r="S2530" s="14"/>
      <c r="T2530" s="14"/>
    </row>
    <row r="2531" spans="2:20" x14ac:dyDescent="0.35">
      <c r="B2531" s="17"/>
      <c r="C2531" s="13"/>
      <c r="D2531" s="13"/>
      <c r="E2531" s="13"/>
      <c r="F2531" s="14"/>
      <c r="G2531" s="14"/>
      <c r="H2531" s="14"/>
      <c r="I2531" s="14"/>
      <c r="J2531" s="14"/>
      <c r="K2531" s="14"/>
      <c r="L2531" s="14"/>
      <c r="M2531" s="14"/>
      <c r="N2531" s="14"/>
      <c r="O2531" s="14"/>
      <c r="P2531" s="14"/>
      <c r="Q2531" s="14"/>
      <c r="R2531" s="14"/>
      <c r="S2531" s="14"/>
      <c r="T2531" s="14"/>
    </row>
    <row r="2532" spans="2:20" x14ac:dyDescent="0.35">
      <c r="B2532" s="17"/>
      <c r="C2532" s="13"/>
      <c r="D2532" s="13"/>
      <c r="E2532" s="13"/>
      <c r="F2532" s="14"/>
      <c r="G2532" s="14"/>
      <c r="H2532" s="14"/>
      <c r="I2532" s="14"/>
      <c r="J2532" s="14"/>
      <c r="K2532" s="14"/>
      <c r="L2532" s="14"/>
      <c r="M2532" s="14"/>
      <c r="N2532" s="14"/>
      <c r="O2532" s="14"/>
      <c r="P2532" s="14"/>
      <c r="Q2532" s="14"/>
      <c r="R2532" s="14"/>
      <c r="S2532" s="14"/>
      <c r="T2532" s="14"/>
    </row>
    <row r="2533" spans="2:20" x14ac:dyDescent="0.35">
      <c r="B2533" s="17"/>
      <c r="C2533" s="13"/>
      <c r="D2533" s="13"/>
      <c r="E2533" s="13"/>
      <c r="F2533" s="14"/>
      <c r="G2533" s="14"/>
      <c r="H2533" s="14"/>
      <c r="I2533" s="14"/>
      <c r="J2533" s="14"/>
      <c r="K2533" s="14"/>
      <c r="L2533" s="14"/>
      <c r="M2533" s="14"/>
      <c r="N2533" s="14"/>
      <c r="O2533" s="14"/>
      <c r="P2533" s="14"/>
      <c r="Q2533" s="14"/>
      <c r="R2533" s="14"/>
      <c r="S2533" s="14"/>
      <c r="T2533" s="14"/>
    </row>
    <row r="2534" spans="2:20" x14ac:dyDescent="0.35">
      <c r="B2534" s="17"/>
      <c r="C2534" s="13"/>
      <c r="D2534" s="13"/>
      <c r="E2534" s="13"/>
      <c r="F2534" s="14"/>
      <c r="G2534" s="14"/>
      <c r="H2534" s="14"/>
      <c r="I2534" s="14"/>
      <c r="J2534" s="14"/>
      <c r="K2534" s="14"/>
      <c r="L2534" s="14"/>
      <c r="M2534" s="14"/>
      <c r="N2534" s="14"/>
      <c r="O2534" s="14"/>
      <c r="P2534" s="14"/>
      <c r="Q2534" s="14"/>
      <c r="R2534" s="14"/>
      <c r="S2534" s="14"/>
      <c r="T2534" s="14"/>
    </row>
    <row r="2535" spans="2:20" x14ac:dyDescent="0.35">
      <c r="B2535" s="17"/>
      <c r="C2535" s="13"/>
      <c r="D2535" s="13"/>
      <c r="E2535" s="13"/>
      <c r="F2535" s="14"/>
      <c r="G2535" s="14"/>
      <c r="H2535" s="14"/>
      <c r="I2535" s="14"/>
      <c r="J2535" s="14"/>
      <c r="K2535" s="14"/>
      <c r="L2535" s="14"/>
      <c r="M2535" s="14"/>
      <c r="N2535" s="14"/>
      <c r="O2535" s="14"/>
      <c r="P2535" s="14"/>
      <c r="Q2535" s="14"/>
      <c r="R2535" s="14"/>
      <c r="S2535" s="14"/>
      <c r="T2535" s="14"/>
    </row>
    <row r="2536" spans="2:20" x14ac:dyDescent="0.35">
      <c r="B2536" s="17"/>
      <c r="C2536" s="13"/>
      <c r="D2536" s="13"/>
      <c r="E2536" s="13"/>
      <c r="F2536" s="14"/>
      <c r="G2536" s="14"/>
      <c r="H2536" s="14"/>
      <c r="I2536" s="14"/>
      <c r="J2536" s="14"/>
      <c r="K2536" s="14"/>
      <c r="L2536" s="14"/>
      <c r="M2536" s="14"/>
      <c r="N2536" s="14"/>
      <c r="O2536" s="14"/>
      <c r="P2536" s="14"/>
      <c r="Q2536" s="14"/>
      <c r="R2536" s="14"/>
      <c r="S2536" s="14"/>
      <c r="T2536" s="14"/>
    </row>
    <row r="2537" spans="2:20" x14ac:dyDescent="0.35">
      <c r="B2537" s="17"/>
      <c r="C2537" s="13"/>
      <c r="D2537" s="13"/>
      <c r="E2537" s="13"/>
      <c r="F2537" s="14"/>
      <c r="G2537" s="14"/>
      <c r="H2537" s="14"/>
      <c r="I2537" s="14"/>
      <c r="J2537" s="14"/>
      <c r="K2537" s="14"/>
      <c r="L2537" s="14"/>
      <c r="M2537" s="14"/>
      <c r="N2537" s="14"/>
      <c r="O2537" s="14"/>
      <c r="P2537" s="14"/>
      <c r="Q2537" s="14"/>
      <c r="R2537" s="14"/>
      <c r="S2537" s="14"/>
      <c r="T2537" s="14"/>
    </row>
    <row r="2538" spans="2:20" x14ac:dyDescent="0.35">
      <c r="B2538" s="17"/>
      <c r="C2538" s="13"/>
      <c r="D2538" s="13"/>
      <c r="E2538" s="13"/>
      <c r="F2538" s="14"/>
      <c r="G2538" s="14"/>
      <c r="H2538" s="14"/>
      <c r="I2538" s="14"/>
      <c r="J2538" s="14"/>
      <c r="K2538" s="14"/>
      <c r="L2538" s="14"/>
      <c r="M2538" s="14"/>
      <c r="N2538" s="14"/>
      <c r="O2538" s="14"/>
      <c r="P2538" s="14"/>
      <c r="Q2538" s="14"/>
      <c r="R2538" s="14"/>
      <c r="S2538" s="14"/>
      <c r="T2538" s="14"/>
    </row>
    <row r="2539" spans="2:20" x14ac:dyDescent="0.35">
      <c r="B2539" s="17"/>
      <c r="C2539" s="13"/>
      <c r="D2539" s="13"/>
      <c r="E2539" s="13"/>
      <c r="F2539" s="14"/>
      <c r="G2539" s="14"/>
      <c r="H2539" s="14"/>
      <c r="I2539" s="14"/>
      <c r="J2539" s="14"/>
      <c r="K2539" s="14"/>
      <c r="L2539" s="14"/>
      <c r="M2539" s="14"/>
      <c r="N2539" s="14"/>
      <c r="O2539" s="14"/>
      <c r="P2539" s="14"/>
      <c r="Q2539" s="14"/>
      <c r="R2539" s="14"/>
      <c r="S2539" s="14"/>
      <c r="T2539" s="14"/>
    </row>
    <row r="2540" spans="2:20" x14ac:dyDescent="0.35">
      <c r="B2540" s="17"/>
      <c r="C2540" s="13"/>
      <c r="D2540" s="13"/>
      <c r="E2540" s="13"/>
      <c r="F2540" s="14"/>
      <c r="G2540" s="14"/>
      <c r="H2540" s="14"/>
      <c r="I2540" s="14"/>
      <c r="J2540" s="14"/>
      <c r="K2540" s="14"/>
      <c r="L2540" s="14"/>
      <c r="M2540" s="14"/>
      <c r="N2540" s="14"/>
      <c r="O2540" s="14"/>
      <c r="P2540" s="14"/>
      <c r="Q2540" s="14"/>
      <c r="R2540" s="14"/>
      <c r="S2540" s="14"/>
      <c r="T2540" s="14"/>
    </row>
    <row r="2541" spans="2:20" x14ac:dyDescent="0.35">
      <c r="B2541" s="17"/>
      <c r="C2541" s="13"/>
      <c r="D2541" s="13"/>
      <c r="E2541" s="13"/>
      <c r="F2541" s="14"/>
      <c r="G2541" s="14"/>
      <c r="H2541" s="14"/>
      <c r="I2541" s="14"/>
      <c r="J2541" s="14"/>
      <c r="K2541" s="14"/>
      <c r="L2541" s="14"/>
      <c r="M2541" s="14"/>
      <c r="N2541" s="14"/>
      <c r="O2541" s="14"/>
      <c r="P2541" s="14"/>
      <c r="Q2541" s="14"/>
      <c r="R2541" s="14"/>
      <c r="S2541" s="14"/>
      <c r="T2541" s="14"/>
    </row>
    <row r="2542" spans="2:20" x14ac:dyDescent="0.35">
      <c r="B2542" s="17"/>
      <c r="C2542" s="13"/>
      <c r="D2542" s="13"/>
      <c r="E2542" s="13"/>
      <c r="F2542" s="14"/>
      <c r="G2542" s="14"/>
      <c r="H2542" s="14"/>
      <c r="I2542" s="14"/>
      <c r="J2542" s="14"/>
      <c r="K2542" s="14"/>
      <c r="L2542" s="14"/>
      <c r="M2542" s="14"/>
      <c r="N2542" s="14"/>
      <c r="O2542" s="14"/>
      <c r="P2542" s="14"/>
      <c r="Q2542" s="14"/>
      <c r="R2542" s="14"/>
      <c r="S2542" s="14"/>
      <c r="T2542" s="14"/>
    </row>
    <row r="2543" spans="2:20" x14ac:dyDescent="0.35">
      <c r="B2543" s="17"/>
      <c r="C2543" s="18"/>
      <c r="D2543" s="19"/>
      <c r="E2543" s="19"/>
      <c r="F2543" s="22"/>
      <c r="G2543" s="22"/>
      <c r="H2543" s="22"/>
      <c r="I2543" s="22"/>
      <c r="J2543" s="22"/>
      <c r="K2543" s="22"/>
      <c r="L2543" s="22"/>
      <c r="M2543" s="22"/>
      <c r="N2543" s="22"/>
      <c r="O2543" s="22"/>
      <c r="P2543" s="22"/>
      <c r="Q2543" s="22"/>
      <c r="R2543" s="22"/>
      <c r="S2543" s="22"/>
      <c r="T2543" s="22"/>
    </row>
    <row r="2544" spans="2:20" x14ac:dyDescent="0.35">
      <c r="B2544" s="17"/>
      <c r="C2544" s="18"/>
      <c r="D2544" s="19"/>
      <c r="E2544" s="19"/>
      <c r="F2544" s="22"/>
      <c r="G2544" s="22"/>
      <c r="H2544" s="22"/>
      <c r="I2544" s="22"/>
      <c r="J2544" s="22"/>
      <c r="K2544" s="22"/>
      <c r="L2544" s="22"/>
      <c r="M2544" s="22"/>
      <c r="N2544" s="22"/>
      <c r="O2544" s="22"/>
      <c r="P2544" s="22"/>
      <c r="Q2544" s="22"/>
      <c r="R2544" s="22"/>
      <c r="S2544" s="22"/>
      <c r="T2544" s="22"/>
    </row>
    <row r="2545" spans="2:20" x14ac:dyDescent="0.35">
      <c r="B2545" s="17"/>
      <c r="C2545" s="18"/>
      <c r="D2545" s="19"/>
      <c r="E2545" s="19"/>
      <c r="F2545" s="22"/>
      <c r="G2545" s="22"/>
      <c r="H2545" s="22"/>
      <c r="I2545" s="22"/>
      <c r="J2545" s="22"/>
      <c r="K2545" s="22"/>
      <c r="L2545" s="22"/>
      <c r="M2545" s="22"/>
      <c r="N2545" s="22"/>
      <c r="O2545" s="22"/>
      <c r="P2545" s="22"/>
      <c r="Q2545" s="22"/>
      <c r="R2545" s="22"/>
      <c r="S2545" s="22"/>
      <c r="T2545" s="22"/>
    </row>
    <row r="2546" spans="2:20" x14ac:dyDescent="0.35">
      <c r="B2546" s="17"/>
      <c r="C2546" s="18"/>
      <c r="D2546" s="19"/>
      <c r="E2546" s="19"/>
      <c r="F2546" s="22"/>
      <c r="G2546" s="22"/>
      <c r="H2546" s="22"/>
      <c r="I2546" s="22"/>
      <c r="J2546" s="22"/>
      <c r="K2546" s="22"/>
      <c r="L2546" s="22"/>
      <c r="M2546" s="22"/>
      <c r="N2546" s="22"/>
      <c r="O2546" s="22"/>
      <c r="P2546" s="22"/>
      <c r="Q2546" s="22"/>
      <c r="R2546" s="22"/>
      <c r="S2546" s="22"/>
      <c r="T2546" s="22"/>
    </row>
    <row r="2547" spans="2:20" x14ac:dyDescent="0.35">
      <c r="B2547" s="17"/>
      <c r="C2547" s="18"/>
      <c r="D2547" s="19"/>
      <c r="E2547" s="19"/>
      <c r="F2547" s="22"/>
      <c r="G2547" s="22"/>
      <c r="H2547" s="22"/>
      <c r="I2547" s="22"/>
      <c r="J2547" s="22"/>
      <c r="K2547" s="22"/>
      <c r="L2547" s="22"/>
      <c r="M2547" s="22"/>
      <c r="N2547" s="22"/>
      <c r="O2547" s="22"/>
      <c r="P2547" s="22"/>
      <c r="Q2547" s="22"/>
      <c r="R2547" s="22"/>
      <c r="S2547" s="22"/>
      <c r="T2547" s="22"/>
    </row>
    <row r="2548" spans="2:20" x14ac:dyDescent="0.35">
      <c r="B2548" s="17"/>
      <c r="C2548" s="18"/>
      <c r="D2548" s="19"/>
      <c r="E2548" s="19"/>
      <c r="F2548" s="22"/>
      <c r="G2548" s="22"/>
      <c r="H2548" s="22"/>
      <c r="I2548" s="22"/>
      <c r="J2548" s="22"/>
      <c r="K2548" s="22"/>
      <c r="L2548" s="22"/>
      <c r="M2548" s="22"/>
      <c r="N2548" s="22"/>
      <c r="O2548" s="22"/>
      <c r="P2548" s="22"/>
      <c r="Q2548" s="22"/>
      <c r="R2548" s="22"/>
      <c r="S2548" s="22"/>
      <c r="T2548" s="22"/>
    </row>
    <row r="2549" spans="2:20" x14ac:dyDescent="0.35">
      <c r="B2549" s="17"/>
      <c r="C2549" s="18"/>
      <c r="D2549" s="19"/>
      <c r="E2549" s="19"/>
      <c r="F2549" s="22"/>
      <c r="G2549" s="22"/>
      <c r="H2549" s="22"/>
      <c r="I2549" s="22"/>
      <c r="J2549" s="22"/>
      <c r="K2549" s="22"/>
      <c r="L2549" s="22"/>
      <c r="M2549" s="22"/>
      <c r="N2549" s="22"/>
      <c r="O2549" s="22"/>
      <c r="P2549" s="22"/>
      <c r="Q2549" s="22"/>
      <c r="R2549" s="22"/>
      <c r="S2549" s="22"/>
      <c r="T2549" s="22"/>
    </row>
    <row r="2550" spans="2:20" x14ac:dyDescent="0.35">
      <c r="B2550" s="17"/>
      <c r="C2550" s="18"/>
      <c r="D2550" s="19"/>
      <c r="E2550" s="19"/>
      <c r="F2550" s="22"/>
      <c r="G2550" s="22"/>
      <c r="H2550" s="22"/>
      <c r="I2550" s="22"/>
      <c r="J2550" s="22"/>
      <c r="K2550" s="22"/>
      <c r="L2550" s="22"/>
      <c r="M2550" s="22"/>
      <c r="N2550" s="22"/>
      <c r="O2550" s="22"/>
      <c r="P2550" s="22"/>
      <c r="Q2550" s="22"/>
      <c r="R2550" s="22"/>
      <c r="S2550" s="22"/>
      <c r="T2550" s="22"/>
    </row>
    <row r="2551" spans="2:20" x14ac:dyDescent="0.35">
      <c r="B2551" s="17"/>
      <c r="C2551" s="18"/>
      <c r="D2551" s="19"/>
      <c r="E2551" s="19"/>
      <c r="F2551" s="22"/>
      <c r="G2551" s="22"/>
      <c r="H2551" s="22"/>
      <c r="I2551" s="22"/>
      <c r="J2551" s="22"/>
      <c r="K2551" s="22"/>
      <c r="L2551" s="22"/>
      <c r="M2551" s="22"/>
      <c r="N2551" s="22"/>
      <c r="O2551" s="22"/>
      <c r="P2551" s="22"/>
      <c r="Q2551" s="22"/>
      <c r="R2551" s="22"/>
      <c r="S2551" s="22"/>
      <c r="T2551" s="22"/>
    </row>
    <row r="2552" spans="2:20" x14ac:dyDescent="0.35">
      <c r="B2552" s="17"/>
      <c r="C2552" s="18"/>
      <c r="D2552" s="19"/>
      <c r="E2552" s="19"/>
      <c r="F2552" s="22"/>
      <c r="G2552" s="22"/>
      <c r="H2552" s="22"/>
      <c r="I2552" s="22"/>
      <c r="J2552" s="22"/>
      <c r="K2552" s="22"/>
      <c r="L2552" s="22"/>
      <c r="M2552" s="22"/>
      <c r="N2552" s="22"/>
      <c r="O2552" s="22"/>
      <c r="P2552" s="22"/>
      <c r="Q2552" s="22"/>
      <c r="R2552" s="22"/>
      <c r="S2552" s="22"/>
      <c r="T2552" s="22"/>
    </row>
    <row r="2553" spans="2:20" x14ac:dyDescent="0.35">
      <c r="B2553" s="17"/>
      <c r="C2553" s="18"/>
      <c r="D2553" s="19"/>
      <c r="E2553" s="19"/>
      <c r="F2553" s="22"/>
      <c r="G2553" s="22"/>
      <c r="H2553" s="22"/>
      <c r="I2553" s="22"/>
      <c r="J2553" s="22"/>
      <c r="K2553" s="22"/>
      <c r="L2553" s="22"/>
      <c r="M2553" s="22"/>
      <c r="N2553" s="22"/>
      <c r="O2553" s="22"/>
      <c r="P2553" s="22"/>
      <c r="Q2553" s="22"/>
      <c r="R2553" s="22"/>
      <c r="S2553" s="22"/>
      <c r="T2553" s="22"/>
    </row>
    <row r="2554" spans="2:20" x14ac:dyDescent="0.35">
      <c r="B2554" s="17"/>
      <c r="C2554" s="18"/>
      <c r="D2554" s="19"/>
      <c r="E2554" s="19"/>
      <c r="F2554" s="22"/>
      <c r="G2554" s="22"/>
      <c r="H2554" s="22"/>
      <c r="I2554" s="22"/>
      <c r="J2554" s="22"/>
      <c r="K2554" s="22"/>
      <c r="L2554" s="22"/>
      <c r="M2554" s="22"/>
      <c r="N2554" s="22"/>
      <c r="O2554" s="22"/>
      <c r="P2554" s="22"/>
      <c r="Q2554" s="22"/>
      <c r="R2554" s="22"/>
      <c r="S2554" s="22"/>
      <c r="T2554" s="22"/>
    </row>
    <row r="2555" spans="2:20" x14ac:dyDescent="0.35">
      <c r="B2555" s="17"/>
      <c r="C2555" s="18"/>
      <c r="D2555" s="19"/>
      <c r="E2555" s="19"/>
      <c r="F2555" s="22"/>
      <c r="G2555" s="22"/>
      <c r="H2555" s="22"/>
      <c r="I2555" s="22"/>
      <c r="J2555" s="22"/>
      <c r="K2555" s="22"/>
      <c r="L2555" s="22"/>
      <c r="M2555" s="22"/>
      <c r="N2555" s="22"/>
      <c r="O2555" s="22"/>
      <c r="P2555" s="22"/>
      <c r="Q2555" s="22"/>
      <c r="R2555" s="22"/>
      <c r="S2555" s="22"/>
      <c r="T2555" s="22"/>
    </row>
    <row r="2556" spans="2:20" x14ac:dyDescent="0.35">
      <c r="B2556" s="17"/>
      <c r="C2556" s="18"/>
      <c r="D2556" s="19"/>
      <c r="E2556" s="19"/>
      <c r="F2556" s="22"/>
      <c r="G2556" s="22"/>
      <c r="H2556" s="22"/>
      <c r="I2556" s="22"/>
      <c r="J2556" s="22"/>
      <c r="K2556" s="22"/>
      <c r="L2556" s="22"/>
      <c r="M2556" s="22"/>
      <c r="N2556" s="22"/>
      <c r="O2556" s="22"/>
      <c r="P2556" s="22"/>
      <c r="Q2556" s="22"/>
      <c r="R2556" s="22"/>
      <c r="S2556" s="22"/>
      <c r="T2556" s="22"/>
    </row>
    <row r="2557" spans="2:20" x14ac:dyDescent="0.35">
      <c r="B2557" s="17"/>
      <c r="C2557" s="18"/>
      <c r="D2557" s="19"/>
      <c r="E2557" s="19"/>
      <c r="F2557" s="22"/>
      <c r="G2557" s="22"/>
      <c r="H2557" s="22"/>
      <c r="I2557" s="22"/>
      <c r="J2557" s="22"/>
      <c r="K2557" s="22"/>
      <c r="L2557" s="22"/>
      <c r="M2557" s="22"/>
      <c r="N2557" s="22"/>
      <c r="O2557" s="22"/>
      <c r="P2557" s="22"/>
      <c r="Q2557" s="22"/>
      <c r="R2557" s="22"/>
      <c r="S2557" s="22"/>
      <c r="T2557" s="22"/>
    </row>
    <row r="2558" spans="2:20" x14ac:dyDescent="0.35">
      <c r="B2558" s="17"/>
      <c r="C2558" s="18"/>
      <c r="D2558" s="19"/>
      <c r="E2558" s="19"/>
      <c r="F2558" s="22"/>
      <c r="G2558" s="22"/>
      <c r="H2558" s="22"/>
      <c r="I2558" s="22"/>
      <c r="J2558" s="22"/>
      <c r="K2558" s="22"/>
      <c r="L2558" s="22"/>
      <c r="M2558" s="22"/>
      <c r="N2558" s="22"/>
      <c r="O2558" s="22"/>
      <c r="P2558" s="22"/>
      <c r="Q2558" s="22"/>
      <c r="R2558" s="22"/>
      <c r="S2558" s="22"/>
      <c r="T2558" s="22"/>
    </row>
    <row r="2559" spans="2:20" x14ac:dyDescent="0.35">
      <c r="B2559" s="17"/>
      <c r="C2559" s="13"/>
      <c r="D2559" s="13"/>
      <c r="E2559" s="13"/>
      <c r="F2559" s="14"/>
      <c r="G2559" s="14"/>
      <c r="H2559" s="14"/>
      <c r="I2559" s="14"/>
      <c r="J2559" s="14"/>
      <c r="K2559" s="14"/>
      <c r="L2559" s="14"/>
      <c r="M2559" s="14"/>
      <c r="N2559" s="14"/>
      <c r="O2559" s="14"/>
      <c r="P2559" s="14"/>
      <c r="Q2559" s="14"/>
      <c r="R2559" s="14"/>
      <c r="S2559" s="14"/>
      <c r="T2559" s="14"/>
    </row>
    <row r="2560" spans="2:20" x14ac:dyDescent="0.35">
      <c r="B2560" s="17"/>
      <c r="C2560" s="13"/>
      <c r="D2560" s="13"/>
      <c r="E2560" s="13"/>
      <c r="F2560" s="14"/>
      <c r="G2560" s="14"/>
      <c r="H2560" s="14"/>
      <c r="I2560" s="14"/>
      <c r="J2560" s="14"/>
      <c r="K2560" s="14"/>
      <c r="L2560" s="14"/>
      <c r="M2560" s="14"/>
      <c r="N2560" s="14"/>
      <c r="O2560" s="14"/>
      <c r="P2560" s="14"/>
      <c r="Q2560" s="14"/>
      <c r="R2560" s="14"/>
      <c r="S2560" s="14"/>
      <c r="T2560" s="14"/>
    </row>
    <row r="2561" spans="1:20" x14ac:dyDescent="0.35">
      <c r="B2561" s="17"/>
      <c r="C2561" s="13"/>
      <c r="D2561" s="13"/>
      <c r="E2561" s="13"/>
      <c r="F2561" s="14"/>
      <c r="G2561" s="14"/>
      <c r="H2561" s="14"/>
      <c r="I2561" s="14"/>
      <c r="J2561" s="14"/>
      <c r="K2561" s="14"/>
      <c r="L2561" s="14"/>
      <c r="M2561" s="14"/>
      <c r="N2561" s="14"/>
      <c r="O2561" s="14"/>
      <c r="P2561" s="14"/>
      <c r="Q2561" s="14"/>
      <c r="R2561" s="14"/>
      <c r="S2561" s="14"/>
      <c r="T2561" s="14"/>
    </row>
    <row r="2562" spans="1:20" x14ac:dyDescent="0.35">
      <c r="B2562" s="17"/>
      <c r="C2562" s="13"/>
      <c r="D2562" s="13"/>
      <c r="E2562" s="13"/>
      <c r="F2562" s="14"/>
      <c r="G2562" s="14"/>
      <c r="H2562" s="14"/>
      <c r="I2562" s="14"/>
      <c r="J2562" s="14"/>
      <c r="K2562" s="14"/>
      <c r="L2562" s="14"/>
      <c r="M2562" s="14"/>
      <c r="N2562" s="14"/>
      <c r="O2562" s="14"/>
      <c r="P2562" s="14"/>
      <c r="Q2562" s="14"/>
      <c r="R2562" s="14"/>
      <c r="S2562" s="14"/>
      <c r="T2562" s="14"/>
    </row>
    <row r="2563" spans="1:20" x14ac:dyDescent="0.35">
      <c r="B2563" s="17"/>
      <c r="C2563" s="13"/>
      <c r="D2563" s="13"/>
      <c r="E2563" s="13"/>
      <c r="F2563" s="14"/>
      <c r="G2563" s="14"/>
      <c r="H2563" s="14"/>
      <c r="I2563" s="14"/>
      <c r="J2563" s="14"/>
      <c r="K2563" s="14"/>
      <c r="L2563" s="14"/>
      <c r="M2563" s="14"/>
      <c r="N2563" s="14"/>
      <c r="O2563" s="14"/>
      <c r="P2563" s="14"/>
      <c r="Q2563" s="14"/>
      <c r="R2563" s="14"/>
      <c r="S2563" s="14"/>
      <c r="T2563" s="14"/>
    </row>
    <row r="2564" spans="1:20" x14ac:dyDescent="0.35">
      <c r="B2564" s="17"/>
      <c r="C2564" s="13"/>
      <c r="D2564" s="13"/>
      <c r="E2564" s="13"/>
      <c r="F2564" s="14"/>
      <c r="G2564" s="14"/>
      <c r="H2564" s="14"/>
      <c r="I2564" s="14"/>
      <c r="J2564" s="14"/>
      <c r="K2564" s="14"/>
      <c r="L2564" s="14"/>
      <c r="M2564" s="14"/>
      <c r="N2564" s="14"/>
      <c r="O2564" s="14"/>
      <c r="P2564" s="14"/>
      <c r="Q2564" s="14"/>
      <c r="R2564" s="14"/>
      <c r="S2564" s="14"/>
      <c r="T2564" s="14"/>
    </row>
    <row r="2565" spans="1:20" x14ac:dyDescent="0.35">
      <c r="B2565" s="17"/>
      <c r="C2565" s="13"/>
      <c r="D2565" s="13"/>
      <c r="E2565" s="13"/>
      <c r="F2565" s="14"/>
      <c r="G2565" s="14"/>
      <c r="H2565" s="14"/>
      <c r="I2565" s="14"/>
      <c r="J2565" s="14"/>
      <c r="K2565" s="14"/>
      <c r="L2565" s="14"/>
      <c r="M2565" s="14"/>
      <c r="N2565" s="14"/>
      <c r="O2565" s="14"/>
      <c r="P2565" s="14"/>
      <c r="Q2565" s="14"/>
      <c r="R2565" s="14"/>
      <c r="S2565" s="14"/>
      <c r="T2565" s="14"/>
    </row>
    <row r="2566" spans="1:20" x14ac:dyDescent="0.35">
      <c r="A2566" s="21"/>
      <c r="B2566" s="17"/>
      <c r="C2566" s="18"/>
      <c r="D2566" s="19"/>
      <c r="E2566" s="19"/>
      <c r="F2566" s="22"/>
      <c r="G2566" s="22"/>
      <c r="H2566" s="22"/>
      <c r="I2566" s="22"/>
      <c r="J2566" s="22"/>
      <c r="K2566" s="22"/>
      <c r="L2566" s="22"/>
      <c r="M2566" s="22"/>
      <c r="N2566" s="22"/>
      <c r="O2566" s="22"/>
      <c r="P2566" s="22"/>
      <c r="Q2566" s="22"/>
      <c r="R2566" s="22"/>
      <c r="S2566" s="22"/>
      <c r="T2566" s="22"/>
    </row>
    <row r="2567" spans="1:20" x14ac:dyDescent="0.35">
      <c r="A2567" s="21"/>
      <c r="B2567" s="17"/>
      <c r="C2567" s="18"/>
      <c r="D2567" s="19"/>
      <c r="E2567" s="19"/>
      <c r="F2567" s="22"/>
      <c r="G2567" s="22"/>
      <c r="H2567" s="22"/>
      <c r="I2567" s="22"/>
      <c r="J2567" s="22"/>
      <c r="K2567" s="22"/>
      <c r="L2567" s="22"/>
      <c r="M2567" s="22"/>
      <c r="N2567" s="22"/>
      <c r="O2567" s="22"/>
      <c r="P2567" s="22"/>
      <c r="Q2567" s="22"/>
      <c r="R2567" s="22"/>
      <c r="S2567" s="22"/>
      <c r="T2567" s="22"/>
    </row>
    <row r="2568" spans="1:20" x14ac:dyDescent="0.35">
      <c r="A2568" s="21"/>
      <c r="B2568" s="17"/>
      <c r="C2568" s="18"/>
      <c r="D2568" s="19"/>
      <c r="E2568" s="19"/>
      <c r="F2568" s="22"/>
      <c r="G2568" s="22"/>
      <c r="H2568" s="22"/>
      <c r="I2568" s="22"/>
      <c r="J2568" s="22"/>
      <c r="K2568" s="22"/>
      <c r="L2568" s="22"/>
      <c r="M2568" s="22"/>
      <c r="N2568" s="22"/>
      <c r="O2568" s="22"/>
      <c r="P2568" s="22"/>
      <c r="Q2568" s="22"/>
      <c r="R2568" s="22"/>
      <c r="S2568" s="22"/>
      <c r="T2568" s="22"/>
    </row>
    <row r="2569" spans="1:20" x14ac:dyDescent="0.35">
      <c r="A2569" s="21"/>
      <c r="B2569" s="17"/>
      <c r="C2569" s="18"/>
      <c r="D2569" s="19"/>
      <c r="E2569" s="19"/>
      <c r="F2569" s="22"/>
      <c r="G2569" s="22"/>
      <c r="H2569" s="22"/>
      <c r="I2569" s="22"/>
      <c r="J2569" s="22"/>
      <c r="K2569" s="22"/>
      <c r="L2569" s="22"/>
      <c r="M2569" s="22"/>
      <c r="N2569" s="22"/>
      <c r="O2569" s="22"/>
      <c r="P2569" s="22"/>
      <c r="Q2569" s="22"/>
      <c r="R2569" s="22"/>
      <c r="S2569" s="22"/>
      <c r="T2569" s="22"/>
    </row>
    <row r="2570" spans="1:20" x14ac:dyDescent="0.35">
      <c r="A2570" s="21"/>
      <c r="B2570" s="17"/>
      <c r="C2570" s="18"/>
      <c r="D2570" s="19"/>
      <c r="E2570" s="19"/>
      <c r="F2570" s="22"/>
      <c r="G2570" s="22"/>
      <c r="H2570" s="22"/>
      <c r="I2570" s="22"/>
      <c r="J2570" s="22"/>
      <c r="K2570" s="22"/>
      <c r="L2570" s="22"/>
      <c r="M2570" s="22"/>
      <c r="N2570" s="22"/>
      <c r="O2570" s="22"/>
      <c r="P2570" s="22"/>
      <c r="Q2570" s="22"/>
      <c r="R2570" s="22"/>
      <c r="S2570" s="22"/>
      <c r="T2570" s="22"/>
    </row>
    <row r="2571" spans="1:20" x14ac:dyDescent="0.35">
      <c r="A2571" s="21"/>
      <c r="B2571" s="17"/>
      <c r="C2571" s="20"/>
      <c r="D2571" s="19"/>
      <c r="E2571" s="19"/>
      <c r="F2571" s="22"/>
      <c r="G2571" s="22"/>
      <c r="H2571" s="22"/>
      <c r="I2571" s="22"/>
      <c r="J2571" s="22"/>
      <c r="K2571" s="22"/>
      <c r="L2571" s="22"/>
      <c r="M2571" s="22"/>
      <c r="N2571" s="22"/>
      <c r="O2571" s="22"/>
      <c r="P2571" s="22"/>
      <c r="Q2571" s="22"/>
      <c r="R2571" s="22"/>
      <c r="S2571" s="22"/>
      <c r="T2571" s="22"/>
    </row>
    <row r="2572" spans="1:20" x14ac:dyDescent="0.35">
      <c r="A2572" s="21"/>
      <c r="B2572" s="17"/>
      <c r="C2572" s="20"/>
      <c r="D2572" s="19"/>
      <c r="E2572" s="19"/>
      <c r="F2572" s="22"/>
      <c r="G2572" s="22"/>
      <c r="H2572" s="22"/>
      <c r="I2572" s="22"/>
      <c r="J2572" s="22"/>
      <c r="K2572" s="22"/>
      <c r="L2572" s="22"/>
      <c r="M2572" s="22"/>
      <c r="N2572" s="22"/>
      <c r="O2572" s="22"/>
      <c r="P2572" s="22"/>
      <c r="Q2572" s="22"/>
      <c r="R2572" s="22"/>
      <c r="S2572" s="22"/>
      <c r="T2572" s="22"/>
    </row>
    <row r="2573" spans="1:20" x14ac:dyDescent="0.35">
      <c r="A2573" s="21"/>
      <c r="B2573" s="17"/>
      <c r="C2573" s="20"/>
      <c r="D2573" s="19"/>
      <c r="E2573" s="19"/>
      <c r="F2573" s="22"/>
      <c r="G2573" s="22"/>
      <c r="H2573" s="22"/>
      <c r="I2573" s="22"/>
      <c r="J2573" s="22"/>
      <c r="K2573" s="22"/>
      <c r="L2573" s="22"/>
      <c r="M2573" s="22"/>
      <c r="N2573" s="22"/>
      <c r="O2573" s="22"/>
      <c r="P2573" s="22"/>
      <c r="Q2573" s="22"/>
      <c r="R2573" s="22"/>
      <c r="S2573" s="22"/>
      <c r="T2573" s="22"/>
    </row>
    <row r="2574" spans="1:20" x14ac:dyDescent="0.35">
      <c r="A2574" s="21"/>
      <c r="B2574" s="17"/>
      <c r="C2574" s="20"/>
      <c r="D2574" s="19"/>
      <c r="E2574" s="19"/>
      <c r="F2574" s="22"/>
      <c r="G2574" s="22"/>
      <c r="H2574" s="22"/>
      <c r="I2574" s="22"/>
      <c r="J2574" s="22"/>
      <c r="K2574" s="22"/>
      <c r="L2574" s="22"/>
      <c r="M2574" s="22"/>
      <c r="N2574" s="22"/>
      <c r="O2574" s="22"/>
      <c r="P2574" s="22"/>
      <c r="Q2574" s="22"/>
      <c r="R2574" s="22"/>
      <c r="S2574" s="22"/>
      <c r="T2574" s="22"/>
    </row>
    <row r="2575" spans="1:20" x14ac:dyDescent="0.35">
      <c r="A2575" s="21"/>
      <c r="B2575" s="17"/>
      <c r="C2575" s="13"/>
      <c r="D2575" s="13"/>
      <c r="E2575" s="13"/>
      <c r="F2575" s="14"/>
      <c r="G2575" s="14"/>
      <c r="H2575" s="14"/>
      <c r="I2575" s="14"/>
      <c r="J2575" s="14"/>
      <c r="K2575" s="14"/>
      <c r="L2575" s="14"/>
      <c r="M2575" s="14"/>
      <c r="N2575" s="14"/>
      <c r="O2575" s="14"/>
      <c r="P2575" s="14"/>
      <c r="Q2575" s="14"/>
      <c r="R2575" s="14"/>
      <c r="S2575" s="14"/>
      <c r="T2575" s="14"/>
    </row>
    <row r="2576" spans="1:20" x14ac:dyDescent="0.35">
      <c r="A2576" s="21"/>
      <c r="B2576" s="17"/>
      <c r="C2576" s="13"/>
      <c r="D2576" s="13"/>
      <c r="E2576" s="13"/>
      <c r="F2576" s="14"/>
      <c r="G2576" s="14"/>
      <c r="H2576" s="14"/>
      <c r="I2576" s="14"/>
      <c r="J2576" s="14"/>
      <c r="K2576" s="14"/>
      <c r="L2576" s="14"/>
      <c r="M2576" s="14"/>
      <c r="N2576" s="14"/>
      <c r="O2576" s="14"/>
      <c r="P2576" s="14"/>
      <c r="Q2576" s="14"/>
      <c r="R2576" s="14"/>
      <c r="S2576" s="14"/>
      <c r="T2576" s="14"/>
    </row>
    <row r="2577" spans="1:20" x14ac:dyDescent="0.35">
      <c r="A2577" s="21"/>
      <c r="B2577" s="17"/>
      <c r="C2577" s="13"/>
      <c r="D2577" s="13"/>
      <c r="E2577" s="13"/>
      <c r="F2577" s="14"/>
      <c r="G2577" s="14"/>
      <c r="H2577" s="14"/>
      <c r="I2577" s="14"/>
      <c r="J2577" s="14"/>
      <c r="K2577" s="14"/>
      <c r="L2577" s="14"/>
      <c r="M2577" s="14"/>
      <c r="N2577" s="14"/>
      <c r="O2577" s="14"/>
      <c r="P2577" s="14"/>
      <c r="Q2577" s="14"/>
      <c r="R2577" s="14"/>
      <c r="S2577" s="14"/>
      <c r="T2577" s="14"/>
    </row>
    <row r="2578" spans="1:20" x14ac:dyDescent="0.35">
      <c r="A2578" s="21"/>
      <c r="B2578" s="17"/>
      <c r="C2578" s="13"/>
      <c r="D2578" s="13"/>
      <c r="E2578" s="13"/>
      <c r="F2578" s="14"/>
      <c r="G2578" s="14"/>
      <c r="H2578" s="14"/>
      <c r="I2578" s="14"/>
      <c r="J2578" s="14"/>
      <c r="K2578" s="14"/>
      <c r="L2578" s="14"/>
      <c r="M2578" s="14"/>
      <c r="N2578" s="14"/>
      <c r="O2578" s="14"/>
      <c r="P2578" s="14"/>
      <c r="Q2578" s="14"/>
      <c r="R2578" s="14"/>
      <c r="S2578" s="14"/>
      <c r="T2578" s="14"/>
    </row>
    <row r="2579" spans="1:20" x14ac:dyDescent="0.35">
      <c r="A2579" s="21"/>
      <c r="B2579" s="17"/>
      <c r="C2579" s="13"/>
      <c r="D2579" s="13"/>
      <c r="E2579" s="13"/>
      <c r="F2579" s="14"/>
      <c r="G2579" s="14"/>
      <c r="H2579" s="14"/>
      <c r="I2579" s="14"/>
      <c r="J2579" s="14"/>
      <c r="K2579" s="14"/>
      <c r="L2579" s="14"/>
      <c r="M2579" s="14"/>
      <c r="N2579" s="14"/>
      <c r="O2579" s="14"/>
      <c r="P2579" s="14"/>
      <c r="Q2579" s="14"/>
      <c r="R2579" s="14"/>
      <c r="S2579" s="14"/>
      <c r="T2579" s="14"/>
    </row>
    <row r="2580" spans="1:20" x14ac:dyDescent="0.35">
      <c r="A2580" s="21"/>
      <c r="B2580" s="17"/>
      <c r="C2580" s="13"/>
      <c r="D2580" s="13"/>
      <c r="E2580" s="13"/>
      <c r="F2580" s="14"/>
      <c r="G2580" s="14"/>
      <c r="H2580" s="14"/>
      <c r="I2580" s="14"/>
      <c r="J2580" s="14"/>
      <c r="K2580" s="14"/>
      <c r="L2580" s="14"/>
      <c r="M2580" s="14"/>
      <c r="N2580" s="14"/>
      <c r="O2580" s="14"/>
      <c r="P2580" s="14"/>
      <c r="Q2580" s="14"/>
      <c r="R2580" s="14"/>
      <c r="S2580" s="14"/>
      <c r="T2580" s="14"/>
    </row>
    <row r="2581" spans="1:20" x14ac:dyDescent="0.35">
      <c r="A2581" s="21"/>
      <c r="B2581" s="17"/>
      <c r="C2581" s="13"/>
      <c r="D2581" s="13"/>
      <c r="E2581" s="13"/>
      <c r="F2581" s="14"/>
      <c r="G2581" s="14"/>
      <c r="H2581" s="14"/>
      <c r="I2581" s="14"/>
      <c r="J2581" s="14"/>
      <c r="K2581" s="14"/>
      <c r="L2581" s="14"/>
      <c r="M2581" s="14"/>
      <c r="N2581" s="14"/>
      <c r="O2581" s="14"/>
      <c r="P2581" s="14"/>
      <c r="Q2581" s="14"/>
      <c r="R2581" s="14"/>
      <c r="S2581" s="14"/>
      <c r="T2581" s="14"/>
    </row>
    <row r="2582" spans="1:20" x14ac:dyDescent="0.35">
      <c r="A2582" s="21"/>
      <c r="B2582" s="17"/>
      <c r="C2582" s="13"/>
      <c r="D2582" s="13"/>
      <c r="E2582" s="13"/>
      <c r="F2582" s="14"/>
      <c r="G2582" s="14"/>
      <c r="H2582" s="14"/>
      <c r="I2582" s="14"/>
      <c r="J2582" s="14"/>
      <c r="K2582" s="14"/>
      <c r="L2582" s="14"/>
      <c r="M2582" s="14"/>
      <c r="N2582" s="14"/>
      <c r="O2582" s="14"/>
      <c r="P2582" s="14"/>
      <c r="Q2582" s="14"/>
      <c r="R2582" s="14"/>
      <c r="S2582" s="14"/>
      <c r="T2582" s="14"/>
    </row>
    <row r="2583" spans="1:20" x14ac:dyDescent="0.35">
      <c r="A2583" s="21"/>
      <c r="B2583" s="17"/>
      <c r="C2583" s="13"/>
      <c r="D2583" s="13"/>
      <c r="E2583" s="13"/>
      <c r="F2583" s="14"/>
      <c r="G2583" s="14"/>
      <c r="H2583" s="14"/>
      <c r="I2583" s="14"/>
      <c r="J2583" s="14"/>
      <c r="K2583" s="14"/>
      <c r="L2583" s="14"/>
      <c r="M2583" s="14"/>
      <c r="N2583" s="14"/>
      <c r="O2583" s="14"/>
      <c r="P2583" s="14"/>
      <c r="Q2583" s="14"/>
      <c r="R2583" s="14"/>
      <c r="S2583" s="14"/>
      <c r="T2583" s="14"/>
    </row>
    <row r="2584" spans="1:20" x14ac:dyDescent="0.35">
      <c r="A2584" s="21"/>
      <c r="B2584" s="17"/>
      <c r="C2584" s="13"/>
      <c r="D2584" s="13"/>
      <c r="E2584" s="13"/>
      <c r="F2584" s="14"/>
      <c r="G2584" s="14"/>
      <c r="H2584" s="14"/>
      <c r="I2584" s="14"/>
      <c r="J2584" s="14"/>
      <c r="K2584" s="14"/>
      <c r="L2584" s="14"/>
      <c r="M2584" s="14"/>
      <c r="N2584" s="14"/>
      <c r="O2584" s="14"/>
      <c r="P2584" s="14"/>
      <c r="Q2584" s="14"/>
      <c r="R2584" s="14"/>
      <c r="S2584" s="14"/>
      <c r="T2584" s="14"/>
    </row>
    <row r="2585" spans="1:20" x14ac:dyDescent="0.35">
      <c r="A2585" s="21"/>
      <c r="B2585" s="17"/>
      <c r="C2585" s="13"/>
      <c r="D2585" s="13"/>
      <c r="E2585" s="13"/>
      <c r="F2585" s="14"/>
      <c r="G2585" s="14"/>
      <c r="H2585" s="14"/>
      <c r="I2585" s="14"/>
      <c r="J2585" s="14"/>
      <c r="K2585" s="14"/>
      <c r="L2585" s="14"/>
      <c r="M2585" s="14"/>
      <c r="N2585" s="14"/>
      <c r="O2585" s="14"/>
      <c r="P2585" s="14"/>
      <c r="Q2585" s="14"/>
      <c r="R2585" s="14"/>
      <c r="S2585" s="14"/>
      <c r="T2585" s="14"/>
    </row>
    <row r="2586" spans="1:20" x14ac:dyDescent="0.35">
      <c r="A2586" s="21"/>
      <c r="B2586" s="17"/>
      <c r="C2586" s="13"/>
      <c r="D2586" s="13"/>
      <c r="E2586" s="13"/>
      <c r="F2586" s="14"/>
      <c r="G2586" s="14"/>
      <c r="H2586" s="14"/>
      <c r="I2586" s="14"/>
      <c r="J2586" s="14"/>
      <c r="K2586" s="14"/>
      <c r="L2586" s="14"/>
      <c r="M2586" s="14"/>
      <c r="N2586" s="14"/>
      <c r="O2586" s="14"/>
      <c r="P2586" s="14"/>
      <c r="Q2586" s="14"/>
      <c r="R2586" s="14"/>
      <c r="S2586" s="14"/>
      <c r="T2586" s="14"/>
    </row>
    <row r="2587" spans="1:20" x14ac:dyDescent="0.35">
      <c r="A2587" s="21"/>
      <c r="B2587" s="17"/>
      <c r="C2587" s="13"/>
      <c r="D2587" s="13"/>
      <c r="E2587" s="13"/>
      <c r="F2587" s="14"/>
      <c r="G2587" s="14"/>
      <c r="H2587" s="14"/>
      <c r="I2587" s="14"/>
      <c r="J2587" s="14"/>
      <c r="K2587" s="14"/>
      <c r="L2587" s="14"/>
      <c r="M2587" s="14"/>
      <c r="N2587" s="14"/>
      <c r="O2587" s="14"/>
      <c r="P2587" s="14"/>
      <c r="Q2587" s="14"/>
      <c r="R2587" s="14"/>
      <c r="S2587" s="14"/>
      <c r="T2587" s="14"/>
    </row>
    <row r="2588" spans="1:20" x14ac:dyDescent="0.35">
      <c r="A2588" s="21"/>
      <c r="B2588" s="17"/>
      <c r="C2588" s="13"/>
      <c r="D2588" s="13"/>
      <c r="E2588" s="13"/>
      <c r="F2588" s="14"/>
      <c r="G2588" s="14"/>
      <c r="H2588" s="14"/>
      <c r="I2588" s="14"/>
      <c r="J2588" s="14"/>
      <c r="K2588" s="14"/>
      <c r="L2588" s="14"/>
      <c r="M2588" s="14"/>
      <c r="N2588" s="14"/>
      <c r="O2588" s="14"/>
      <c r="P2588" s="14"/>
      <c r="Q2588" s="14"/>
      <c r="R2588" s="14"/>
      <c r="S2588" s="14"/>
      <c r="T2588" s="14"/>
    </row>
    <row r="2589" spans="1:20" x14ac:dyDescent="0.35">
      <c r="A2589" s="21"/>
      <c r="B2589" s="17"/>
      <c r="C2589" s="13"/>
      <c r="D2589" s="13"/>
      <c r="E2589" s="13"/>
      <c r="F2589" s="14"/>
      <c r="G2589" s="14"/>
      <c r="H2589" s="14"/>
      <c r="I2589" s="14"/>
      <c r="J2589" s="14"/>
      <c r="K2589" s="14"/>
      <c r="L2589" s="14"/>
      <c r="M2589" s="14"/>
      <c r="N2589" s="14"/>
      <c r="O2589" s="14"/>
      <c r="P2589" s="14"/>
      <c r="Q2589" s="14"/>
      <c r="R2589" s="14"/>
      <c r="S2589" s="14"/>
      <c r="T2589" s="14"/>
    </row>
    <row r="2590" spans="1:20" x14ac:dyDescent="0.35">
      <c r="A2590" s="21"/>
      <c r="B2590" s="17"/>
      <c r="C2590" s="18"/>
      <c r="D2590" s="19"/>
      <c r="E2590" s="19"/>
      <c r="F2590" s="22"/>
      <c r="G2590" s="22"/>
      <c r="H2590" s="22"/>
      <c r="I2590" s="22"/>
      <c r="J2590" s="22"/>
      <c r="K2590" s="22"/>
      <c r="L2590" s="22"/>
      <c r="M2590" s="22"/>
      <c r="N2590" s="22"/>
      <c r="O2590" s="22"/>
      <c r="P2590" s="22"/>
      <c r="Q2590" s="22"/>
      <c r="R2590" s="22"/>
      <c r="S2590" s="22"/>
      <c r="T2590" s="22"/>
    </row>
    <row r="2591" spans="1:20" x14ac:dyDescent="0.35">
      <c r="A2591" s="21"/>
      <c r="B2591" s="17"/>
      <c r="C2591" s="18"/>
      <c r="D2591" s="19"/>
      <c r="E2591" s="19"/>
      <c r="F2591" s="22"/>
      <c r="G2591" s="22"/>
      <c r="H2591" s="22"/>
      <c r="I2591" s="22"/>
      <c r="J2591" s="22"/>
      <c r="K2591" s="22"/>
      <c r="L2591" s="22"/>
      <c r="M2591" s="22"/>
      <c r="N2591" s="22"/>
      <c r="O2591" s="22"/>
      <c r="P2591" s="22"/>
      <c r="Q2591" s="22"/>
      <c r="R2591" s="22"/>
      <c r="S2591" s="22"/>
      <c r="T2591" s="22"/>
    </row>
    <row r="2592" spans="1:20" x14ac:dyDescent="0.35">
      <c r="A2592" s="21"/>
      <c r="B2592" s="17"/>
      <c r="C2592" s="18"/>
      <c r="D2592" s="19"/>
      <c r="E2592" s="19"/>
      <c r="F2592" s="22"/>
      <c r="G2592" s="22"/>
      <c r="H2592" s="22"/>
      <c r="I2592" s="22"/>
      <c r="J2592" s="22"/>
      <c r="K2592" s="22"/>
      <c r="L2592" s="22"/>
      <c r="M2592" s="22"/>
      <c r="N2592" s="22"/>
      <c r="O2592" s="22"/>
      <c r="P2592" s="22"/>
      <c r="Q2592" s="22"/>
      <c r="R2592" s="22"/>
      <c r="S2592" s="22"/>
      <c r="T2592" s="22"/>
    </row>
    <row r="2593" spans="1:20" x14ac:dyDescent="0.35">
      <c r="A2593" s="21"/>
      <c r="B2593" s="17"/>
      <c r="C2593" s="18"/>
      <c r="D2593" s="19"/>
      <c r="E2593" s="19"/>
      <c r="F2593" s="22"/>
      <c r="G2593" s="22"/>
      <c r="H2593" s="22"/>
      <c r="I2593" s="22"/>
      <c r="J2593" s="22"/>
      <c r="K2593" s="22"/>
      <c r="L2593" s="22"/>
      <c r="M2593" s="22"/>
      <c r="N2593" s="22"/>
      <c r="O2593" s="22"/>
      <c r="P2593" s="22"/>
      <c r="Q2593" s="22"/>
      <c r="R2593" s="22"/>
      <c r="S2593" s="22"/>
      <c r="T2593" s="22"/>
    </row>
    <row r="2594" spans="1:20" x14ac:dyDescent="0.35">
      <c r="A2594" s="21"/>
      <c r="B2594" s="17"/>
      <c r="C2594" s="18"/>
      <c r="D2594" s="19"/>
      <c r="E2594" s="19"/>
      <c r="F2594" s="22"/>
      <c r="G2594" s="22"/>
      <c r="H2594" s="22"/>
      <c r="I2594" s="22"/>
      <c r="J2594" s="22"/>
      <c r="K2594" s="22"/>
      <c r="L2594" s="22"/>
      <c r="M2594" s="22"/>
      <c r="N2594" s="22"/>
      <c r="O2594" s="22"/>
      <c r="P2594" s="22"/>
      <c r="Q2594" s="22"/>
      <c r="R2594" s="22"/>
      <c r="S2594" s="22"/>
      <c r="T2594" s="22"/>
    </row>
    <row r="2595" spans="1:20" x14ac:dyDescent="0.35">
      <c r="A2595" s="21"/>
      <c r="B2595" s="17"/>
      <c r="C2595" s="18"/>
      <c r="D2595" s="19"/>
      <c r="E2595" s="19"/>
      <c r="F2595" s="22"/>
      <c r="G2595" s="22"/>
      <c r="H2595" s="22"/>
      <c r="I2595" s="22"/>
      <c r="J2595" s="22"/>
      <c r="K2595" s="22"/>
      <c r="L2595" s="22"/>
      <c r="M2595" s="22"/>
      <c r="N2595" s="22"/>
      <c r="O2595" s="22"/>
      <c r="P2595" s="22"/>
      <c r="Q2595" s="22"/>
      <c r="R2595" s="22"/>
      <c r="S2595" s="22"/>
      <c r="T2595" s="22"/>
    </row>
    <row r="2596" spans="1:20" x14ac:dyDescent="0.35">
      <c r="A2596" s="21"/>
      <c r="B2596" s="17"/>
      <c r="C2596" s="18"/>
      <c r="D2596" s="19"/>
      <c r="E2596" s="19"/>
      <c r="F2596" s="22"/>
      <c r="G2596" s="22"/>
      <c r="H2596" s="22"/>
      <c r="I2596" s="22"/>
      <c r="J2596" s="22"/>
      <c r="K2596" s="22"/>
      <c r="L2596" s="22"/>
      <c r="M2596" s="22"/>
      <c r="N2596" s="22"/>
      <c r="O2596" s="22"/>
      <c r="P2596" s="22"/>
      <c r="Q2596" s="22"/>
      <c r="R2596" s="22"/>
      <c r="S2596" s="22"/>
      <c r="T2596" s="22"/>
    </row>
    <row r="2597" spans="1:20" x14ac:dyDescent="0.35">
      <c r="A2597" s="21"/>
      <c r="B2597" s="17"/>
      <c r="C2597" s="18"/>
      <c r="D2597" s="19"/>
      <c r="E2597" s="19"/>
      <c r="F2597" s="22"/>
      <c r="G2597" s="22"/>
      <c r="H2597" s="22"/>
      <c r="I2597" s="22"/>
      <c r="J2597" s="22"/>
      <c r="K2597" s="22"/>
      <c r="L2597" s="22"/>
      <c r="M2597" s="22"/>
      <c r="N2597" s="22"/>
      <c r="O2597" s="22"/>
      <c r="P2597" s="22"/>
      <c r="Q2597" s="22"/>
      <c r="R2597" s="22"/>
      <c r="S2597" s="22"/>
      <c r="T2597" s="22"/>
    </row>
    <row r="2598" spans="1:20" x14ac:dyDescent="0.35">
      <c r="A2598" s="21"/>
      <c r="B2598" s="17"/>
      <c r="C2598" s="18"/>
      <c r="D2598" s="19"/>
      <c r="E2598" s="19"/>
      <c r="F2598" s="22"/>
      <c r="G2598" s="22"/>
      <c r="H2598" s="22"/>
      <c r="I2598" s="22"/>
      <c r="J2598" s="22"/>
      <c r="K2598" s="22"/>
      <c r="L2598" s="22"/>
      <c r="M2598" s="22"/>
      <c r="N2598" s="22"/>
      <c r="O2598" s="22"/>
      <c r="P2598" s="22"/>
      <c r="Q2598" s="22"/>
      <c r="R2598" s="22"/>
      <c r="S2598" s="22"/>
      <c r="T2598" s="22"/>
    </row>
    <row r="2599" spans="1:20" x14ac:dyDescent="0.35">
      <c r="A2599" s="21"/>
      <c r="B2599" s="17"/>
      <c r="C2599" s="18"/>
      <c r="D2599" s="19"/>
      <c r="E2599" s="19"/>
      <c r="F2599" s="22"/>
      <c r="G2599" s="22"/>
      <c r="H2599" s="22"/>
      <c r="I2599" s="22"/>
      <c r="J2599" s="22"/>
      <c r="K2599" s="22"/>
      <c r="L2599" s="22"/>
      <c r="M2599" s="22"/>
      <c r="N2599" s="22"/>
      <c r="O2599" s="22"/>
      <c r="P2599" s="22"/>
      <c r="Q2599" s="22"/>
      <c r="R2599" s="22"/>
      <c r="S2599" s="22"/>
      <c r="T2599" s="22"/>
    </row>
    <row r="2600" spans="1:20" x14ac:dyDescent="0.35">
      <c r="A2600" s="21"/>
      <c r="B2600" s="17"/>
      <c r="C2600" s="18"/>
      <c r="D2600" s="19"/>
      <c r="E2600" s="19"/>
      <c r="F2600" s="22"/>
      <c r="G2600" s="22"/>
      <c r="H2600" s="22"/>
      <c r="I2600" s="22"/>
      <c r="J2600" s="22"/>
      <c r="K2600" s="22"/>
      <c r="L2600" s="22"/>
      <c r="M2600" s="22"/>
      <c r="N2600" s="22"/>
      <c r="O2600" s="22"/>
      <c r="P2600" s="22"/>
      <c r="Q2600" s="22"/>
      <c r="R2600" s="22"/>
      <c r="S2600" s="22"/>
      <c r="T2600" s="22"/>
    </row>
    <row r="2601" spans="1:20" x14ac:dyDescent="0.35">
      <c r="A2601" s="21"/>
      <c r="B2601" s="17"/>
      <c r="C2601" s="18"/>
      <c r="D2601" s="19"/>
      <c r="E2601" s="19"/>
      <c r="F2601" s="22"/>
      <c r="G2601" s="22"/>
      <c r="H2601" s="22"/>
      <c r="I2601" s="22"/>
      <c r="J2601" s="22"/>
      <c r="K2601" s="22"/>
      <c r="L2601" s="22"/>
      <c r="M2601" s="22"/>
      <c r="N2601" s="22"/>
      <c r="O2601" s="22"/>
      <c r="P2601" s="22"/>
      <c r="Q2601" s="22"/>
      <c r="R2601" s="22"/>
      <c r="S2601" s="22"/>
      <c r="T2601" s="22"/>
    </row>
    <row r="2602" spans="1:20" x14ac:dyDescent="0.35">
      <c r="A2602" s="21"/>
      <c r="B2602" s="17"/>
      <c r="C2602" s="18"/>
      <c r="D2602" s="19"/>
      <c r="E2602" s="19"/>
      <c r="F2602" s="22"/>
      <c r="G2602" s="22"/>
      <c r="H2602" s="22"/>
      <c r="I2602" s="22"/>
      <c r="J2602" s="22"/>
      <c r="K2602" s="22"/>
      <c r="L2602" s="22"/>
      <c r="M2602" s="22"/>
      <c r="N2602" s="22"/>
      <c r="O2602" s="22"/>
      <c r="P2602" s="22"/>
      <c r="Q2602" s="22"/>
      <c r="R2602" s="22"/>
      <c r="S2602" s="22"/>
      <c r="T2602" s="22"/>
    </row>
    <row r="2603" spans="1:20" x14ac:dyDescent="0.35">
      <c r="A2603" s="21"/>
      <c r="B2603" s="17"/>
      <c r="C2603" s="18"/>
      <c r="D2603" s="19"/>
      <c r="E2603" s="19"/>
      <c r="F2603" s="22"/>
      <c r="G2603" s="22"/>
      <c r="H2603" s="22"/>
      <c r="I2603" s="22"/>
      <c r="J2603" s="22"/>
      <c r="K2603" s="22"/>
      <c r="L2603" s="22"/>
      <c r="M2603" s="22"/>
      <c r="N2603" s="22"/>
      <c r="O2603" s="22"/>
      <c r="P2603" s="22"/>
      <c r="Q2603" s="22"/>
      <c r="R2603" s="22"/>
      <c r="S2603" s="22"/>
      <c r="T2603" s="22"/>
    </row>
    <row r="2604" spans="1:20" x14ac:dyDescent="0.35">
      <c r="A2604" s="21"/>
      <c r="B2604" s="17"/>
      <c r="C2604" s="18"/>
      <c r="D2604" s="19"/>
      <c r="E2604" s="19"/>
      <c r="F2604" s="22"/>
      <c r="G2604" s="22"/>
      <c r="H2604" s="22"/>
      <c r="I2604" s="22"/>
      <c r="J2604" s="22"/>
      <c r="K2604" s="22"/>
      <c r="L2604" s="22"/>
      <c r="M2604" s="22"/>
      <c r="N2604" s="22"/>
      <c r="O2604" s="22"/>
      <c r="P2604" s="22"/>
      <c r="Q2604" s="22"/>
      <c r="R2604" s="22"/>
      <c r="S2604" s="22"/>
      <c r="T2604" s="22"/>
    </row>
    <row r="2605" spans="1:20" x14ac:dyDescent="0.35">
      <c r="A2605" s="21"/>
      <c r="B2605" s="17"/>
      <c r="C2605" s="18"/>
      <c r="D2605" s="19"/>
      <c r="E2605" s="19"/>
      <c r="F2605" s="22"/>
      <c r="G2605" s="22"/>
      <c r="H2605" s="22"/>
      <c r="I2605" s="22"/>
      <c r="J2605" s="22"/>
      <c r="K2605" s="22"/>
      <c r="L2605" s="22"/>
      <c r="M2605" s="22"/>
      <c r="N2605" s="22"/>
      <c r="O2605" s="22"/>
      <c r="P2605" s="22"/>
      <c r="Q2605" s="22"/>
      <c r="R2605" s="22"/>
      <c r="S2605" s="22"/>
      <c r="T2605" s="22"/>
    </row>
    <row r="2606" spans="1:20" x14ac:dyDescent="0.35">
      <c r="A2606" s="21"/>
      <c r="B2606" s="17"/>
      <c r="C2606" s="13"/>
      <c r="D2606" s="13"/>
      <c r="E2606" s="13"/>
      <c r="F2606" s="14"/>
      <c r="G2606" s="14"/>
      <c r="H2606" s="14"/>
      <c r="I2606" s="14"/>
      <c r="J2606" s="14"/>
      <c r="K2606" s="14"/>
      <c r="L2606" s="14"/>
      <c r="M2606" s="14"/>
      <c r="N2606" s="14"/>
      <c r="O2606" s="14"/>
      <c r="P2606" s="14"/>
      <c r="Q2606" s="14"/>
      <c r="R2606" s="14"/>
      <c r="S2606" s="14"/>
      <c r="T2606" s="14"/>
    </row>
    <row r="2607" spans="1:20" x14ac:dyDescent="0.35">
      <c r="A2607" s="21"/>
      <c r="B2607" s="17"/>
      <c r="C2607" s="13"/>
      <c r="D2607" s="13"/>
      <c r="E2607" s="13"/>
      <c r="F2607" s="14"/>
      <c r="G2607" s="14"/>
      <c r="H2607" s="14"/>
      <c r="I2607" s="14"/>
      <c r="J2607" s="14"/>
      <c r="K2607" s="14"/>
      <c r="L2607" s="14"/>
      <c r="M2607" s="14"/>
      <c r="N2607" s="14"/>
      <c r="O2607" s="14"/>
      <c r="P2607" s="14"/>
      <c r="Q2607" s="14"/>
      <c r="R2607" s="14"/>
      <c r="S2607" s="14"/>
      <c r="T2607" s="14"/>
    </row>
    <row r="2608" spans="1:20" x14ac:dyDescent="0.35">
      <c r="A2608" s="21"/>
      <c r="B2608" s="17"/>
      <c r="C2608" s="13"/>
      <c r="D2608" s="13"/>
      <c r="E2608" s="13"/>
      <c r="F2608" s="14"/>
      <c r="G2608" s="14"/>
      <c r="H2608" s="14"/>
      <c r="I2608" s="14"/>
      <c r="J2608" s="14"/>
      <c r="K2608" s="14"/>
      <c r="L2608" s="14"/>
      <c r="M2608" s="14"/>
      <c r="N2608" s="14"/>
      <c r="O2608" s="14"/>
      <c r="P2608" s="14"/>
      <c r="Q2608" s="14"/>
      <c r="R2608" s="14"/>
      <c r="S2608" s="14"/>
      <c r="T2608" s="14"/>
    </row>
    <row r="2609" spans="1:20" x14ac:dyDescent="0.35">
      <c r="A2609" s="21"/>
      <c r="B2609" s="17"/>
      <c r="C2609" s="13"/>
      <c r="D2609" s="13"/>
      <c r="E2609" s="13"/>
      <c r="F2609" s="14"/>
      <c r="G2609" s="14"/>
      <c r="H2609" s="14"/>
      <c r="I2609" s="14"/>
      <c r="J2609" s="14"/>
      <c r="K2609" s="14"/>
      <c r="L2609" s="14"/>
      <c r="M2609" s="14"/>
      <c r="N2609" s="14"/>
      <c r="O2609" s="14"/>
      <c r="P2609" s="14"/>
      <c r="Q2609" s="14"/>
      <c r="R2609" s="14"/>
      <c r="S2609" s="14"/>
      <c r="T2609" s="14"/>
    </row>
    <row r="2610" spans="1:20" x14ac:dyDescent="0.35">
      <c r="A2610" s="21"/>
      <c r="B2610" s="17"/>
      <c r="C2610" s="13"/>
      <c r="D2610" s="13"/>
      <c r="E2610" s="13"/>
      <c r="F2610" s="14"/>
      <c r="G2610" s="14"/>
      <c r="H2610" s="14"/>
      <c r="I2610" s="14"/>
      <c r="J2610" s="14"/>
      <c r="K2610" s="14"/>
      <c r="L2610" s="14"/>
      <c r="M2610" s="14"/>
      <c r="N2610" s="14"/>
      <c r="O2610" s="14"/>
      <c r="P2610" s="14"/>
      <c r="Q2610" s="14"/>
      <c r="R2610" s="14"/>
      <c r="S2610" s="14"/>
      <c r="T2610" s="14"/>
    </row>
    <row r="2611" spans="1:20" x14ac:dyDescent="0.35">
      <c r="A2611" s="21"/>
      <c r="B2611" s="17"/>
      <c r="C2611" s="13"/>
      <c r="D2611" s="13"/>
      <c r="E2611" s="13"/>
      <c r="F2611" s="14"/>
      <c r="G2611" s="14"/>
      <c r="H2611" s="14"/>
      <c r="I2611" s="14"/>
      <c r="J2611" s="14"/>
      <c r="K2611" s="14"/>
      <c r="L2611" s="14"/>
      <c r="M2611" s="14"/>
      <c r="N2611" s="14"/>
      <c r="O2611" s="14"/>
      <c r="P2611" s="14"/>
      <c r="Q2611" s="14"/>
      <c r="R2611" s="14"/>
      <c r="S2611" s="14"/>
      <c r="T2611" s="14"/>
    </row>
    <row r="2612" spans="1:20" x14ac:dyDescent="0.35">
      <c r="A2612" s="21"/>
      <c r="B2612" s="17"/>
      <c r="C2612" s="13"/>
      <c r="D2612" s="13"/>
      <c r="E2612" s="13"/>
      <c r="F2612" s="14"/>
      <c r="G2612" s="14"/>
      <c r="H2612" s="14"/>
      <c r="I2612" s="14"/>
      <c r="J2612" s="14"/>
      <c r="K2612" s="14"/>
      <c r="L2612" s="14"/>
      <c r="M2612" s="14"/>
      <c r="N2612" s="14"/>
      <c r="O2612" s="14"/>
      <c r="P2612" s="14"/>
      <c r="Q2612" s="14"/>
      <c r="R2612" s="14"/>
      <c r="S2612" s="14"/>
      <c r="T2612" s="14"/>
    </row>
    <row r="2613" spans="1:20" x14ac:dyDescent="0.35">
      <c r="A2613" s="21"/>
      <c r="B2613" s="17"/>
      <c r="F2613" s="14"/>
      <c r="G2613" s="14"/>
      <c r="H2613" s="14"/>
      <c r="I2613" s="14"/>
      <c r="J2613" s="14"/>
      <c r="K2613" s="14"/>
      <c r="L2613" s="14"/>
      <c r="M2613" s="14"/>
      <c r="N2613" s="14"/>
      <c r="O2613" s="14"/>
      <c r="P2613" s="14"/>
      <c r="Q2613" s="14"/>
      <c r="R2613" s="14"/>
      <c r="S2613" s="14"/>
      <c r="T2613" s="14"/>
    </row>
    <row r="2614" spans="1:20" x14ac:dyDescent="0.35">
      <c r="A2614" s="21"/>
      <c r="B2614" s="17"/>
      <c r="F2614" s="14"/>
      <c r="G2614" s="14"/>
      <c r="H2614" s="14"/>
      <c r="I2614" s="14"/>
      <c r="J2614" s="14"/>
      <c r="K2614" s="14"/>
      <c r="L2614" s="14"/>
      <c r="M2614" s="14"/>
      <c r="N2614" s="14"/>
      <c r="O2614" s="14"/>
      <c r="P2614" s="14"/>
      <c r="Q2614" s="14"/>
      <c r="R2614" s="14"/>
      <c r="S2614" s="14"/>
      <c r="T2614" s="14"/>
    </row>
    <row r="2615" spans="1:20" x14ac:dyDescent="0.35">
      <c r="A2615" s="21"/>
      <c r="B2615" s="17"/>
      <c r="F2615" s="14"/>
      <c r="G2615" s="14"/>
      <c r="H2615" s="14"/>
      <c r="I2615" s="14"/>
      <c r="J2615" s="14"/>
      <c r="K2615" s="14"/>
      <c r="L2615" s="14"/>
      <c r="M2615" s="14"/>
      <c r="N2615" s="14"/>
      <c r="O2615" s="14"/>
      <c r="P2615" s="14"/>
      <c r="Q2615" s="14"/>
      <c r="R2615" s="14"/>
      <c r="S2615" s="14"/>
      <c r="T2615" s="14"/>
    </row>
    <row r="2616" spans="1:20" x14ac:dyDescent="0.35">
      <c r="A2616" s="21"/>
      <c r="B2616" s="17"/>
      <c r="F2616" s="14"/>
      <c r="G2616" s="14"/>
      <c r="H2616" s="14"/>
      <c r="I2616" s="14"/>
      <c r="J2616" s="14"/>
      <c r="K2616" s="14"/>
      <c r="L2616" s="14"/>
      <c r="M2616" s="14"/>
      <c r="N2616" s="14"/>
      <c r="O2616" s="14"/>
      <c r="P2616" s="14"/>
      <c r="Q2616" s="14"/>
      <c r="R2616" s="14"/>
      <c r="S2616" s="14"/>
      <c r="T2616" s="14"/>
    </row>
    <row r="2617" spans="1:20" x14ac:dyDescent="0.35">
      <c r="B2617" s="17"/>
      <c r="C2617" s="18"/>
      <c r="D2617" s="19"/>
      <c r="E2617" s="19"/>
      <c r="F2617" s="22"/>
      <c r="G2617" s="22"/>
      <c r="H2617" s="22"/>
      <c r="I2617" s="22"/>
      <c r="J2617" s="22"/>
      <c r="K2617" s="22"/>
      <c r="L2617" s="22"/>
      <c r="M2617" s="22"/>
      <c r="N2617" s="22"/>
      <c r="O2617" s="22"/>
      <c r="P2617" s="22"/>
      <c r="Q2617" s="22"/>
      <c r="R2617" s="22"/>
      <c r="S2617" s="22"/>
      <c r="T2617" s="22"/>
    </row>
    <row r="2618" spans="1:20" x14ac:dyDescent="0.35">
      <c r="B2618" s="17"/>
      <c r="C2618" s="18"/>
      <c r="D2618" s="19"/>
      <c r="E2618" s="19"/>
      <c r="F2618" s="22"/>
      <c r="G2618" s="22"/>
      <c r="H2618" s="22"/>
      <c r="I2618" s="22"/>
      <c r="J2618" s="22"/>
      <c r="K2618" s="22"/>
      <c r="L2618" s="22"/>
      <c r="M2618" s="22"/>
      <c r="N2618" s="22"/>
      <c r="O2618" s="22"/>
      <c r="P2618" s="22"/>
      <c r="Q2618" s="22"/>
      <c r="R2618" s="22"/>
      <c r="S2618" s="22"/>
      <c r="T2618" s="22"/>
    </row>
    <row r="2619" spans="1:20" x14ac:dyDescent="0.35">
      <c r="B2619" s="17"/>
      <c r="C2619" s="18"/>
      <c r="D2619" s="19"/>
      <c r="E2619" s="19"/>
      <c r="F2619" s="22"/>
      <c r="G2619" s="22"/>
      <c r="H2619" s="22"/>
      <c r="I2619" s="22"/>
      <c r="J2619" s="22"/>
      <c r="K2619" s="22"/>
      <c r="L2619" s="22"/>
      <c r="M2619" s="22"/>
      <c r="N2619" s="22"/>
      <c r="O2619" s="22"/>
      <c r="P2619" s="22"/>
      <c r="Q2619" s="22"/>
      <c r="R2619" s="22"/>
      <c r="S2619" s="22"/>
      <c r="T2619" s="22"/>
    </row>
    <row r="2620" spans="1:20" x14ac:dyDescent="0.35">
      <c r="B2620" s="17"/>
      <c r="C2620" s="18"/>
      <c r="D2620" s="19"/>
      <c r="E2620" s="19"/>
      <c r="F2620" s="22"/>
      <c r="G2620" s="22"/>
      <c r="H2620" s="22"/>
      <c r="I2620" s="22"/>
      <c r="J2620" s="22"/>
      <c r="K2620" s="22"/>
      <c r="L2620" s="22"/>
      <c r="M2620" s="22"/>
      <c r="N2620" s="22"/>
      <c r="O2620" s="22"/>
      <c r="P2620" s="22"/>
      <c r="Q2620" s="22"/>
      <c r="R2620" s="22"/>
      <c r="S2620" s="22"/>
      <c r="T2620" s="22"/>
    </row>
    <row r="2621" spans="1:20" x14ac:dyDescent="0.35">
      <c r="B2621" s="17"/>
      <c r="C2621" s="18"/>
      <c r="D2621" s="19"/>
      <c r="E2621" s="19"/>
      <c r="F2621" s="22"/>
      <c r="G2621" s="22"/>
      <c r="H2621" s="22"/>
      <c r="I2621" s="22"/>
      <c r="J2621" s="22"/>
      <c r="K2621" s="22"/>
      <c r="L2621" s="22"/>
      <c r="M2621" s="22"/>
      <c r="N2621" s="22"/>
      <c r="O2621" s="22"/>
      <c r="P2621" s="22"/>
      <c r="Q2621" s="22"/>
      <c r="R2621" s="22"/>
      <c r="S2621" s="22"/>
      <c r="T2621" s="22"/>
    </row>
    <row r="2622" spans="1:20" x14ac:dyDescent="0.35">
      <c r="B2622" s="17"/>
      <c r="C2622" s="20"/>
      <c r="D2622" s="19"/>
      <c r="E2622" s="19"/>
      <c r="F2622" s="22"/>
      <c r="G2622" s="22"/>
      <c r="H2622" s="22"/>
      <c r="I2622" s="22"/>
      <c r="J2622" s="22"/>
      <c r="K2622" s="22"/>
      <c r="L2622" s="22"/>
      <c r="M2622" s="22"/>
      <c r="N2622" s="22"/>
      <c r="O2622" s="22"/>
      <c r="P2622" s="22"/>
      <c r="Q2622" s="22"/>
      <c r="R2622" s="22"/>
      <c r="S2622" s="22"/>
      <c r="T2622" s="22"/>
    </row>
    <row r="2623" spans="1:20" x14ac:dyDescent="0.35">
      <c r="B2623" s="17"/>
      <c r="C2623" s="20"/>
      <c r="D2623" s="19"/>
      <c r="E2623" s="19"/>
      <c r="F2623" s="22"/>
      <c r="G2623" s="22"/>
      <c r="H2623" s="22"/>
      <c r="I2623" s="22"/>
      <c r="J2623" s="22"/>
      <c r="K2623" s="22"/>
      <c r="L2623" s="22"/>
      <c r="M2623" s="22"/>
      <c r="N2623" s="22"/>
      <c r="O2623" s="22"/>
      <c r="P2623" s="22"/>
      <c r="Q2623" s="22"/>
      <c r="R2623" s="22"/>
      <c r="S2623" s="22"/>
      <c r="T2623" s="22"/>
    </row>
    <row r="2624" spans="1:20" x14ac:dyDescent="0.35">
      <c r="B2624" s="17"/>
      <c r="C2624" s="20"/>
      <c r="D2624" s="19"/>
      <c r="E2624" s="19"/>
      <c r="F2624" s="22"/>
      <c r="G2624" s="22"/>
      <c r="H2624" s="22"/>
      <c r="I2624" s="22"/>
      <c r="J2624" s="22"/>
      <c r="K2624" s="22"/>
      <c r="L2624" s="22"/>
      <c r="M2624" s="22"/>
      <c r="N2624" s="22"/>
      <c r="O2624" s="22"/>
      <c r="P2624" s="22"/>
      <c r="Q2624" s="22"/>
      <c r="R2624" s="22"/>
      <c r="S2624" s="22"/>
      <c r="T2624" s="22"/>
    </row>
    <row r="2625" spans="2:20" x14ac:dyDescent="0.35">
      <c r="B2625" s="17"/>
      <c r="C2625" s="20"/>
      <c r="D2625" s="19"/>
      <c r="E2625" s="19"/>
      <c r="F2625" s="22"/>
      <c r="G2625" s="22"/>
      <c r="H2625" s="22"/>
      <c r="I2625" s="22"/>
      <c r="J2625" s="22"/>
      <c r="K2625" s="22"/>
      <c r="L2625" s="22"/>
      <c r="M2625" s="22"/>
      <c r="N2625" s="22"/>
      <c r="O2625" s="22"/>
      <c r="P2625" s="22"/>
      <c r="Q2625" s="22"/>
      <c r="R2625" s="22"/>
      <c r="S2625" s="22"/>
      <c r="T2625" s="22"/>
    </row>
    <row r="2626" spans="2:20" x14ac:dyDescent="0.35">
      <c r="B2626" s="17"/>
      <c r="C2626" s="13"/>
      <c r="D2626" s="13"/>
      <c r="E2626" s="13"/>
      <c r="F2626" s="14"/>
      <c r="G2626" s="14"/>
      <c r="H2626" s="14"/>
      <c r="I2626" s="14"/>
      <c r="J2626" s="14"/>
      <c r="K2626" s="14"/>
      <c r="L2626" s="14"/>
      <c r="M2626" s="14"/>
      <c r="N2626" s="14"/>
      <c r="O2626" s="14"/>
      <c r="P2626" s="14"/>
      <c r="Q2626" s="14"/>
      <c r="R2626" s="14"/>
      <c r="S2626" s="14"/>
      <c r="T2626" s="14"/>
    </row>
    <row r="2627" spans="2:20" x14ac:dyDescent="0.35">
      <c r="B2627" s="17"/>
      <c r="C2627" s="13"/>
      <c r="D2627" s="13"/>
      <c r="E2627" s="13"/>
      <c r="F2627" s="14"/>
      <c r="G2627" s="14"/>
      <c r="H2627" s="14"/>
      <c r="I2627" s="14"/>
      <c r="J2627" s="14"/>
      <c r="K2627" s="14"/>
      <c r="L2627" s="14"/>
      <c r="M2627" s="14"/>
      <c r="N2627" s="14"/>
      <c r="O2627" s="14"/>
      <c r="P2627" s="14"/>
      <c r="Q2627" s="14"/>
      <c r="R2627" s="14"/>
      <c r="S2627" s="14"/>
      <c r="T2627" s="14"/>
    </row>
    <row r="2628" spans="2:20" x14ac:dyDescent="0.35">
      <c r="B2628" s="17"/>
      <c r="C2628" s="13"/>
      <c r="D2628" s="13"/>
      <c r="E2628" s="13"/>
      <c r="F2628" s="14"/>
      <c r="G2628" s="14"/>
      <c r="H2628" s="14"/>
      <c r="I2628" s="14"/>
      <c r="J2628" s="14"/>
      <c r="K2628" s="14"/>
      <c r="L2628" s="14"/>
      <c r="M2628" s="14"/>
      <c r="N2628" s="14"/>
      <c r="O2628" s="14"/>
      <c r="P2628" s="14"/>
      <c r="Q2628" s="14"/>
      <c r="R2628" s="14"/>
      <c r="S2628" s="14"/>
      <c r="T2628" s="14"/>
    </row>
    <row r="2629" spans="2:20" x14ac:dyDescent="0.35">
      <c r="B2629" s="17"/>
      <c r="C2629" s="13"/>
      <c r="D2629" s="13"/>
      <c r="E2629" s="13"/>
      <c r="F2629" s="14"/>
      <c r="G2629" s="14"/>
      <c r="H2629" s="14"/>
      <c r="I2629" s="14"/>
      <c r="J2629" s="14"/>
      <c r="K2629" s="14"/>
      <c r="L2629" s="14"/>
      <c r="M2629" s="14"/>
      <c r="N2629" s="14"/>
      <c r="O2629" s="14"/>
      <c r="P2629" s="14"/>
      <c r="Q2629" s="14"/>
      <c r="R2629" s="14"/>
      <c r="S2629" s="14"/>
      <c r="T2629" s="14"/>
    </row>
    <row r="2630" spans="2:20" x14ac:dyDescent="0.35">
      <c r="B2630" s="17"/>
      <c r="C2630" s="13"/>
      <c r="D2630" s="13"/>
      <c r="E2630" s="13"/>
      <c r="F2630" s="14"/>
      <c r="G2630" s="14"/>
      <c r="H2630" s="14"/>
      <c r="I2630" s="14"/>
      <c r="J2630" s="14"/>
      <c r="K2630" s="14"/>
      <c r="L2630" s="14"/>
      <c r="M2630" s="14"/>
      <c r="N2630" s="14"/>
      <c r="O2630" s="14"/>
      <c r="P2630" s="14"/>
      <c r="Q2630" s="14"/>
      <c r="R2630" s="14"/>
      <c r="S2630" s="14"/>
      <c r="T2630" s="14"/>
    </row>
    <row r="2631" spans="2:20" x14ac:dyDescent="0.35">
      <c r="B2631" s="17"/>
      <c r="C2631" s="13"/>
      <c r="D2631" s="13"/>
      <c r="E2631" s="13"/>
      <c r="F2631" s="14"/>
      <c r="G2631" s="14"/>
      <c r="H2631" s="14"/>
      <c r="I2631" s="14"/>
      <c r="J2631" s="14"/>
      <c r="K2631" s="14"/>
      <c r="L2631" s="14"/>
      <c r="M2631" s="14"/>
      <c r="N2631" s="14"/>
      <c r="O2631" s="14"/>
      <c r="P2631" s="14"/>
      <c r="Q2631" s="14"/>
      <c r="R2631" s="14"/>
      <c r="S2631" s="14"/>
      <c r="T2631" s="14"/>
    </row>
    <row r="2632" spans="2:20" x14ac:dyDescent="0.35">
      <c r="B2632" s="17"/>
      <c r="C2632" s="13"/>
      <c r="D2632" s="13"/>
      <c r="E2632" s="13"/>
      <c r="F2632" s="14"/>
      <c r="G2632" s="14"/>
      <c r="H2632" s="14"/>
      <c r="I2632" s="14"/>
      <c r="J2632" s="14"/>
      <c r="K2632" s="14"/>
      <c r="L2632" s="14"/>
      <c r="M2632" s="14"/>
      <c r="N2632" s="14"/>
      <c r="O2632" s="14"/>
      <c r="P2632" s="14"/>
      <c r="Q2632" s="14"/>
      <c r="R2632" s="14"/>
      <c r="S2632" s="14"/>
      <c r="T2632" s="14"/>
    </row>
    <row r="2633" spans="2:20" x14ac:dyDescent="0.35">
      <c r="B2633" s="17"/>
      <c r="C2633" s="13"/>
      <c r="D2633" s="13"/>
      <c r="E2633" s="13"/>
      <c r="F2633" s="14"/>
      <c r="G2633" s="14"/>
      <c r="H2633" s="14"/>
      <c r="I2633" s="14"/>
      <c r="J2633" s="14"/>
      <c r="K2633" s="14"/>
      <c r="L2633" s="14"/>
      <c r="M2633" s="14"/>
      <c r="N2633" s="14"/>
      <c r="O2633" s="14"/>
      <c r="P2633" s="14"/>
      <c r="Q2633" s="14"/>
      <c r="R2633" s="14"/>
      <c r="S2633" s="14"/>
      <c r="T2633" s="14"/>
    </row>
    <row r="2634" spans="2:20" x14ac:dyDescent="0.35">
      <c r="B2634" s="17"/>
      <c r="C2634" s="13"/>
      <c r="D2634" s="13"/>
      <c r="E2634" s="13"/>
      <c r="F2634" s="14"/>
      <c r="G2634" s="14"/>
      <c r="H2634" s="14"/>
      <c r="I2634" s="14"/>
      <c r="J2634" s="14"/>
      <c r="K2634" s="14"/>
      <c r="L2634" s="14"/>
      <c r="M2634" s="14"/>
      <c r="N2634" s="14"/>
      <c r="O2634" s="14"/>
      <c r="P2634" s="14"/>
      <c r="Q2634" s="14"/>
      <c r="R2634" s="14"/>
      <c r="S2634" s="14"/>
      <c r="T2634" s="14"/>
    </row>
    <row r="2635" spans="2:20" x14ac:dyDescent="0.35">
      <c r="B2635" s="17"/>
      <c r="C2635" s="13"/>
      <c r="D2635" s="13"/>
      <c r="E2635" s="13"/>
      <c r="F2635" s="14"/>
      <c r="G2635" s="14"/>
      <c r="H2635" s="14"/>
      <c r="I2635" s="14"/>
      <c r="J2635" s="14"/>
      <c r="K2635" s="14"/>
      <c r="L2635" s="14"/>
      <c r="M2635" s="14"/>
      <c r="N2635" s="14"/>
      <c r="O2635" s="14"/>
      <c r="P2635" s="14"/>
      <c r="Q2635" s="14"/>
      <c r="R2635" s="14"/>
      <c r="S2635" s="14"/>
      <c r="T2635" s="14"/>
    </row>
    <row r="2636" spans="2:20" x14ac:dyDescent="0.35">
      <c r="B2636" s="17"/>
      <c r="C2636" s="13"/>
      <c r="D2636" s="13"/>
      <c r="E2636" s="13"/>
      <c r="F2636" s="14"/>
      <c r="G2636" s="14"/>
      <c r="H2636" s="14"/>
      <c r="I2636" s="14"/>
      <c r="J2636" s="14"/>
      <c r="K2636" s="14"/>
      <c r="L2636" s="14"/>
      <c r="M2636" s="14"/>
      <c r="N2636" s="14"/>
      <c r="O2636" s="14"/>
      <c r="P2636" s="14"/>
      <c r="Q2636" s="14"/>
      <c r="R2636" s="14"/>
      <c r="S2636" s="14"/>
      <c r="T2636" s="14"/>
    </row>
    <row r="2637" spans="2:20" x14ac:dyDescent="0.35">
      <c r="B2637" s="17"/>
      <c r="C2637" s="13"/>
      <c r="D2637" s="13"/>
      <c r="E2637" s="13"/>
      <c r="F2637" s="14"/>
      <c r="G2637" s="14"/>
      <c r="H2637" s="14"/>
      <c r="I2637" s="14"/>
      <c r="J2637" s="14"/>
      <c r="K2637" s="14"/>
      <c r="L2637" s="14"/>
      <c r="M2637" s="14"/>
      <c r="N2637" s="14"/>
      <c r="O2637" s="14"/>
      <c r="P2637" s="14"/>
      <c r="Q2637" s="14"/>
      <c r="R2637" s="14"/>
      <c r="S2637" s="14"/>
      <c r="T2637" s="14"/>
    </row>
    <row r="2638" spans="2:20" x14ac:dyDescent="0.35">
      <c r="B2638" s="17"/>
      <c r="C2638" s="13"/>
      <c r="D2638" s="13"/>
      <c r="E2638" s="13"/>
      <c r="F2638" s="14"/>
      <c r="G2638" s="14"/>
      <c r="H2638" s="14"/>
      <c r="I2638" s="14"/>
      <c r="J2638" s="14"/>
      <c r="K2638" s="14"/>
      <c r="L2638" s="14"/>
      <c r="M2638" s="14"/>
      <c r="N2638" s="14"/>
      <c r="O2638" s="14"/>
      <c r="P2638" s="14"/>
      <c r="Q2638" s="14"/>
      <c r="R2638" s="14"/>
      <c r="S2638" s="14"/>
      <c r="T2638" s="14"/>
    </row>
    <row r="2639" spans="2:20" x14ac:dyDescent="0.35">
      <c r="B2639" s="17"/>
      <c r="C2639" s="13"/>
      <c r="D2639" s="13"/>
      <c r="E2639" s="13"/>
      <c r="F2639" s="14"/>
      <c r="G2639" s="14"/>
      <c r="H2639" s="14"/>
      <c r="I2639" s="14"/>
      <c r="J2639" s="14"/>
      <c r="K2639" s="14"/>
      <c r="L2639" s="14"/>
      <c r="M2639" s="14"/>
      <c r="N2639" s="14"/>
      <c r="O2639" s="14"/>
      <c r="P2639" s="14"/>
      <c r="Q2639" s="14"/>
      <c r="R2639" s="14"/>
      <c r="S2639" s="14"/>
      <c r="T2639" s="14"/>
    </row>
    <row r="2640" spans="2:20" x14ac:dyDescent="0.35">
      <c r="B2640" s="17"/>
      <c r="C2640" s="13"/>
      <c r="D2640" s="13"/>
      <c r="E2640" s="13"/>
      <c r="F2640" s="14"/>
      <c r="G2640" s="14"/>
      <c r="H2640" s="14"/>
      <c r="I2640" s="14"/>
      <c r="J2640" s="14"/>
      <c r="K2640" s="14"/>
      <c r="L2640" s="14"/>
      <c r="M2640" s="14"/>
      <c r="N2640" s="14"/>
      <c r="O2640" s="14"/>
      <c r="P2640" s="14"/>
      <c r="Q2640" s="14"/>
      <c r="R2640" s="14"/>
      <c r="S2640" s="14"/>
      <c r="T2640" s="14"/>
    </row>
    <row r="2641" spans="2:20" x14ac:dyDescent="0.35">
      <c r="B2641" s="17"/>
      <c r="C2641" s="18"/>
      <c r="D2641" s="19"/>
      <c r="E2641" s="19"/>
      <c r="F2641" s="22"/>
      <c r="G2641" s="22"/>
      <c r="H2641" s="22"/>
      <c r="I2641" s="22"/>
      <c r="J2641" s="22"/>
      <c r="K2641" s="22"/>
      <c r="L2641" s="22"/>
      <c r="M2641" s="22"/>
      <c r="N2641" s="22"/>
      <c r="O2641" s="22"/>
      <c r="P2641" s="22"/>
      <c r="Q2641" s="22"/>
      <c r="R2641" s="22"/>
      <c r="S2641" s="22"/>
      <c r="T2641" s="22"/>
    </row>
    <row r="2642" spans="2:20" x14ac:dyDescent="0.35">
      <c r="B2642" s="17"/>
      <c r="C2642" s="18"/>
      <c r="D2642" s="19"/>
      <c r="E2642" s="19"/>
      <c r="F2642" s="22"/>
      <c r="G2642" s="22"/>
      <c r="H2642" s="22"/>
      <c r="I2642" s="22"/>
      <c r="J2642" s="22"/>
      <c r="K2642" s="22"/>
      <c r="L2642" s="22"/>
      <c r="M2642" s="22"/>
      <c r="N2642" s="22"/>
      <c r="O2642" s="22"/>
      <c r="P2642" s="22"/>
      <c r="Q2642" s="22"/>
      <c r="R2642" s="22"/>
      <c r="S2642" s="22"/>
      <c r="T2642" s="22"/>
    </row>
    <row r="2643" spans="2:20" x14ac:dyDescent="0.35">
      <c r="B2643" s="17"/>
      <c r="C2643" s="18"/>
      <c r="D2643" s="19"/>
      <c r="E2643" s="19"/>
      <c r="F2643" s="22"/>
      <c r="G2643" s="22"/>
      <c r="H2643" s="22"/>
      <c r="I2643" s="22"/>
      <c r="J2643" s="22"/>
      <c r="K2643" s="22"/>
      <c r="L2643" s="22"/>
      <c r="M2643" s="22"/>
      <c r="N2643" s="22"/>
      <c r="O2643" s="22"/>
      <c r="P2643" s="22"/>
      <c r="Q2643" s="22"/>
      <c r="R2643" s="22"/>
      <c r="S2643" s="22"/>
      <c r="T2643" s="22"/>
    </row>
    <row r="2644" spans="2:20" x14ac:dyDescent="0.35">
      <c r="B2644" s="17"/>
      <c r="C2644" s="18"/>
      <c r="D2644" s="19"/>
      <c r="E2644" s="19"/>
      <c r="F2644" s="22"/>
      <c r="G2644" s="22"/>
      <c r="H2644" s="22"/>
      <c r="I2644" s="22"/>
      <c r="J2644" s="22"/>
      <c r="K2644" s="22"/>
      <c r="L2644" s="22"/>
      <c r="M2644" s="22"/>
      <c r="N2644" s="22"/>
      <c r="O2644" s="22"/>
      <c r="P2644" s="22"/>
      <c r="Q2644" s="22"/>
      <c r="R2644" s="22"/>
      <c r="S2644" s="22"/>
      <c r="T2644" s="22"/>
    </row>
    <row r="2645" spans="2:20" x14ac:dyDescent="0.35">
      <c r="B2645" s="17"/>
      <c r="C2645" s="18"/>
      <c r="D2645" s="19"/>
      <c r="E2645" s="19"/>
      <c r="F2645" s="22"/>
      <c r="G2645" s="22"/>
      <c r="H2645" s="22"/>
      <c r="I2645" s="22"/>
      <c r="J2645" s="22"/>
      <c r="K2645" s="22"/>
      <c r="L2645" s="22"/>
      <c r="M2645" s="22"/>
      <c r="N2645" s="22"/>
      <c r="O2645" s="22"/>
      <c r="P2645" s="22"/>
      <c r="Q2645" s="22"/>
      <c r="R2645" s="22"/>
      <c r="S2645" s="22"/>
      <c r="T2645" s="22"/>
    </row>
    <row r="2646" spans="2:20" x14ac:dyDescent="0.35">
      <c r="B2646" s="17"/>
      <c r="C2646" s="18"/>
      <c r="D2646" s="19"/>
      <c r="E2646" s="19"/>
      <c r="F2646" s="22"/>
      <c r="G2646" s="22"/>
      <c r="H2646" s="22"/>
      <c r="I2646" s="22"/>
      <c r="J2646" s="22"/>
      <c r="K2646" s="22"/>
      <c r="L2646" s="22"/>
      <c r="M2646" s="22"/>
      <c r="N2646" s="22"/>
      <c r="O2646" s="22"/>
      <c r="P2646" s="22"/>
      <c r="Q2646" s="22"/>
      <c r="R2646" s="22"/>
      <c r="S2646" s="22"/>
      <c r="T2646" s="22"/>
    </row>
    <row r="2647" spans="2:20" x14ac:dyDescent="0.35">
      <c r="B2647" s="17"/>
      <c r="C2647" s="18"/>
      <c r="D2647" s="19"/>
      <c r="E2647" s="19"/>
      <c r="F2647" s="22"/>
      <c r="G2647" s="22"/>
      <c r="H2647" s="22"/>
      <c r="I2647" s="22"/>
      <c r="J2647" s="22"/>
      <c r="K2647" s="22"/>
      <c r="L2647" s="22"/>
      <c r="M2647" s="22"/>
      <c r="N2647" s="22"/>
      <c r="O2647" s="22"/>
      <c r="P2647" s="22"/>
      <c r="Q2647" s="22"/>
      <c r="R2647" s="22"/>
      <c r="S2647" s="22"/>
      <c r="T2647" s="22"/>
    </row>
    <row r="2648" spans="2:20" x14ac:dyDescent="0.35">
      <c r="B2648" s="17"/>
      <c r="C2648" s="18"/>
      <c r="D2648" s="19"/>
      <c r="E2648" s="19"/>
      <c r="F2648" s="22"/>
      <c r="G2648" s="22"/>
      <c r="H2648" s="22"/>
      <c r="I2648" s="22"/>
      <c r="J2648" s="22"/>
      <c r="K2648" s="22"/>
      <c r="L2648" s="22"/>
      <c r="M2648" s="22"/>
      <c r="N2648" s="22"/>
      <c r="O2648" s="22"/>
      <c r="P2648" s="22"/>
      <c r="Q2648" s="22"/>
      <c r="R2648" s="22"/>
      <c r="S2648" s="22"/>
      <c r="T2648" s="22"/>
    </row>
    <row r="2649" spans="2:20" x14ac:dyDescent="0.35">
      <c r="B2649" s="17"/>
      <c r="C2649" s="18"/>
      <c r="D2649" s="19"/>
      <c r="E2649" s="19"/>
      <c r="F2649" s="22"/>
      <c r="G2649" s="22"/>
      <c r="H2649" s="22"/>
      <c r="I2649" s="22"/>
      <c r="J2649" s="22"/>
      <c r="K2649" s="22"/>
      <c r="L2649" s="22"/>
      <c r="M2649" s="22"/>
      <c r="N2649" s="22"/>
      <c r="O2649" s="22"/>
      <c r="P2649" s="22"/>
      <c r="Q2649" s="22"/>
      <c r="R2649" s="22"/>
      <c r="S2649" s="22"/>
      <c r="T2649" s="22"/>
    </row>
    <row r="2650" spans="2:20" x14ac:dyDescent="0.35">
      <c r="B2650" s="17"/>
      <c r="C2650" s="18"/>
      <c r="D2650" s="19"/>
      <c r="E2650" s="19"/>
      <c r="F2650" s="22"/>
      <c r="G2650" s="22"/>
      <c r="H2650" s="22"/>
      <c r="I2650" s="22"/>
      <c r="J2650" s="22"/>
      <c r="K2650" s="22"/>
      <c r="L2650" s="22"/>
      <c r="M2650" s="22"/>
      <c r="N2650" s="22"/>
      <c r="O2650" s="22"/>
      <c r="P2650" s="22"/>
      <c r="Q2650" s="22"/>
      <c r="R2650" s="22"/>
      <c r="S2650" s="22"/>
      <c r="T2650" s="22"/>
    </row>
    <row r="2651" spans="2:20" x14ac:dyDescent="0.35">
      <c r="B2651" s="17"/>
      <c r="C2651" s="18"/>
      <c r="D2651" s="19"/>
      <c r="E2651" s="19"/>
      <c r="F2651" s="22"/>
      <c r="G2651" s="22"/>
      <c r="H2651" s="22"/>
      <c r="I2651" s="22"/>
      <c r="J2651" s="22"/>
      <c r="K2651" s="22"/>
      <c r="L2651" s="22"/>
      <c r="M2651" s="22"/>
      <c r="N2651" s="22"/>
      <c r="O2651" s="22"/>
      <c r="P2651" s="22"/>
      <c r="Q2651" s="22"/>
      <c r="R2651" s="22"/>
      <c r="S2651" s="22"/>
      <c r="T2651" s="22"/>
    </row>
    <row r="2652" spans="2:20" x14ac:dyDescent="0.35">
      <c r="B2652" s="17"/>
      <c r="C2652" s="18"/>
      <c r="D2652" s="19"/>
      <c r="E2652" s="19"/>
      <c r="F2652" s="22"/>
      <c r="G2652" s="22"/>
      <c r="H2652" s="22"/>
      <c r="I2652" s="22"/>
      <c r="J2652" s="22"/>
      <c r="K2652" s="22"/>
      <c r="L2652" s="22"/>
      <c r="M2652" s="22"/>
      <c r="N2652" s="22"/>
      <c r="O2652" s="22"/>
      <c r="P2652" s="22"/>
      <c r="Q2652" s="22"/>
      <c r="R2652" s="22"/>
      <c r="S2652" s="22"/>
      <c r="T2652" s="22"/>
    </row>
    <row r="2653" spans="2:20" x14ac:dyDescent="0.35">
      <c r="B2653" s="17"/>
      <c r="C2653" s="18"/>
      <c r="D2653" s="19"/>
      <c r="E2653" s="19"/>
      <c r="F2653" s="22"/>
      <c r="G2653" s="22"/>
      <c r="H2653" s="22"/>
      <c r="I2653" s="22"/>
      <c r="J2653" s="22"/>
      <c r="K2653" s="22"/>
      <c r="L2653" s="22"/>
      <c r="M2653" s="22"/>
      <c r="N2653" s="22"/>
      <c r="O2653" s="22"/>
      <c r="P2653" s="22"/>
      <c r="Q2653" s="22"/>
      <c r="R2653" s="22"/>
      <c r="S2653" s="22"/>
      <c r="T2653" s="22"/>
    </row>
    <row r="2654" spans="2:20" x14ac:dyDescent="0.35">
      <c r="B2654" s="17"/>
      <c r="C2654" s="18"/>
      <c r="D2654" s="19"/>
      <c r="E2654" s="19"/>
      <c r="F2654" s="22"/>
      <c r="G2654" s="22"/>
      <c r="H2654" s="22"/>
      <c r="I2654" s="22"/>
      <c r="J2654" s="22"/>
      <c r="K2654" s="22"/>
      <c r="L2654" s="22"/>
      <c r="M2654" s="22"/>
      <c r="N2654" s="22"/>
      <c r="O2654" s="22"/>
      <c r="P2654" s="22"/>
      <c r="Q2654" s="22"/>
      <c r="R2654" s="22"/>
      <c r="S2654" s="22"/>
      <c r="T2654" s="22"/>
    </row>
    <row r="2655" spans="2:20" x14ac:dyDescent="0.35">
      <c r="B2655" s="17"/>
      <c r="C2655" s="18"/>
      <c r="D2655" s="19"/>
      <c r="E2655" s="19"/>
      <c r="F2655" s="22"/>
      <c r="G2655" s="22"/>
      <c r="H2655" s="22"/>
      <c r="I2655" s="22"/>
      <c r="J2655" s="22"/>
      <c r="K2655" s="22"/>
      <c r="L2655" s="22"/>
      <c r="M2655" s="22"/>
      <c r="N2655" s="22"/>
      <c r="O2655" s="22"/>
      <c r="P2655" s="22"/>
      <c r="Q2655" s="22"/>
      <c r="R2655" s="22"/>
      <c r="S2655" s="22"/>
      <c r="T2655" s="22"/>
    </row>
    <row r="2656" spans="2:20" x14ac:dyDescent="0.35">
      <c r="B2656" s="17"/>
      <c r="C2656" s="18"/>
      <c r="D2656" s="19"/>
      <c r="E2656" s="19"/>
      <c r="F2656" s="22"/>
      <c r="G2656" s="22"/>
      <c r="H2656" s="22"/>
      <c r="I2656" s="22"/>
      <c r="J2656" s="22"/>
      <c r="K2656" s="22"/>
      <c r="L2656" s="22"/>
      <c r="M2656" s="22"/>
      <c r="N2656" s="22"/>
      <c r="O2656" s="22"/>
      <c r="P2656" s="22"/>
      <c r="Q2656" s="22"/>
      <c r="R2656" s="22"/>
      <c r="S2656" s="22"/>
      <c r="T2656" s="22"/>
    </row>
    <row r="2657" spans="2:20" x14ac:dyDescent="0.35">
      <c r="B2657" s="17"/>
      <c r="C2657" s="13"/>
      <c r="D2657" s="13"/>
      <c r="E2657" s="13"/>
      <c r="F2657" s="14"/>
      <c r="G2657" s="14"/>
      <c r="H2657" s="14"/>
      <c r="I2657" s="14"/>
      <c r="J2657" s="14"/>
      <c r="K2657" s="14"/>
      <c r="L2657" s="14"/>
      <c r="M2657" s="14"/>
      <c r="N2657" s="14"/>
      <c r="O2657" s="14"/>
      <c r="P2657" s="14"/>
      <c r="Q2657" s="14"/>
      <c r="R2657" s="14"/>
      <c r="S2657" s="14"/>
      <c r="T2657" s="14"/>
    </row>
    <row r="2658" spans="2:20" x14ac:dyDescent="0.35">
      <c r="B2658" s="17"/>
      <c r="C2658" s="13"/>
      <c r="D2658" s="13"/>
      <c r="E2658" s="13"/>
      <c r="F2658" s="14"/>
      <c r="G2658" s="14"/>
      <c r="H2658" s="14"/>
      <c r="I2658" s="14"/>
      <c r="J2658" s="14"/>
      <c r="K2658" s="14"/>
      <c r="L2658" s="14"/>
      <c r="M2658" s="14"/>
      <c r="N2658" s="14"/>
      <c r="O2658" s="14"/>
      <c r="P2658" s="14"/>
      <c r="Q2658" s="14"/>
      <c r="R2658" s="14"/>
      <c r="S2658" s="14"/>
      <c r="T2658" s="14"/>
    </row>
    <row r="2659" spans="2:20" x14ac:dyDescent="0.35">
      <c r="B2659" s="17"/>
      <c r="C2659" s="13"/>
      <c r="D2659" s="13"/>
      <c r="E2659" s="13"/>
      <c r="F2659" s="14"/>
      <c r="G2659" s="14"/>
      <c r="H2659" s="14"/>
      <c r="I2659" s="14"/>
      <c r="J2659" s="14"/>
      <c r="K2659" s="14"/>
      <c r="L2659" s="14"/>
      <c r="M2659" s="14"/>
      <c r="N2659" s="14"/>
      <c r="O2659" s="14"/>
      <c r="P2659" s="14"/>
      <c r="Q2659" s="14"/>
      <c r="R2659" s="14"/>
      <c r="S2659" s="14"/>
      <c r="T2659" s="14"/>
    </row>
    <row r="2660" spans="2:20" x14ac:dyDescent="0.35">
      <c r="B2660" s="17"/>
      <c r="C2660" s="13"/>
      <c r="D2660" s="13"/>
      <c r="E2660" s="13"/>
      <c r="F2660" s="14"/>
      <c r="G2660" s="14"/>
      <c r="H2660" s="14"/>
      <c r="I2660" s="14"/>
      <c r="J2660" s="14"/>
      <c r="K2660" s="14"/>
      <c r="L2660" s="14"/>
      <c r="M2660" s="14"/>
      <c r="N2660" s="14"/>
      <c r="O2660" s="14"/>
      <c r="P2660" s="14"/>
      <c r="Q2660" s="14"/>
      <c r="R2660" s="14"/>
      <c r="S2660" s="14"/>
      <c r="T2660" s="14"/>
    </row>
    <row r="2661" spans="2:20" x14ac:dyDescent="0.35">
      <c r="B2661" s="17"/>
      <c r="C2661" s="13"/>
      <c r="D2661" s="13"/>
      <c r="E2661" s="13"/>
      <c r="F2661" s="14"/>
      <c r="G2661" s="14"/>
      <c r="H2661" s="14"/>
      <c r="I2661" s="14"/>
      <c r="J2661" s="14"/>
      <c r="K2661" s="14"/>
      <c r="L2661" s="14"/>
      <c r="M2661" s="14"/>
      <c r="N2661" s="14"/>
      <c r="O2661" s="14"/>
      <c r="P2661" s="14"/>
      <c r="Q2661" s="14"/>
      <c r="R2661" s="14"/>
      <c r="S2661" s="14"/>
      <c r="T2661" s="14"/>
    </row>
    <row r="2662" spans="2:20" x14ac:dyDescent="0.35">
      <c r="B2662" s="17"/>
      <c r="C2662" s="13"/>
      <c r="D2662" s="13"/>
      <c r="E2662" s="13"/>
      <c r="F2662" s="14"/>
      <c r="G2662" s="14"/>
      <c r="H2662" s="14"/>
      <c r="I2662" s="14"/>
      <c r="J2662" s="14"/>
      <c r="K2662" s="14"/>
      <c r="L2662" s="14"/>
      <c r="M2662" s="14"/>
      <c r="N2662" s="14"/>
      <c r="O2662" s="14"/>
      <c r="P2662" s="14"/>
      <c r="Q2662" s="14"/>
      <c r="R2662" s="14"/>
      <c r="S2662" s="14"/>
      <c r="T2662" s="14"/>
    </row>
    <row r="2663" spans="2:20" x14ac:dyDescent="0.35">
      <c r="B2663" s="17"/>
      <c r="C2663" s="13"/>
      <c r="D2663" s="13"/>
      <c r="E2663" s="13"/>
      <c r="F2663" s="14"/>
      <c r="G2663" s="14"/>
      <c r="H2663" s="14"/>
      <c r="I2663" s="14"/>
      <c r="J2663" s="14"/>
      <c r="K2663" s="14"/>
      <c r="L2663" s="14"/>
      <c r="M2663" s="14"/>
      <c r="N2663" s="14"/>
      <c r="O2663" s="14"/>
      <c r="P2663" s="14"/>
      <c r="Q2663" s="14"/>
      <c r="R2663" s="14"/>
      <c r="S2663" s="14"/>
      <c r="T2663" s="14"/>
    </row>
    <row r="2664" spans="2:20" x14ac:dyDescent="0.35">
      <c r="B2664" s="17"/>
      <c r="C2664" s="18"/>
      <c r="D2664" s="19"/>
      <c r="E2664" s="19"/>
      <c r="F2664" s="22"/>
      <c r="G2664" s="22"/>
      <c r="H2664" s="22"/>
      <c r="I2664" s="22"/>
      <c r="J2664" s="22"/>
      <c r="K2664" s="22"/>
      <c r="L2664" s="22"/>
      <c r="M2664" s="22"/>
      <c r="N2664" s="22"/>
      <c r="O2664" s="22"/>
      <c r="P2664" s="22"/>
      <c r="Q2664" s="22"/>
      <c r="R2664" s="22"/>
      <c r="S2664" s="22"/>
      <c r="T2664" s="22"/>
    </row>
    <row r="2665" spans="2:20" x14ac:dyDescent="0.35">
      <c r="B2665" s="17"/>
      <c r="C2665" s="18"/>
      <c r="D2665" s="19"/>
      <c r="E2665" s="19"/>
      <c r="F2665" s="22"/>
      <c r="G2665" s="22"/>
      <c r="H2665" s="22"/>
      <c r="I2665" s="22"/>
      <c r="J2665" s="22"/>
      <c r="K2665" s="22"/>
      <c r="L2665" s="22"/>
      <c r="M2665" s="22"/>
      <c r="N2665" s="22"/>
      <c r="O2665" s="22"/>
      <c r="P2665" s="22"/>
      <c r="Q2665" s="22"/>
      <c r="R2665" s="22"/>
      <c r="S2665" s="22"/>
      <c r="T2665" s="22"/>
    </row>
    <row r="2666" spans="2:20" x14ac:dyDescent="0.35">
      <c r="B2666" s="17"/>
      <c r="C2666" s="18"/>
      <c r="D2666" s="19"/>
      <c r="E2666" s="19"/>
      <c r="F2666" s="22"/>
      <c r="G2666" s="22"/>
      <c r="H2666" s="22"/>
      <c r="I2666" s="22"/>
      <c r="J2666" s="22"/>
      <c r="K2666" s="22"/>
      <c r="L2666" s="22"/>
      <c r="M2666" s="22"/>
      <c r="N2666" s="22"/>
      <c r="O2666" s="22"/>
      <c r="P2666" s="22"/>
      <c r="Q2666" s="22"/>
      <c r="R2666" s="22"/>
      <c r="S2666" s="22"/>
      <c r="T2666" s="22"/>
    </row>
    <row r="2667" spans="2:20" x14ac:dyDescent="0.35">
      <c r="B2667" s="17"/>
      <c r="C2667" s="18"/>
      <c r="D2667" s="19"/>
      <c r="E2667" s="19"/>
      <c r="F2667" s="22"/>
      <c r="G2667" s="22"/>
      <c r="H2667" s="22"/>
      <c r="I2667" s="22"/>
      <c r="J2667" s="22"/>
      <c r="K2667" s="22"/>
      <c r="L2667" s="22"/>
      <c r="M2667" s="22"/>
      <c r="N2667" s="22"/>
      <c r="O2667" s="22"/>
      <c r="P2667" s="22"/>
      <c r="Q2667" s="22"/>
      <c r="R2667" s="22"/>
      <c r="S2667" s="22"/>
      <c r="T2667" s="22"/>
    </row>
    <row r="2668" spans="2:20" x14ac:dyDescent="0.35">
      <c r="B2668" s="17"/>
      <c r="C2668" s="18"/>
      <c r="D2668" s="19"/>
      <c r="E2668" s="19"/>
      <c r="F2668" s="22"/>
      <c r="G2668" s="22"/>
      <c r="H2668" s="22"/>
      <c r="I2668" s="22"/>
      <c r="J2668" s="22"/>
      <c r="K2668" s="22"/>
      <c r="L2668" s="22"/>
      <c r="M2668" s="22"/>
      <c r="N2668" s="22"/>
      <c r="O2668" s="22"/>
      <c r="P2668" s="22"/>
      <c r="Q2668" s="22"/>
      <c r="R2668" s="22"/>
      <c r="S2668" s="22"/>
      <c r="T2668" s="22"/>
    </row>
    <row r="2669" spans="2:20" x14ac:dyDescent="0.35">
      <c r="B2669" s="17"/>
      <c r="C2669" s="20"/>
      <c r="D2669" s="19"/>
      <c r="E2669" s="19"/>
      <c r="F2669" s="22"/>
      <c r="G2669" s="22"/>
      <c r="H2669" s="22"/>
      <c r="I2669" s="22"/>
      <c r="J2669" s="22"/>
      <c r="K2669" s="22"/>
      <c r="L2669" s="22"/>
      <c r="M2669" s="22"/>
      <c r="N2669" s="22"/>
      <c r="O2669" s="22"/>
      <c r="P2669" s="22"/>
      <c r="Q2669" s="22"/>
      <c r="R2669" s="22"/>
      <c r="S2669" s="22"/>
      <c r="T2669" s="22"/>
    </row>
    <row r="2670" spans="2:20" x14ac:dyDescent="0.35">
      <c r="B2670" s="17"/>
      <c r="C2670" s="20"/>
      <c r="D2670" s="19"/>
      <c r="E2670" s="19"/>
      <c r="F2670" s="22"/>
      <c r="G2670" s="22"/>
      <c r="H2670" s="22"/>
      <c r="I2670" s="22"/>
      <c r="J2670" s="22"/>
      <c r="K2670" s="22"/>
      <c r="L2670" s="22"/>
      <c r="M2670" s="22"/>
      <c r="N2670" s="22"/>
      <c r="O2670" s="22"/>
      <c r="P2670" s="22"/>
      <c r="Q2670" s="22"/>
      <c r="R2670" s="22"/>
      <c r="S2670" s="22"/>
      <c r="T2670" s="22"/>
    </row>
    <row r="2671" spans="2:20" x14ac:dyDescent="0.35">
      <c r="B2671" s="17"/>
      <c r="C2671" s="20"/>
      <c r="D2671" s="19"/>
      <c r="E2671" s="19"/>
      <c r="F2671" s="22"/>
      <c r="G2671" s="22"/>
      <c r="H2671" s="22"/>
      <c r="I2671" s="22"/>
      <c r="J2671" s="22"/>
      <c r="K2671" s="22"/>
      <c r="L2671" s="22"/>
      <c r="M2671" s="22"/>
      <c r="N2671" s="22"/>
      <c r="O2671" s="22"/>
      <c r="P2671" s="22"/>
      <c r="Q2671" s="22"/>
      <c r="R2671" s="22"/>
      <c r="S2671" s="22"/>
      <c r="T2671" s="22"/>
    </row>
    <row r="2672" spans="2:20" x14ac:dyDescent="0.35">
      <c r="B2672" s="17"/>
      <c r="C2672" s="20"/>
      <c r="D2672" s="19"/>
      <c r="E2672" s="19"/>
      <c r="F2672" s="22"/>
      <c r="G2672" s="22"/>
      <c r="H2672" s="22"/>
      <c r="I2672" s="22"/>
      <c r="J2672" s="22"/>
      <c r="K2672" s="22"/>
      <c r="L2672" s="22"/>
      <c r="M2672" s="22"/>
      <c r="N2672" s="22"/>
      <c r="O2672" s="22"/>
      <c r="P2672" s="22"/>
      <c r="Q2672" s="22"/>
      <c r="R2672" s="22"/>
      <c r="S2672" s="22"/>
      <c r="T2672" s="22"/>
    </row>
    <row r="2673" spans="2:20" x14ac:dyDescent="0.35">
      <c r="B2673" s="17"/>
      <c r="C2673" s="13"/>
      <c r="D2673" s="13"/>
      <c r="E2673" s="13"/>
      <c r="F2673" s="14"/>
      <c r="G2673" s="14"/>
      <c r="H2673" s="14"/>
      <c r="I2673" s="14"/>
      <c r="J2673" s="14"/>
      <c r="K2673" s="14"/>
      <c r="L2673" s="14"/>
      <c r="M2673" s="14"/>
      <c r="N2673" s="14"/>
      <c r="O2673" s="14"/>
      <c r="P2673" s="14"/>
      <c r="Q2673" s="14"/>
      <c r="R2673" s="14"/>
      <c r="S2673" s="14"/>
      <c r="T2673" s="14"/>
    </row>
    <row r="2674" spans="2:20" x14ac:dyDescent="0.35">
      <c r="B2674" s="17"/>
      <c r="C2674" s="13"/>
      <c r="D2674" s="13"/>
      <c r="E2674" s="13"/>
      <c r="F2674" s="14"/>
      <c r="G2674" s="14"/>
      <c r="H2674" s="14"/>
      <c r="I2674" s="14"/>
      <c r="J2674" s="14"/>
      <c r="K2674" s="14"/>
      <c r="L2674" s="14"/>
      <c r="M2674" s="14"/>
      <c r="N2674" s="14"/>
      <c r="O2674" s="14"/>
      <c r="P2674" s="14"/>
      <c r="Q2674" s="14"/>
      <c r="R2674" s="14"/>
      <c r="S2674" s="14"/>
      <c r="T2674" s="14"/>
    </row>
    <row r="2675" spans="2:20" x14ac:dyDescent="0.35">
      <c r="B2675" s="17"/>
      <c r="C2675" s="13"/>
      <c r="D2675" s="13"/>
      <c r="E2675" s="13"/>
      <c r="F2675" s="14"/>
      <c r="G2675" s="14"/>
      <c r="H2675" s="14"/>
      <c r="I2675" s="14"/>
      <c r="J2675" s="14"/>
      <c r="K2675" s="14"/>
      <c r="L2675" s="14"/>
      <c r="M2675" s="14"/>
      <c r="N2675" s="14"/>
      <c r="O2675" s="14"/>
      <c r="P2675" s="14"/>
      <c r="Q2675" s="14"/>
      <c r="R2675" s="14"/>
      <c r="S2675" s="14"/>
      <c r="T2675" s="14"/>
    </row>
    <row r="2676" spans="2:20" x14ac:dyDescent="0.35">
      <c r="B2676" s="17"/>
      <c r="C2676" s="13"/>
      <c r="D2676" s="13"/>
      <c r="E2676" s="13"/>
      <c r="F2676" s="14"/>
      <c r="G2676" s="14"/>
      <c r="H2676" s="14"/>
      <c r="I2676" s="14"/>
      <c r="J2676" s="14"/>
      <c r="K2676" s="14"/>
      <c r="L2676" s="14"/>
      <c r="M2676" s="14"/>
      <c r="N2676" s="14"/>
      <c r="O2676" s="14"/>
      <c r="P2676" s="14"/>
      <c r="Q2676" s="14"/>
      <c r="R2676" s="14"/>
      <c r="S2676" s="14"/>
      <c r="T2676" s="14"/>
    </row>
    <row r="2677" spans="2:20" x14ac:dyDescent="0.35">
      <c r="B2677" s="17"/>
      <c r="C2677" s="13"/>
      <c r="D2677" s="13"/>
      <c r="E2677" s="13"/>
      <c r="F2677" s="14"/>
      <c r="G2677" s="14"/>
      <c r="H2677" s="14"/>
      <c r="I2677" s="14"/>
      <c r="J2677" s="14"/>
      <c r="K2677" s="14"/>
      <c r="L2677" s="14"/>
      <c r="M2677" s="14"/>
      <c r="N2677" s="14"/>
      <c r="O2677" s="14"/>
      <c r="P2677" s="14"/>
      <c r="Q2677" s="14"/>
      <c r="R2677" s="14"/>
      <c r="S2677" s="14"/>
      <c r="T2677" s="14"/>
    </row>
    <row r="2678" spans="2:20" x14ac:dyDescent="0.35">
      <c r="B2678" s="17"/>
      <c r="C2678" s="13"/>
      <c r="D2678" s="13"/>
      <c r="E2678" s="13"/>
      <c r="F2678" s="14"/>
      <c r="G2678" s="14"/>
      <c r="H2678" s="14"/>
      <c r="I2678" s="14"/>
      <c r="J2678" s="14"/>
      <c r="K2678" s="14"/>
      <c r="L2678" s="14"/>
      <c r="M2678" s="14"/>
      <c r="N2678" s="14"/>
      <c r="O2678" s="14"/>
      <c r="P2678" s="14"/>
      <c r="Q2678" s="14"/>
      <c r="R2678" s="14"/>
      <c r="S2678" s="14"/>
      <c r="T2678" s="14"/>
    </row>
    <row r="2679" spans="2:20" x14ac:dyDescent="0.35">
      <c r="B2679" s="17"/>
      <c r="C2679" s="13"/>
      <c r="D2679" s="13"/>
      <c r="E2679" s="13"/>
      <c r="F2679" s="14"/>
      <c r="G2679" s="14"/>
      <c r="H2679" s="14"/>
      <c r="I2679" s="14"/>
      <c r="J2679" s="14"/>
      <c r="K2679" s="14"/>
      <c r="L2679" s="14"/>
      <c r="M2679" s="14"/>
      <c r="N2679" s="14"/>
      <c r="O2679" s="14"/>
      <c r="P2679" s="14"/>
      <c r="Q2679" s="14"/>
      <c r="R2679" s="14"/>
      <c r="S2679" s="14"/>
      <c r="T2679" s="14"/>
    </row>
    <row r="2680" spans="2:20" x14ac:dyDescent="0.35">
      <c r="B2680" s="17"/>
      <c r="C2680" s="13"/>
      <c r="D2680" s="13"/>
      <c r="E2680" s="13"/>
      <c r="F2680" s="14"/>
      <c r="G2680" s="14"/>
      <c r="H2680" s="14"/>
      <c r="I2680" s="14"/>
      <c r="J2680" s="14"/>
      <c r="K2680" s="14"/>
      <c r="L2680" s="14"/>
      <c r="M2680" s="14"/>
      <c r="N2680" s="14"/>
      <c r="O2680" s="14"/>
      <c r="P2680" s="14"/>
      <c r="Q2680" s="14"/>
      <c r="R2680" s="14"/>
      <c r="S2680" s="14"/>
      <c r="T2680" s="14"/>
    </row>
    <row r="2681" spans="2:20" x14ac:dyDescent="0.35">
      <c r="B2681" s="17"/>
      <c r="C2681" s="13"/>
      <c r="D2681" s="13"/>
      <c r="E2681" s="13"/>
      <c r="F2681" s="14"/>
      <c r="G2681" s="14"/>
      <c r="H2681" s="14"/>
      <c r="I2681" s="14"/>
      <c r="J2681" s="14"/>
      <c r="K2681" s="14"/>
      <c r="L2681" s="14"/>
      <c r="M2681" s="14"/>
      <c r="N2681" s="14"/>
      <c r="O2681" s="14"/>
      <c r="P2681" s="14"/>
      <c r="Q2681" s="14"/>
      <c r="R2681" s="14"/>
      <c r="S2681" s="14"/>
      <c r="T2681" s="14"/>
    </row>
    <row r="2682" spans="2:20" x14ac:dyDescent="0.35">
      <c r="B2682" s="17"/>
      <c r="C2682" s="13"/>
      <c r="D2682" s="13"/>
      <c r="E2682" s="13"/>
      <c r="F2682" s="14"/>
      <c r="G2682" s="14"/>
      <c r="H2682" s="14"/>
      <c r="I2682" s="14"/>
      <c r="J2682" s="14"/>
      <c r="K2682" s="14"/>
      <c r="L2682" s="14"/>
      <c r="M2682" s="14"/>
      <c r="N2682" s="14"/>
      <c r="O2682" s="14"/>
      <c r="P2682" s="14"/>
      <c r="Q2682" s="14"/>
      <c r="R2682" s="14"/>
      <c r="S2682" s="14"/>
      <c r="T2682" s="14"/>
    </row>
    <row r="2683" spans="2:20" x14ac:dyDescent="0.35">
      <c r="B2683" s="17"/>
      <c r="C2683" s="13"/>
      <c r="D2683" s="13"/>
      <c r="E2683" s="13"/>
      <c r="F2683" s="14"/>
      <c r="G2683" s="14"/>
      <c r="H2683" s="14"/>
      <c r="I2683" s="14"/>
      <c r="J2683" s="14"/>
      <c r="K2683" s="14"/>
      <c r="L2683" s="14"/>
      <c r="M2683" s="14"/>
      <c r="N2683" s="14"/>
      <c r="O2683" s="14"/>
      <c r="P2683" s="14"/>
      <c r="Q2683" s="14"/>
      <c r="R2683" s="14"/>
      <c r="S2683" s="14"/>
      <c r="T2683" s="14"/>
    </row>
    <row r="2684" spans="2:20" x14ac:dyDescent="0.35">
      <c r="B2684" s="17"/>
      <c r="C2684" s="13"/>
      <c r="D2684" s="13"/>
      <c r="E2684" s="13"/>
      <c r="F2684" s="14"/>
      <c r="G2684" s="14"/>
      <c r="H2684" s="14"/>
      <c r="I2684" s="14"/>
      <c r="J2684" s="14"/>
      <c r="K2684" s="14"/>
      <c r="L2684" s="14"/>
      <c r="M2684" s="14"/>
      <c r="N2684" s="14"/>
      <c r="O2684" s="14"/>
      <c r="P2684" s="14"/>
      <c r="Q2684" s="14"/>
      <c r="R2684" s="14"/>
      <c r="S2684" s="14"/>
      <c r="T2684" s="14"/>
    </row>
    <row r="2685" spans="2:20" x14ac:dyDescent="0.35">
      <c r="B2685" s="17"/>
      <c r="C2685" s="13"/>
      <c r="D2685" s="13"/>
      <c r="E2685" s="13"/>
      <c r="F2685" s="14"/>
      <c r="G2685" s="14"/>
      <c r="H2685" s="14"/>
      <c r="I2685" s="14"/>
      <c r="J2685" s="14"/>
      <c r="K2685" s="14"/>
      <c r="L2685" s="14"/>
      <c r="M2685" s="14"/>
      <c r="N2685" s="14"/>
      <c r="O2685" s="14"/>
      <c r="P2685" s="14"/>
      <c r="Q2685" s="14"/>
      <c r="R2685" s="14"/>
      <c r="S2685" s="14"/>
      <c r="T2685" s="14"/>
    </row>
    <row r="2686" spans="2:20" x14ac:dyDescent="0.35">
      <c r="B2686" s="17"/>
      <c r="C2686" s="13"/>
      <c r="D2686" s="13"/>
      <c r="E2686" s="13"/>
      <c r="F2686" s="14"/>
      <c r="G2686" s="14"/>
      <c r="H2686" s="14"/>
      <c r="I2686" s="14"/>
      <c r="J2686" s="14"/>
      <c r="K2686" s="14"/>
      <c r="L2686" s="14"/>
      <c r="M2686" s="14"/>
      <c r="N2686" s="14"/>
      <c r="O2686" s="14"/>
      <c r="P2686" s="14"/>
      <c r="Q2686" s="14"/>
      <c r="R2686" s="14"/>
      <c r="S2686" s="14"/>
      <c r="T2686" s="14"/>
    </row>
    <row r="2687" spans="2:20" x14ac:dyDescent="0.35">
      <c r="B2687" s="17"/>
      <c r="C2687" s="13"/>
      <c r="D2687" s="13"/>
      <c r="E2687" s="13"/>
      <c r="F2687" s="14"/>
      <c r="G2687" s="14"/>
      <c r="H2687" s="14"/>
      <c r="I2687" s="14"/>
      <c r="J2687" s="14"/>
      <c r="K2687" s="14"/>
      <c r="L2687" s="14"/>
      <c r="M2687" s="14"/>
      <c r="N2687" s="14"/>
      <c r="O2687" s="14"/>
      <c r="P2687" s="14"/>
      <c r="Q2687" s="14"/>
      <c r="R2687" s="14"/>
      <c r="S2687" s="14"/>
      <c r="T2687" s="14"/>
    </row>
    <row r="2688" spans="2:20" x14ac:dyDescent="0.35">
      <c r="B2688" s="17"/>
      <c r="C2688" s="18"/>
      <c r="D2688" s="19"/>
      <c r="E2688" s="19"/>
      <c r="F2688" s="22"/>
      <c r="G2688" s="22"/>
      <c r="H2688" s="22"/>
      <c r="I2688" s="22"/>
      <c r="J2688" s="22"/>
      <c r="K2688" s="22"/>
      <c r="L2688" s="22"/>
      <c r="M2688" s="22"/>
      <c r="N2688" s="22"/>
      <c r="O2688" s="22"/>
      <c r="P2688" s="22"/>
      <c r="Q2688" s="22"/>
      <c r="R2688" s="22"/>
      <c r="S2688" s="22"/>
      <c r="T2688" s="22"/>
    </row>
    <row r="2689" spans="2:20" x14ac:dyDescent="0.35">
      <c r="B2689" s="17"/>
      <c r="C2689" s="18"/>
      <c r="D2689" s="19"/>
      <c r="E2689" s="19"/>
      <c r="F2689" s="22"/>
      <c r="G2689" s="22"/>
      <c r="H2689" s="22"/>
      <c r="I2689" s="22"/>
      <c r="J2689" s="22"/>
      <c r="K2689" s="22"/>
      <c r="L2689" s="22"/>
      <c r="M2689" s="22"/>
      <c r="N2689" s="22"/>
      <c r="O2689" s="22"/>
      <c r="P2689" s="22"/>
      <c r="Q2689" s="22"/>
      <c r="R2689" s="22"/>
      <c r="S2689" s="22"/>
      <c r="T2689" s="22"/>
    </row>
    <row r="2690" spans="2:20" x14ac:dyDescent="0.35">
      <c r="B2690" s="17"/>
      <c r="C2690" s="18"/>
      <c r="D2690" s="19"/>
      <c r="E2690" s="19"/>
      <c r="F2690" s="22"/>
      <c r="G2690" s="22"/>
      <c r="H2690" s="22"/>
      <c r="I2690" s="22"/>
      <c r="J2690" s="22"/>
      <c r="K2690" s="22"/>
      <c r="L2690" s="22"/>
      <c r="M2690" s="22"/>
      <c r="N2690" s="22"/>
      <c r="O2690" s="22"/>
      <c r="P2690" s="22"/>
      <c r="Q2690" s="22"/>
      <c r="R2690" s="22"/>
      <c r="S2690" s="22"/>
      <c r="T2690" s="22"/>
    </row>
    <row r="2691" spans="2:20" x14ac:dyDescent="0.35">
      <c r="B2691" s="17"/>
      <c r="C2691" s="18"/>
      <c r="D2691" s="19"/>
      <c r="E2691" s="19"/>
      <c r="F2691" s="22"/>
      <c r="G2691" s="22"/>
      <c r="H2691" s="22"/>
      <c r="I2691" s="22"/>
      <c r="J2691" s="22"/>
      <c r="K2691" s="22"/>
      <c r="L2691" s="22"/>
      <c r="M2691" s="22"/>
      <c r="N2691" s="22"/>
      <c r="O2691" s="22"/>
      <c r="P2691" s="22"/>
      <c r="Q2691" s="22"/>
      <c r="R2691" s="22"/>
      <c r="S2691" s="22"/>
      <c r="T2691" s="22"/>
    </row>
    <row r="2692" spans="2:20" x14ac:dyDescent="0.35">
      <c r="B2692" s="17"/>
      <c r="C2692" s="18"/>
      <c r="D2692" s="19"/>
      <c r="E2692" s="19"/>
      <c r="F2692" s="22"/>
      <c r="G2692" s="22"/>
      <c r="H2692" s="22"/>
      <c r="I2692" s="22"/>
      <c r="J2692" s="22"/>
      <c r="K2692" s="22"/>
      <c r="L2692" s="22"/>
      <c r="M2692" s="22"/>
      <c r="N2692" s="22"/>
      <c r="O2692" s="22"/>
      <c r="P2692" s="22"/>
      <c r="Q2692" s="22"/>
      <c r="R2692" s="22"/>
      <c r="S2692" s="22"/>
      <c r="T2692" s="22"/>
    </row>
    <row r="2693" spans="2:20" x14ac:dyDescent="0.35">
      <c r="B2693" s="17"/>
      <c r="C2693" s="18"/>
      <c r="D2693" s="19"/>
      <c r="E2693" s="19"/>
      <c r="F2693" s="22"/>
      <c r="G2693" s="22"/>
      <c r="H2693" s="22"/>
      <c r="I2693" s="22"/>
      <c r="J2693" s="22"/>
      <c r="K2693" s="22"/>
      <c r="L2693" s="22"/>
      <c r="M2693" s="22"/>
      <c r="N2693" s="22"/>
      <c r="O2693" s="22"/>
      <c r="P2693" s="22"/>
      <c r="Q2693" s="22"/>
      <c r="R2693" s="22"/>
      <c r="S2693" s="22"/>
      <c r="T2693" s="22"/>
    </row>
    <row r="2694" spans="2:20" x14ac:dyDescent="0.35">
      <c r="B2694" s="17"/>
      <c r="C2694" s="18"/>
      <c r="D2694" s="19"/>
      <c r="E2694" s="19"/>
      <c r="F2694" s="22"/>
      <c r="G2694" s="22"/>
      <c r="H2694" s="22"/>
      <c r="I2694" s="22"/>
      <c r="J2694" s="22"/>
      <c r="K2694" s="22"/>
      <c r="L2694" s="22"/>
      <c r="M2694" s="22"/>
      <c r="N2694" s="22"/>
      <c r="O2694" s="22"/>
      <c r="P2694" s="22"/>
      <c r="Q2694" s="22"/>
      <c r="R2694" s="22"/>
      <c r="S2694" s="22"/>
      <c r="T2694" s="22"/>
    </row>
    <row r="2695" spans="2:20" x14ac:dyDescent="0.35">
      <c r="B2695" s="17"/>
      <c r="C2695" s="18"/>
      <c r="D2695" s="19"/>
      <c r="E2695" s="19"/>
      <c r="F2695" s="22"/>
      <c r="G2695" s="22"/>
      <c r="H2695" s="22"/>
      <c r="I2695" s="22"/>
      <c r="J2695" s="22"/>
      <c r="K2695" s="22"/>
      <c r="L2695" s="22"/>
      <c r="M2695" s="22"/>
      <c r="N2695" s="22"/>
      <c r="O2695" s="22"/>
      <c r="P2695" s="22"/>
      <c r="Q2695" s="22"/>
      <c r="R2695" s="22"/>
      <c r="S2695" s="22"/>
      <c r="T2695" s="22"/>
    </row>
    <row r="2696" spans="2:20" x14ac:dyDescent="0.35">
      <c r="B2696" s="17"/>
      <c r="C2696" s="18"/>
      <c r="D2696" s="19"/>
      <c r="E2696" s="19"/>
      <c r="F2696" s="22"/>
      <c r="G2696" s="22"/>
      <c r="H2696" s="22"/>
      <c r="I2696" s="22"/>
      <c r="J2696" s="22"/>
      <c r="K2696" s="22"/>
      <c r="L2696" s="22"/>
      <c r="M2696" s="22"/>
      <c r="N2696" s="22"/>
      <c r="O2696" s="22"/>
      <c r="P2696" s="22"/>
      <c r="Q2696" s="22"/>
      <c r="R2696" s="22"/>
      <c r="S2696" s="22"/>
      <c r="T2696" s="22"/>
    </row>
    <row r="2697" spans="2:20" x14ac:dyDescent="0.35">
      <c r="B2697" s="17"/>
      <c r="C2697" s="18"/>
      <c r="D2697" s="19"/>
      <c r="E2697" s="19"/>
      <c r="F2697" s="22"/>
      <c r="G2697" s="22"/>
      <c r="H2697" s="22"/>
      <c r="I2697" s="22"/>
      <c r="J2697" s="22"/>
      <c r="K2697" s="22"/>
      <c r="L2697" s="22"/>
      <c r="M2697" s="22"/>
      <c r="N2697" s="22"/>
      <c r="O2697" s="22"/>
      <c r="P2697" s="22"/>
      <c r="Q2697" s="22"/>
      <c r="R2697" s="22"/>
      <c r="S2697" s="22"/>
      <c r="T2697" s="22"/>
    </row>
    <row r="2698" spans="2:20" x14ac:dyDescent="0.35">
      <c r="B2698" s="17"/>
      <c r="C2698" s="18"/>
      <c r="D2698" s="19"/>
      <c r="E2698" s="19"/>
      <c r="F2698" s="22"/>
      <c r="G2698" s="22"/>
      <c r="H2698" s="22"/>
      <c r="I2698" s="22"/>
      <c r="J2698" s="22"/>
      <c r="K2698" s="22"/>
      <c r="L2698" s="22"/>
      <c r="M2698" s="22"/>
      <c r="N2698" s="22"/>
      <c r="O2698" s="22"/>
      <c r="P2698" s="22"/>
      <c r="Q2698" s="22"/>
      <c r="R2698" s="22"/>
      <c r="S2698" s="22"/>
      <c r="T2698" s="22"/>
    </row>
    <row r="2699" spans="2:20" x14ac:dyDescent="0.35">
      <c r="B2699" s="17"/>
      <c r="C2699" s="18"/>
      <c r="D2699" s="19"/>
      <c r="E2699" s="19"/>
      <c r="F2699" s="22"/>
      <c r="G2699" s="22"/>
      <c r="H2699" s="22"/>
      <c r="I2699" s="22"/>
      <c r="J2699" s="22"/>
      <c r="K2699" s="22"/>
      <c r="L2699" s="22"/>
      <c r="M2699" s="22"/>
      <c r="N2699" s="22"/>
      <c r="O2699" s="22"/>
      <c r="P2699" s="22"/>
      <c r="Q2699" s="22"/>
      <c r="R2699" s="22"/>
      <c r="S2699" s="22"/>
      <c r="T2699" s="22"/>
    </row>
    <row r="2700" spans="2:20" x14ac:dyDescent="0.35">
      <c r="B2700" s="17"/>
      <c r="C2700" s="18"/>
      <c r="D2700" s="19"/>
      <c r="E2700" s="19"/>
      <c r="F2700" s="22"/>
      <c r="G2700" s="22"/>
      <c r="H2700" s="22"/>
      <c r="I2700" s="22"/>
      <c r="J2700" s="22"/>
      <c r="K2700" s="22"/>
      <c r="L2700" s="22"/>
      <c r="M2700" s="22"/>
      <c r="N2700" s="22"/>
      <c r="O2700" s="22"/>
      <c r="P2700" s="22"/>
      <c r="Q2700" s="22"/>
      <c r="R2700" s="22"/>
      <c r="S2700" s="22"/>
      <c r="T2700" s="22"/>
    </row>
    <row r="2701" spans="2:20" x14ac:dyDescent="0.35">
      <c r="B2701" s="17"/>
      <c r="C2701" s="18"/>
      <c r="D2701" s="19"/>
      <c r="E2701" s="19"/>
      <c r="F2701" s="22"/>
      <c r="G2701" s="22"/>
      <c r="H2701" s="22"/>
      <c r="I2701" s="22"/>
      <c r="J2701" s="22"/>
      <c r="K2701" s="22"/>
      <c r="L2701" s="22"/>
      <c r="M2701" s="22"/>
      <c r="N2701" s="22"/>
      <c r="O2701" s="22"/>
      <c r="P2701" s="22"/>
      <c r="Q2701" s="22"/>
      <c r="R2701" s="22"/>
      <c r="S2701" s="22"/>
      <c r="T2701" s="22"/>
    </row>
    <row r="2702" spans="2:20" x14ac:dyDescent="0.35">
      <c r="B2702" s="17"/>
      <c r="C2702" s="18"/>
      <c r="D2702" s="19"/>
      <c r="E2702" s="19"/>
      <c r="F2702" s="22"/>
      <c r="G2702" s="22"/>
      <c r="H2702" s="22"/>
      <c r="I2702" s="22"/>
      <c r="J2702" s="22"/>
      <c r="K2702" s="22"/>
      <c r="L2702" s="22"/>
      <c r="M2702" s="22"/>
      <c r="N2702" s="22"/>
      <c r="O2702" s="22"/>
      <c r="P2702" s="22"/>
      <c r="Q2702" s="22"/>
      <c r="R2702" s="22"/>
      <c r="S2702" s="22"/>
      <c r="T2702" s="22"/>
    </row>
    <row r="2703" spans="2:20" x14ac:dyDescent="0.35">
      <c r="B2703" s="17"/>
      <c r="C2703" s="18"/>
      <c r="D2703" s="19"/>
      <c r="E2703" s="19"/>
      <c r="F2703" s="22"/>
      <c r="G2703" s="22"/>
      <c r="H2703" s="22"/>
      <c r="I2703" s="22"/>
      <c r="J2703" s="22"/>
      <c r="K2703" s="22"/>
      <c r="L2703" s="22"/>
      <c r="M2703" s="22"/>
      <c r="N2703" s="22"/>
      <c r="O2703" s="22"/>
      <c r="P2703" s="22"/>
      <c r="Q2703" s="22"/>
      <c r="R2703" s="22"/>
      <c r="S2703" s="22"/>
      <c r="T2703" s="22"/>
    </row>
    <row r="2704" spans="2:20" x14ac:dyDescent="0.35">
      <c r="B2704" s="17"/>
      <c r="C2704" s="13"/>
      <c r="D2704" s="13"/>
      <c r="E2704" s="13"/>
      <c r="F2704" s="14"/>
      <c r="G2704" s="14"/>
      <c r="H2704" s="14"/>
      <c r="I2704" s="14"/>
      <c r="J2704" s="14"/>
      <c r="K2704" s="14"/>
      <c r="L2704" s="14"/>
      <c r="M2704" s="14"/>
      <c r="N2704" s="14"/>
      <c r="O2704" s="14"/>
      <c r="P2704" s="14"/>
      <c r="Q2704" s="14"/>
      <c r="R2704" s="14"/>
      <c r="S2704" s="14"/>
      <c r="T2704" s="14"/>
    </row>
    <row r="2705" spans="2:20" x14ac:dyDescent="0.35">
      <c r="B2705" s="17"/>
      <c r="C2705" s="13"/>
      <c r="D2705" s="13"/>
      <c r="E2705" s="13"/>
      <c r="F2705" s="14"/>
      <c r="G2705" s="14"/>
      <c r="H2705" s="14"/>
      <c r="I2705" s="14"/>
      <c r="J2705" s="14"/>
      <c r="K2705" s="14"/>
      <c r="L2705" s="14"/>
      <c r="M2705" s="14"/>
      <c r="N2705" s="14"/>
      <c r="O2705" s="14"/>
      <c r="P2705" s="14"/>
      <c r="Q2705" s="14"/>
      <c r="R2705" s="14"/>
      <c r="S2705" s="14"/>
      <c r="T2705" s="14"/>
    </row>
    <row r="2706" spans="2:20" x14ac:dyDescent="0.35">
      <c r="B2706" s="17"/>
      <c r="C2706" s="13"/>
      <c r="D2706" s="13"/>
      <c r="E2706" s="13"/>
      <c r="F2706" s="14"/>
      <c r="G2706" s="14"/>
      <c r="H2706" s="14"/>
      <c r="I2706" s="14"/>
      <c r="J2706" s="14"/>
      <c r="K2706" s="14"/>
      <c r="L2706" s="14"/>
      <c r="M2706" s="14"/>
      <c r="N2706" s="14"/>
      <c r="O2706" s="14"/>
      <c r="P2706" s="14"/>
      <c r="Q2706" s="14"/>
      <c r="R2706" s="14"/>
      <c r="S2706" s="14"/>
      <c r="T2706" s="14"/>
    </row>
    <row r="2707" spans="2:20" x14ac:dyDescent="0.35">
      <c r="B2707" s="17"/>
      <c r="C2707" s="13"/>
      <c r="D2707" s="13"/>
      <c r="E2707" s="13"/>
      <c r="F2707" s="14"/>
      <c r="G2707" s="14"/>
      <c r="H2707" s="14"/>
      <c r="I2707" s="14"/>
      <c r="J2707" s="14"/>
      <c r="K2707" s="14"/>
      <c r="L2707" s="14"/>
      <c r="M2707" s="14"/>
      <c r="N2707" s="14"/>
      <c r="O2707" s="14"/>
      <c r="P2707" s="14"/>
      <c r="Q2707" s="14"/>
      <c r="R2707" s="14"/>
      <c r="S2707" s="14"/>
      <c r="T2707" s="14"/>
    </row>
    <row r="2708" spans="2:20" x14ac:dyDescent="0.35">
      <c r="B2708" s="17"/>
      <c r="C2708" s="13"/>
      <c r="D2708" s="13"/>
      <c r="E2708" s="13"/>
      <c r="F2708" s="14"/>
      <c r="G2708" s="14"/>
      <c r="H2708" s="14"/>
      <c r="I2708" s="14"/>
      <c r="J2708" s="14"/>
      <c r="K2708" s="14"/>
      <c r="L2708" s="14"/>
      <c r="M2708" s="14"/>
      <c r="N2708" s="14"/>
      <c r="O2708" s="14"/>
      <c r="P2708" s="14"/>
      <c r="Q2708" s="14"/>
      <c r="R2708" s="14"/>
      <c r="S2708" s="14"/>
      <c r="T2708" s="14"/>
    </row>
    <row r="2709" spans="2:20" x14ac:dyDescent="0.35">
      <c r="B2709" s="17"/>
      <c r="C2709" s="13"/>
      <c r="D2709" s="13"/>
      <c r="E2709" s="13"/>
      <c r="F2709" s="14"/>
      <c r="G2709" s="14"/>
      <c r="H2709" s="14"/>
      <c r="I2709" s="14"/>
      <c r="J2709" s="14"/>
      <c r="K2709" s="14"/>
      <c r="L2709" s="14"/>
      <c r="M2709" s="14"/>
      <c r="N2709" s="14"/>
      <c r="O2709" s="14"/>
      <c r="P2709" s="14"/>
      <c r="Q2709" s="14"/>
      <c r="R2709" s="14"/>
      <c r="S2709" s="14"/>
      <c r="T2709" s="14"/>
    </row>
    <row r="2710" spans="2:20" x14ac:dyDescent="0.35">
      <c r="B2710" s="17"/>
      <c r="C2710" s="13"/>
      <c r="D2710" s="13"/>
      <c r="E2710" s="13"/>
      <c r="F2710" s="14"/>
      <c r="G2710" s="14"/>
      <c r="H2710" s="14"/>
      <c r="I2710" s="14"/>
      <c r="J2710" s="14"/>
      <c r="K2710" s="14"/>
      <c r="L2710" s="14"/>
      <c r="M2710" s="14"/>
      <c r="N2710" s="14"/>
      <c r="O2710" s="14"/>
      <c r="P2710" s="14"/>
      <c r="Q2710" s="14"/>
      <c r="R2710" s="14"/>
      <c r="S2710" s="14"/>
      <c r="T2710" s="14"/>
    </row>
    <row r="2711" spans="2:20" x14ac:dyDescent="0.35">
      <c r="B2711" s="17"/>
      <c r="C2711" s="18"/>
      <c r="D2711" s="19"/>
      <c r="E2711" s="19"/>
      <c r="F2711" s="22"/>
      <c r="G2711" s="22"/>
      <c r="H2711" s="22"/>
      <c r="I2711" s="22"/>
      <c r="J2711" s="22"/>
      <c r="K2711" s="22"/>
      <c r="L2711" s="22"/>
      <c r="M2711" s="22"/>
      <c r="N2711" s="22"/>
      <c r="O2711" s="22"/>
      <c r="P2711" s="22"/>
      <c r="Q2711" s="22"/>
      <c r="R2711" s="22"/>
      <c r="S2711" s="22"/>
      <c r="T2711" s="22"/>
    </row>
    <row r="2712" spans="2:20" x14ac:dyDescent="0.35">
      <c r="B2712" s="17"/>
      <c r="C2712" s="18"/>
      <c r="D2712" s="19"/>
      <c r="E2712" s="19"/>
      <c r="F2712" s="22"/>
      <c r="G2712" s="22"/>
      <c r="H2712" s="22"/>
      <c r="I2712" s="22"/>
      <c r="J2712" s="22"/>
      <c r="K2712" s="22"/>
      <c r="L2712" s="22"/>
      <c r="M2712" s="22"/>
      <c r="N2712" s="22"/>
      <c r="O2712" s="22"/>
      <c r="P2712" s="22"/>
      <c r="Q2712" s="22"/>
      <c r="R2712" s="22"/>
      <c r="S2712" s="22"/>
      <c r="T2712" s="22"/>
    </row>
    <row r="2713" spans="2:20" x14ac:dyDescent="0.35">
      <c r="B2713" s="17"/>
      <c r="C2713" s="18"/>
      <c r="D2713" s="19"/>
      <c r="E2713" s="19"/>
      <c r="F2713" s="22"/>
      <c r="G2713" s="22"/>
      <c r="H2713" s="22"/>
      <c r="I2713" s="22"/>
      <c r="J2713" s="22"/>
      <c r="K2713" s="22"/>
      <c r="L2713" s="22"/>
      <c r="M2713" s="22"/>
      <c r="N2713" s="22"/>
      <c r="O2713" s="22"/>
      <c r="P2713" s="22"/>
      <c r="Q2713" s="22"/>
      <c r="R2713" s="22"/>
      <c r="S2713" s="22"/>
      <c r="T2713" s="22"/>
    </row>
    <row r="2714" spans="2:20" x14ac:dyDescent="0.35">
      <c r="B2714" s="17"/>
      <c r="C2714" s="18"/>
      <c r="D2714" s="19"/>
      <c r="E2714" s="19"/>
      <c r="F2714" s="22"/>
      <c r="G2714" s="22"/>
      <c r="H2714" s="22"/>
      <c r="I2714" s="22"/>
      <c r="J2714" s="22"/>
      <c r="K2714" s="22"/>
      <c r="L2714" s="22"/>
      <c r="M2714" s="22"/>
      <c r="N2714" s="22"/>
      <c r="O2714" s="22"/>
      <c r="P2714" s="22"/>
      <c r="Q2714" s="22"/>
      <c r="R2714" s="22"/>
      <c r="S2714" s="22"/>
      <c r="T2714" s="22"/>
    </row>
    <row r="2715" spans="2:20" x14ac:dyDescent="0.35">
      <c r="B2715" s="17"/>
      <c r="C2715" s="18"/>
      <c r="D2715" s="19"/>
      <c r="E2715" s="19"/>
      <c r="F2715" s="22"/>
      <c r="G2715" s="22"/>
      <c r="H2715" s="22"/>
      <c r="I2715" s="22"/>
      <c r="J2715" s="22"/>
      <c r="K2715" s="22"/>
      <c r="L2715" s="22"/>
      <c r="M2715" s="22"/>
      <c r="N2715" s="22"/>
      <c r="O2715" s="22"/>
      <c r="P2715" s="22"/>
      <c r="Q2715" s="22"/>
      <c r="R2715" s="22"/>
      <c r="S2715" s="22"/>
      <c r="T2715" s="22"/>
    </row>
    <row r="2716" spans="2:20" x14ac:dyDescent="0.35">
      <c r="B2716" s="17"/>
      <c r="C2716" s="20"/>
      <c r="D2716" s="19"/>
      <c r="E2716" s="19"/>
      <c r="F2716" s="22"/>
      <c r="G2716" s="22"/>
      <c r="H2716" s="22"/>
      <c r="I2716" s="22"/>
      <c r="J2716" s="22"/>
      <c r="K2716" s="22"/>
      <c r="L2716" s="22"/>
      <c r="M2716" s="22"/>
      <c r="N2716" s="22"/>
      <c r="O2716" s="22"/>
      <c r="P2716" s="22"/>
      <c r="Q2716" s="22"/>
      <c r="R2716" s="22"/>
      <c r="S2716" s="22"/>
      <c r="T2716" s="22"/>
    </row>
    <row r="2717" spans="2:20" x14ac:dyDescent="0.35">
      <c r="B2717" s="17"/>
      <c r="C2717" s="20"/>
      <c r="D2717" s="19"/>
      <c r="E2717" s="19"/>
      <c r="F2717" s="22"/>
      <c r="G2717" s="22"/>
      <c r="H2717" s="22"/>
      <c r="I2717" s="22"/>
      <c r="J2717" s="22"/>
      <c r="K2717" s="22"/>
      <c r="L2717" s="22"/>
      <c r="M2717" s="22"/>
      <c r="N2717" s="22"/>
      <c r="O2717" s="22"/>
      <c r="P2717" s="22"/>
      <c r="Q2717" s="22"/>
      <c r="R2717" s="22"/>
      <c r="S2717" s="22"/>
      <c r="T2717" s="22"/>
    </row>
    <row r="2718" spans="2:20" x14ac:dyDescent="0.35">
      <c r="B2718" s="17"/>
      <c r="C2718" s="20"/>
      <c r="D2718" s="19"/>
      <c r="E2718" s="19"/>
      <c r="F2718" s="22"/>
      <c r="G2718" s="22"/>
      <c r="H2718" s="22"/>
      <c r="I2718" s="22"/>
      <c r="J2718" s="22"/>
      <c r="K2718" s="22"/>
      <c r="L2718" s="22"/>
      <c r="M2718" s="22"/>
      <c r="N2718" s="22"/>
      <c r="O2718" s="22"/>
      <c r="P2718" s="22"/>
      <c r="Q2718" s="22"/>
      <c r="R2718" s="22"/>
      <c r="S2718" s="22"/>
      <c r="T2718" s="22"/>
    </row>
    <row r="2719" spans="2:20" x14ac:dyDescent="0.35">
      <c r="B2719" s="17"/>
      <c r="C2719" s="20"/>
      <c r="D2719" s="19"/>
      <c r="E2719" s="19"/>
      <c r="F2719" s="22"/>
      <c r="G2719" s="22"/>
      <c r="H2719" s="22"/>
      <c r="I2719" s="22"/>
      <c r="J2719" s="22"/>
      <c r="K2719" s="22"/>
      <c r="L2719" s="22"/>
      <c r="M2719" s="22"/>
      <c r="N2719" s="22"/>
      <c r="O2719" s="22"/>
      <c r="P2719" s="22"/>
      <c r="Q2719" s="22"/>
      <c r="R2719" s="22"/>
      <c r="S2719" s="22"/>
      <c r="T2719" s="22"/>
    </row>
    <row r="2720" spans="2:20" x14ac:dyDescent="0.35">
      <c r="B2720" s="17"/>
      <c r="C2720" s="13"/>
      <c r="D2720" s="13"/>
      <c r="E2720" s="13"/>
      <c r="F2720" s="14"/>
      <c r="G2720" s="14"/>
      <c r="H2720" s="14"/>
      <c r="I2720" s="14"/>
      <c r="J2720" s="14"/>
      <c r="K2720" s="14"/>
      <c r="L2720" s="14"/>
      <c r="M2720" s="14"/>
      <c r="N2720" s="14"/>
      <c r="O2720" s="14"/>
      <c r="P2720" s="14"/>
      <c r="Q2720" s="14"/>
      <c r="R2720" s="14"/>
      <c r="S2720" s="14"/>
      <c r="T2720" s="14"/>
    </row>
    <row r="2721" spans="2:20" x14ac:dyDescent="0.35">
      <c r="B2721" s="17"/>
      <c r="C2721" s="13"/>
      <c r="D2721" s="13"/>
      <c r="E2721" s="13"/>
      <c r="F2721" s="14"/>
      <c r="G2721" s="14"/>
      <c r="H2721" s="14"/>
      <c r="I2721" s="14"/>
      <c r="J2721" s="14"/>
      <c r="K2721" s="14"/>
      <c r="L2721" s="14"/>
      <c r="M2721" s="14"/>
      <c r="N2721" s="14"/>
      <c r="O2721" s="14"/>
      <c r="P2721" s="14"/>
      <c r="Q2721" s="14"/>
      <c r="R2721" s="14"/>
      <c r="S2721" s="14"/>
      <c r="T2721" s="14"/>
    </row>
    <row r="2722" spans="2:20" x14ac:dyDescent="0.35">
      <c r="B2722" s="17"/>
      <c r="C2722" s="13"/>
      <c r="D2722" s="13"/>
      <c r="E2722" s="13"/>
      <c r="F2722" s="14"/>
      <c r="G2722" s="14"/>
      <c r="H2722" s="14"/>
      <c r="I2722" s="14"/>
      <c r="J2722" s="14"/>
      <c r="K2722" s="14"/>
      <c r="L2722" s="14"/>
      <c r="M2722" s="14"/>
      <c r="N2722" s="14"/>
      <c r="O2722" s="14"/>
      <c r="P2722" s="14"/>
      <c r="Q2722" s="14"/>
      <c r="R2722" s="14"/>
      <c r="S2722" s="14"/>
      <c r="T2722" s="14"/>
    </row>
    <row r="2723" spans="2:20" x14ac:dyDescent="0.35">
      <c r="B2723" s="17"/>
      <c r="C2723" s="13"/>
      <c r="D2723" s="13"/>
      <c r="E2723" s="13"/>
      <c r="F2723" s="14"/>
      <c r="G2723" s="14"/>
      <c r="H2723" s="14"/>
      <c r="I2723" s="14"/>
      <c r="J2723" s="14"/>
      <c r="K2723" s="14"/>
      <c r="L2723" s="14"/>
      <c r="M2723" s="14"/>
      <c r="N2723" s="14"/>
      <c r="O2723" s="14"/>
      <c r="P2723" s="14"/>
      <c r="Q2723" s="14"/>
      <c r="R2723" s="14"/>
      <c r="S2723" s="14"/>
      <c r="T2723" s="14"/>
    </row>
    <row r="2724" spans="2:20" x14ac:dyDescent="0.35">
      <c r="B2724" s="17"/>
      <c r="C2724" s="13"/>
      <c r="D2724" s="13"/>
      <c r="E2724" s="13"/>
      <c r="F2724" s="14"/>
      <c r="G2724" s="14"/>
      <c r="H2724" s="14"/>
      <c r="I2724" s="14"/>
      <c r="J2724" s="14"/>
      <c r="K2724" s="14"/>
      <c r="L2724" s="14"/>
      <c r="M2724" s="14"/>
      <c r="N2724" s="14"/>
      <c r="O2724" s="14"/>
      <c r="P2724" s="14"/>
      <c r="Q2724" s="14"/>
      <c r="R2724" s="14"/>
      <c r="S2724" s="14"/>
      <c r="T2724" s="14"/>
    </row>
    <row r="2725" spans="2:20" x14ac:dyDescent="0.35">
      <c r="B2725" s="17"/>
      <c r="C2725" s="13"/>
      <c r="D2725" s="13"/>
      <c r="E2725" s="13"/>
      <c r="F2725" s="14"/>
      <c r="G2725" s="14"/>
      <c r="H2725" s="14"/>
      <c r="I2725" s="14"/>
      <c r="J2725" s="14"/>
      <c r="K2725" s="14"/>
      <c r="L2725" s="14"/>
      <c r="M2725" s="14"/>
      <c r="N2725" s="14"/>
      <c r="O2725" s="14"/>
      <c r="P2725" s="14"/>
      <c r="Q2725" s="14"/>
      <c r="R2725" s="14"/>
      <c r="S2725" s="14"/>
      <c r="T2725" s="14"/>
    </row>
    <row r="2726" spans="2:20" x14ac:dyDescent="0.35">
      <c r="B2726" s="17"/>
      <c r="C2726" s="13"/>
      <c r="D2726" s="13"/>
      <c r="E2726" s="13"/>
      <c r="F2726" s="14"/>
      <c r="G2726" s="14"/>
      <c r="H2726" s="14"/>
      <c r="I2726" s="14"/>
      <c r="J2726" s="14"/>
      <c r="K2726" s="14"/>
      <c r="L2726" s="14"/>
      <c r="M2726" s="14"/>
      <c r="N2726" s="14"/>
      <c r="O2726" s="14"/>
      <c r="P2726" s="14"/>
      <c r="Q2726" s="14"/>
      <c r="R2726" s="14"/>
      <c r="S2726" s="14"/>
      <c r="T2726" s="14"/>
    </row>
    <row r="2727" spans="2:20" x14ac:dyDescent="0.35">
      <c r="B2727" s="17"/>
      <c r="C2727" s="13"/>
      <c r="D2727" s="13"/>
      <c r="E2727" s="13"/>
      <c r="F2727" s="14"/>
      <c r="G2727" s="14"/>
      <c r="H2727" s="14"/>
      <c r="I2727" s="14"/>
      <c r="J2727" s="14"/>
      <c r="K2727" s="14"/>
      <c r="L2727" s="14"/>
      <c r="M2727" s="14"/>
      <c r="N2727" s="14"/>
      <c r="O2727" s="14"/>
      <c r="P2727" s="14"/>
      <c r="Q2727" s="14"/>
      <c r="R2727" s="14"/>
      <c r="S2727" s="14"/>
      <c r="T2727" s="14"/>
    </row>
    <row r="2728" spans="2:20" x14ac:dyDescent="0.35">
      <c r="B2728" s="17"/>
      <c r="C2728" s="13"/>
      <c r="D2728" s="13"/>
      <c r="E2728" s="13"/>
      <c r="F2728" s="14"/>
      <c r="G2728" s="14"/>
      <c r="H2728" s="14"/>
      <c r="I2728" s="14"/>
      <c r="J2728" s="14"/>
      <c r="K2728" s="14"/>
      <c r="L2728" s="14"/>
      <c r="M2728" s="14"/>
      <c r="N2728" s="14"/>
      <c r="O2728" s="14"/>
      <c r="P2728" s="14"/>
      <c r="Q2728" s="14"/>
      <c r="R2728" s="14"/>
      <c r="S2728" s="14"/>
      <c r="T2728" s="14"/>
    </row>
    <row r="2729" spans="2:20" x14ac:dyDescent="0.35">
      <c r="B2729" s="17"/>
      <c r="C2729" s="13"/>
      <c r="D2729" s="13"/>
      <c r="E2729" s="13"/>
      <c r="F2729" s="14"/>
      <c r="G2729" s="14"/>
      <c r="H2729" s="14"/>
      <c r="I2729" s="14"/>
      <c r="J2729" s="14"/>
      <c r="K2729" s="14"/>
      <c r="L2729" s="14"/>
      <c r="M2729" s="14"/>
      <c r="N2729" s="14"/>
      <c r="O2729" s="14"/>
      <c r="P2729" s="14"/>
      <c r="Q2729" s="14"/>
      <c r="R2729" s="14"/>
      <c r="S2729" s="14"/>
      <c r="T2729" s="14"/>
    </row>
    <row r="2730" spans="2:20" x14ac:dyDescent="0.35">
      <c r="B2730" s="17"/>
      <c r="C2730" s="13"/>
      <c r="D2730" s="13"/>
      <c r="E2730" s="13"/>
      <c r="F2730" s="14"/>
      <c r="G2730" s="14"/>
      <c r="H2730" s="14"/>
      <c r="I2730" s="14"/>
      <c r="J2730" s="14"/>
      <c r="K2730" s="14"/>
      <c r="L2730" s="14"/>
      <c r="M2730" s="14"/>
      <c r="N2730" s="14"/>
      <c r="O2730" s="14"/>
      <c r="P2730" s="14"/>
      <c r="Q2730" s="14"/>
      <c r="R2730" s="14"/>
      <c r="S2730" s="14"/>
      <c r="T2730" s="14"/>
    </row>
    <row r="2731" spans="2:20" x14ac:dyDescent="0.35">
      <c r="B2731" s="17"/>
      <c r="C2731" s="13"/>
      <c r="D2731" s="13"/>
      <c r="E2731" s="13"/>
      <c r="F2731" s="14"/>
      <c r="G2731" s="14"/>
      <c r="H2731" s="14"/>
      <c r="I2731" s="14"/>
      <c r="J2731" s="14"/>
      <c r="K2731" s="14"/>
      <c r="L2731" s="14"/>
      <c r="M2731" s="14"/>
      <c r="N2731" s="14"/>
      <c r="O2731" s="14"/>
      <c r="P2731" s="14"/>
      <c r="Q2731" s="14"/>
      <c r="R2731" s="14"/>
      <c r="S2731" s="14"/>
      <c r="T2731" s="14"/>
    </row>
    <row r="2732" spans="2:20" x14ac:dyDescent="0.35">
      <c r="B2732" s="17"/>
      <c r="C2732" s="13"/>
      <c r="D2732" s="13"/>
      <c r="E2732" s="13"/>
      <c r="F2732" s="14"/>
      <c r="G2732" s="14"/>
      <c r="H2732" s="14"/>
      <c r="I2732" s="14"/>
      <c r="J2732" s="14"/>
      <c r="K2732" s="14"/>
      <c r="L2732" s="14"/>
      <c r="M2732" s="14"/>
      <c r="N2732" s="14"/>
      <c r="O2732" s="14"/>
      <c r="P2732" s="14"/>
      <c r="Q2732" s="14"/>
      <c r="R2732" s="14"/>
      <c r="S2732" s="14"/>
      <c r="T2732" s="14"/>
    </row>
    <row r="2733" spans="2:20" x14ac:dyDescent="0.35">
      <c r="B2733" s="17"/>
      <c r="C2733" s="13"/>
      <c r="D2733" s="13"/>
      <c r="E2733" s="13"/>
      <c r="F2733" s="14"/>
      <c r="G2733" s="14"/>
      <c r="H2733" s="14"/>
      <c r="I2733" s="14"/>
      <c r="J2733" s="14"/>
      <c r="K2733" s="14"/>
      <c r="L2733" s="14"/>
      <c r="M2733" s="14"/>
      <c r="N2733" s="14"/>
      <c r="O2733" s="14"/>
      <c r="P2733" s="14"/>
      <c r="Q2733" s="14"/>
      <c r="R2733" s="14"/>
      <c r="S2733" s="14"/>
      <c r="T2733" s="14"/>
    </row>
    <row r="2734" spans="2:20" x14ac:dyDescent="0.35">
      <c r="B2734" s="17"/>
      <c r="C2734" s="13"/>
      <c r="D2734" s="13"/>
      <c r="E2734" s="13"/>
      <c r="F2734" s="14"/>
      <c r="G2734" s="14"/>
      <c r="H2734" s="14"/>
      <c r="I2734" s="14"/>
      <c r="J2734" s="14"/>
      <c r="K2734" s="14"/>
      <c r="L2734" s="14"/>
      <c r="M2734" s="14"/>
      <c r="N2734" s="14"/>
      <c r="O2734" s="14"/>
      <c r="P2734" s="14"/>
      <c r="Q2734" s="14"/>
      <c r="R2734" s="14"/>
      <c r="S2734" s="14"/>
      <c r="T2734" s="14"/>
    </row>
    <row r="2735" spans="2:20" x14ac:dyDescent="0.35">
      <c r="B2735" s="17"/>
      <c r="C2735" s="18"/>
      <c r="D2735" s="19"/>
      <c r="E2735" s="19"/>
      <c r="F2735" s="22"/>
      <c r="G2735" s="22"/>
      <c r="H2735" s="22"/>
      <c r="I2735" s="22"/>
      <c r="J2735" s="22"/>
      <c r="K2735" s="22"/>
      <c r="L2735" s="22"/>
      <c r="M2735" s="22"/>
      <c r="N2735" s="22"/>
      <c r="O2735" s="22"/>
      <c r="P2735" s="22"/>
      <c r="Q2735" s="22"/>
      <c r="R2735" s="22"/>
      <c r="S2735" s="22"/>
      <c r="T2735" s="22"/>
    </row>
    <row r="2736" spans="2:20" x14ac:dyDescent="0.35">
      <c r="B2736" s="17"/>
      <c r="C2736" s="18"/>
      <c r="D2736" s="19"/>
      <c r="E2736" s="19"/>
      <c r="F2736" s="22"/>
      <c r="G2736" s="22"/>
      <c r="H2736" s="22"/>
      <c r="I2736" s="22"/>
      <c r="J2736" s="22"/>
      <c r="K2736" s="22"/>
      <c r="L2736" s="22"/>
      <c r="M2736" s="22"/>
      <c r="N2736" s="22"/>
      <c r="O2736" s="22"/>
      <c r="P2736" s="22"/>
      <c r="Q2736" s="22"/>
      <c r="R2736" s="22"/>
      <c r="S2736" s="22"/>
      <c r="T2736" s="22"/>
    </row>
    <row r="2737" spans="2:20" x14ac:dyDescent="0.35">
      <c r="B2737" s="17"/>
      <c r="C2737" s="18"/>
      <c r="D2737" s="19"/>
      <c r="E2737" s="19"/>
      <c r="F2737" s="22"/>
      <c r="G2737" s="22"/>
      <c r="H2737" s="22"/>
      <c r="I2737" s="22"/>
      <c r="J2737" s="22"/>
      <c r="K2737" s="22"/>
      <c r="L2737" s="22"/>
      <c r="M2737" s="22"/>
      <c r="N2737" s="22"/>
      <c r="O2737" s="22"/>
      <c r="P2737" s="22"/>
      <c r="Q2737" s="22"/>
      <c r="R2737" s="22"/>
      <c r="S2737" s="22"/>
      <c r="T2737" s="22"/>
    </row>
    <row r="2738" spans="2:20" x14ac:dyDescent="0.35">
      <c r="B2738" s="17"/>
      <c r="C2738" s="18"/>
      <c r="D2738" s="19"/>
      <c r="E2738" s="19"/>
      <c r="F2738" s="22"/>
      <c r="G2738" s="22"/>
      <c r="H2738" s="22"/>
      <c r="I2738" s="22"/>
      <c r="J2738" s="22"/>
      <c r="K2738" s="22"/>
      <c r="L2738" s="22"/>
      <c r="M2738" s="22"/>
      <c r="N2738" s="22"/>
      <c r="O2738" s="22"/>
      <c r="P2738" s="22"/>
      <c r="Q2738" s="22"/>
      <c r="R2738" s="22"/>
      <c r="S2738" s="22"/>
      <c r="T2738" s="22"/>
    </row>
    <row r="2739" spans="2:20" x14ac:dyDescent="0.35">
      <c r="B2739" s="17"/>
      <c r="C2739" s="18"/>
      <c r="D2739" s="19"/>
      <c r="E2739" s="19"/>
      <c r="F2739" s="22"/>
      <c r="G2739" s="22"/>
      <c r="H2739" s="22"/>
      <c r="I2739" s="22"/>
      <c r="J2739" s="22"/>
      <c r="K2739" s="22"/>
      <c r="L2739" s="22"/>
      <c r="M2739" s="22"/>
      <c r="N2739" s="22"/>
      <c r="O2739" s="22"/>
      <c r="P2739" s="22"/>
      <c r="Q2739" s="22"/>
      <c r="R2739" s="22"/>
      <c r="S2739" s="22"/>
      <c r="T2739" s="22"/>
    </row>
    <row r="2740" spans="2:20" x14ac:dyDescent="0.35">
      <c r="B2740" s="17"/>
      <c r="C2740" s="18"/>
      <c r="D2740" s="19"/>
      <c r="E2740" s="19"/>
      <c r="F2740" s="22"/>
      <c r="G2740" s="22"/>
      <c r="H2740" s="22"/>
      <c r="I2740" s="22"/>
      <c r="J2740" s="22"/>
      <c r="K2740" s="22"/>
      <c r="L2740" s="22"/>
      <c r="M2740" s="22"/>
      <c r="N2740" s="22"/>
      <c r="O2740" s="22"/>
      <c r="P2740" s="22"/>
      <c r="Q2740" s="22"/>
      <c r="R2740" s="22"/>
      <c r="S2740" s="22"/>
      <c r="T2740" s="22"/>
    </row>
    <row r="2741" spans="2:20" x14ac:dyDescent="0.35">
      <c r="B2741" s="17"/>
      <c r="C2741" s="18"/>
      <c r="D2741" s="19"/>
      <c r="E2741" s="19"/>
      <c r="F2741" s="22"/>
      <c r="G2741" s="22"/>
      <c r="H2741" s="22"/>
      <c r="I2741" s="22"/>
      <c r="J2741" s="22"/>
      <c r="K2741" s="22"/>
      <c r="L2741" s="22"/>
      <c r="M2741" s="22"/>
      <c r="N2741" s="22"/>
      <c r="O2741" s="22"/>
      <c r="P2741" s="22"/>
      <c r="Q2741" s="22"/>
      <c r="R2741" s="22"/>
      <c r="S2741" s="22"/>
      <c r="T2741" s="22"/>
    </row>
    <row r="2742" spans="2:20" x14ac:dyDescent="0.35">
      <c r="B2742" s="17"/>
      <c r="C2742" s="18"/>
      <c r="D2742" s="19"/>
      <c r="E2742" s="19"/>
      <c r="F2742" s="22"/>
      <c r="G2742" s="22"/>
      <c r="H2742" s="22"/>
      <c r="I2742" s="22"/>
      <c r="J2742" s="22"/>
      <c r="K2742" s="22"/>
      <c r="L2742" s="22"/>
      <c r="M2742" s="22"/>
      <c r="N2742" s="22"/>
      <c r="O2742" s="22"/>
      <c r="P2742" s="22"/>
      <c r="Q2742" s="22"/>
      <c r="R2742" s="22"/>
      <c r="S2742" s="22"/>
      <c r="T2742" s="22"/>
    </row>
    <row r="2743" spans="2:20" x14ac:dyDescent="0.35">
      <c r="B2743" s="17"/>
      <c r="C2743" s="18"/>
      <c r="D2743" s="19"/>
      <c r="E2743" s="19"/>
      <c r="F2743" s="22"/>
      <c r="G2743" s="22"/>
      <c r="H2743" s="22"/>
      <c r="I2743" s="22"/>
      <c r="J2743" s="22"/>
      <c r="K2743" s="22"/>
      <c r="L2743" s="22"/>
      <c r="M2743" s="22"/>
      <c r="N2743" s="22"/>
      <c r="O2743" s="22"/>
      <c r="P2743" s="22"/>
      <c r="Q2743" s="22"/>
      <c r="R2743" s="22"/>
      <c r="S2743" s="22"/>
      <c r="T2743" s="22"/>
    </row>
    <row r="2744" spans="2:20" x14ac:dyDescent="0.35">
      <c r="B2744" s="17"/>
      <c r="C2744" s="18"/>
      <c r="D2744" s="19"/>
      <c r="E2744" s="19"/>
      <c r="F2744" s="22"/>
      <c r="G2744" s="22"/>
      <c r="H2744" s="22"/>
      <c r="I2744" s="22"/>
      <c r="J2744" s="22"/>
      <c r="K2744" s="22"/>
      <c r="L2744" s="22"/>
      <c r="M2744" s="22"/>
      <c r="N2744" s="22"/>
      <c r="O2744" s="22"/>
      <c r="P2744" s="22"/>
      <c r="Q2744" s="22"/>
      <c r="R2744" s="22"/>
      <c r="S2744" s="22"/>
      <c r="T2744" s="22"/>
    </row>
    <row r="2745" spans="2:20" x14ac:dyDescent="0.35">
      <c r="B2745" s="17"/>
      <c r="C2745" s="18"/>
      <c r="D2745" s="19"/>
      <c r="E2745" s="19"/>
      <c r="F2745" s="22"/>
      <c r="G2745" s="22"/>
      <c r="H2745" s="22"/>
      <c r="I2745" s="22"/>
      <c r="J2745" s="22"/>
      <c r="K2745" s="22"/>
      <c r="L2745" s="22"/>
      <c r="M2745" s="22"/>
      <c r="N2745" s="22"/>
      <c r="O2745" s="22"/>
      <c r="P2745" s="22"/>
      <c r="Q2745" s="22"/>
      <c r="R2745" s="22"/>
      <c r="S2745" s="22"/>
      <c r="T2745" s="22"/>
    </row>
    <row r="2746" spans="2:20" x14ac:dyDescent="0.35">
      <c r="B2746" s="17"/>
      <c r="C2746" s="18"/>
      <c r="D2746" s="19"/>
      <c r="E2746" s="19"/>
      <c r="F2746" s="22"/>
      <c r="G2746" s="22"/>
      <c r="H2746" s="22"/>
      <c r="I2746" s="22"/>
      <c r="J2746" s="22"/>
      <c r="K2746" s="22"/>
      <c r="L2746" s="22"/>
      <c r="M2746" s="22"/>
      <c r="N2746" s="22"/>
      <c r="O2746" s="22"/>
      <c r="P2746" s="22"/>
      <c r="Q2746" s="22"/>
      <c r="R2746" s="22"/>
      <c r="S2746" s="22"/>
      <c r="T2746" s="22"/>
    </row>
    <row r="2747" spans="2:20" x14ac:dyDescent="0.35">
      <c r="B2747" s="17"/>
      <c r="C2747" s="18"/>
      <c r="D2747" s="19"/>
      <c r="E2747" s="19"/>
      <c r="F2747" s="22"/>
      <c r="G2747" s="22"/>
      <c r="H2747" s="22"/>
      <c r="I2747" s="22"/>
      <c r="J2747" s="22"/>
      <c r="K2747" s="22"/>
      <c r="L2747" s="22"/>
      <c r="M2747" s="22"/>
      <c r="N2747" s="22"/>
      <c r="O2747" s="22"/>
      <c r="P2747" s="22"/>
      <c r="Q2747" s="22"/>
      <c r="R2747" s="22"/>
      <c r="S2747" s="22"/>
      <c r="T2747" s="22"/>
    </row>
    <row r="2748" spans="2:20" x14ac:dyDescent="0.35">
      <c r="B2748" s="17"/>
      <c r="C2748" s="18"/>
      <c r="D2748" s="19"/>
      <c r="E2748" s="19"/>
      <c r="F2748" s="22"/>
      <c r="G2748" s="22"/>
      <c r="H2748" s="22"/>
      <c r="I2748" s="22"/>
      <c r="J2748" s="22"/>
      <c r="K2748" s="22"/>
      <c r="L2748" s="22"/>
      <c r="M2748" s="22"/>
      <c r="N2748" s="22"/>
      <c r="O2748" s="22"/>
      <c r="P2748" s="22"/>
      <c r="Q2748" s="22"/>
      <c r="R2748" s="22"/>
      <c r="S2748" s="22"/>
      <c r="T2748" s="22"/>
    </row>
    <row r="2749" spans="2:20" x14ac:dyDescent="0.35">
      <c r="B2749" s="17"/>
      <c r="C2749" s="18"/>
      <c r="D2749" s="19"/>
      <c r="E2749" s="19"/>
      <c r="F2749" s="22"/>
      <c r="G2749" s="22"/>
      <c r="H2749" s="22"/>
      <c r="I2749" s="22"/>
      <c r="J2749" s="22"/>
      <c r="K2749" s="22"/>
      <c r="L2749" s="22"/>
      <c r="M2749" s="22"/>
      <c r="N2749" s="22"/>
      <c r="O2749" s="22"/>
      <c r="P2749" s="22"/>
      <c r="Q2749" s="22"/>
      <c r="R2749" s="22"/>
      <c r="S2749" s="22"/>
      <c r="T2749" s="22"/>
    </row>
    <row r="2750" spans="2:20" x14ac:dyDescent="0.35">
      <c r="B2750" s="17"/>
      <c r="C2750" s="18"/>
      <c r="D2750" s="19"/>
      <c r="E2750" s="19"/>
      <c r="F2750" s="22"/>
      <c r="G2750" s="22"/>
      <c r="H2750" s="22"/>
      <c r="I2750" s="22"/>
      <c r="J2750" s="22"/>
      <c r="K2750" s="22"/>
      <c r="L2750" s="22"/>
      <c r="M2750" s="22"/>
      <c r="N2750" s="22"/>
      <c r="O2750" s="22"/>
      <c r="P2750" s="22"/>
      <c r="Q2750" s="22"/>
      <c r="R2750" s="22"/>
      <c r="S2750" s="22"/>
      <c r="T2750" s="22"/>
    </row>
    <row r="2751" spans="2:20" x14ac:dyDescent="0.35">
      <c r="B2751" s="17"/>
      <c r="C2751" s="13"/>
      <c r="D2751" s="13"/>
      <c r="E2751" s="13"/>
      <c r="F2751" s="14"/>
      <c r="G2751" s="14"/>
      <c r="H2751" s="14"/>
      <c r="I2751" s="14"/>
      <c r="J2751" s="14"/>
      <c r="K2751" s="14"/>
      <c r="L2751" s="14"/>
      <c r="M2751" s="14"/>
      <c r="N2751" s="14"/>
      <c r="O2751" s="14"/>
      <c r="P2751" s="14"/>
      <c r="Q2751" s="14"/>
      <c r="R2751" s="14"/>
      <c r="S2751" s="14"/>
      <c r="T2751" s="14"/>
    </row>
    <row r="2752" spans="2:20" x14ac:dyDescent="0.35">
      <c r="B2752" s="17"/>
      <c r="C2752" s="13"/>
      <c r="D2752" s="13"/>
      <c r="E2752" s="13"/>
      <c r="F2752" s="14"/>
      <c r="G2752" s="14"/>
      <c r="H2752" s="14"/>
      <c r="I2752" s="14"/>
      <c r="J2752" s="14"/>
      <c r="K2752" s="14"/>
      <c r="L2752" s="14"/>
      <c r="M2752" s="14"/>
      <c r="N2752" s="14"/>
      <c r="O2752" s="14"/>
      <c r="P2752" s="14"/>
      <c r="Q2752" s="14"/>
      <c r="R2752" s="14"/>
      <c r="S2752" s="14"/>
      <c r="T2752" s="14"/>
    </row>
    <row r="2753" spans="2:20" x14ac:dyDescent="0.35">
      <c r="B2753" s="17"/>
      <c r="C2753" s="13"/>
      <c r="D2753" s="13"/>
      <c r="E2753" s="13"/>
      <c r="F2753" s="14"/>
      <c r="G2753" s="14"/>
      <c r="H2753" s="14"/>
      <c r="I2753" s="14"/>
      <c r="J2753" s="14"/>
      <c r="K2753" s="14"/>
      <c r="L2753" s="14"/>
      <c r="M2753" s="14"/>
      <c r="N2753" s="14"/>
      <c r="O2753" s="14"/>
      <c r="P2753" s="14"/>
      <c r="Q2753" s="14"/>
      <c r="R2753" s="14"/>
      <c r="S2753" s="14"/>
      <c r="T2753" s="14"/>
    </row>
    <row r="2754" spans="2:20" x14ac:dyDescent="0.35">
      <c r="B2754" s="17"/>
      <c r="C2754" s="13"/>
      <c r="D2754" s="13"/>
      <c r="E2754" s="13"/>
      <c r="F2754" s="14"/>
      <c r="G2754" s="14"/>
      <c r="H2754" s="14"/>
      <c r="I2754" s="14"/>
      <c r="J2754" s="14"/>
      <c r="K2754" s="14"/>
      <c r="L2754" s="14"/>
      <c r="M2754" s="14"/>
      <c r="N2754" s="14"/>
      <c r="O2754" s="14"/>
      <c r="P2754" s="14"/>
      <c r="Q2754" s="14"/>
      <c r="R2754" s="14"/>
      <c r="S2754" s="14"/>
      <c r="T2754" s="14"/>
    </row>
    <row r="2755" spans="2:20" x14ac:dyDescent="0.35">
      <c r="B2755" s="17"/>
      <c r="C2755" s="13"/>
      <c r="D2755" s="13"/>
      <c r="E2755" s="13"/>
      <c r="F2755" s="14"/>
      <c r="G2755" s="14"/>
      <c r="H2755" s="14"/>
      <c r="I2755" s="14"/>
      <c r="J2755" s="14"/>
      <c r="K2755" s="14"/>
      <c r="L2755" s="14"/>
      <c r="M2755" s="14"/>
      <c r="N2755" s="14"/>
      <c r="O2755" s="14"/>
      <c r="P2755" s="14"/>
      <c r="Q2755" s="14"/>
      <c r="R2755" s="14"/>
      <c r="S2755" s="14"/>
      <c r="T2755" s="14"/>
    </row>
    <row r="2756" spans="2:20" x14ac:dyDescent="0.35">
      <c r="B2756" s="17"/>
      <c r="C2756" s="13"/>
      <c r="D2756" s="13"/>
      <c r="E2756" s="13"/>
      <c r="F2756" s="14"/>
      <c r="G2756" s="14"/>
      <c r="H2756" s="14"/>
      <c r="I2756" s="14"/>
      <c r="J2756" s="14"/>
      <c r="K2756" s="14"/>
      <c r="L2756" s="14"/>
      <c r="M2756" s="14"/>
      <c r="N2756" s="14"/>
      <c r="O2756" s="14"/>
      <c r="P2756" s="14"/>
      <c r="Q2756" s="14"/>
      <c r="R2756" s="14"/>
      <c r="S2756" s="14"/>
      <c r="T2756" s="14"/>
    </row>
    <row r="2757" spans="2:20" x14ac:dyDescent="0.35">
      <c r="B2757" s="17"/>
      <c r="C2757" s="13"/>
      <c r="D2757" s="13"/>
      <c r="E2757" s="13"/>
      <c r="F2757" s="14"/>
      <c r="G2757" s="14"/>
      <c r="H2757" s="14"/>
      <c r="I2757" s="14"/>
      <c r="J2757" s="14"/>
      <c r="K2757" s="14"/>
      <c r="L2757" s="14"/>
      <c r="M2757" s="14"/>
      <c r="N2757" s="14"/>
      <c r="O2757" s="14"/>
      <c r="P2757" s="14"/>
      <c r="Q2757" s="14"/>
      <c r="R2757" s="14"/>
      <c r="S2757" s="14"/>
      <c r="T2757" s="14"/>
    </row>
    <row r="2758" spans="2:20" x14ac:dyDescent="0.35">
      <c r="B2758" s="17"/>
      <c r="C2758" s="18"/>
      <c r="D2758" s="19"/>
      <c r="E2758" s="19"/>
      <c r="F2758" s="22"/>
      <c r="G2758" s="22"/>
      <c r="H2758" s="22"/>
      <c r="I2758" s="22"/>
      <c r="J2758" s="22"/>
      <c r="K2758" s="22"/>
      <c r="L2758" s="22"/>
      <c r="M2758" s="22"/>
      <c r="N2758" s="22"/>
      <c r="O2758" s="22"/>
      <c r="P2758" s="22"/>
      <c r="Q2758" s="22"/>
      <c r="R2758" s="22"/>
      <c r="S2758" s="22"/>
      <c r="T2758" s="22"/>
    </row>
    <row r="2759" spans="2:20" x14ac:dyDescent="0.35">
      <c r="B2759" s="17"/>
      <c r="C2759" s="18"/>
      <c r="D2759" s="19"/>
      <c r="E2759" s="19"/>
      <c r="F2759" s="22"/>
      <c r="G2759" s="22"/>
      <c r="H2759" s="22"/>
      <c r="I2759" s="22"/>
      <c r="J2759" s="22"/>
      <c r="K2759" s="22"/>
      <c r="L2759" s="22"/>
      <c r="M2759" s="22"/>
      <c r="N2759" s="22"/>
      <c r="O2759" s="22"/>
      <c r="P2759" s="22"/>
      <c r="Q2759" s="22"/>
      <c r="R2759" s="22"/>
      <c r="S2759" s="22"/>
      <c r="T2759" s="22"/>
    </row>
    <row r="2760" spans="2:20" x14ac:dyDescent="0.35">
      <c r="B2760" s="17"/>
      <c r="C2760" s="18"/>
      <c r="D2760" s="19"/>
      <c r="E2760" s="19"/>
      <c r="F2760" s="22"/>
      <c r="G2760" s="22"/>
      <c r="H2760" s="22"/>
      <c r="I2760" s="22"/>
      <c r="J2760" s="22"/>
      <c r="K2760" s="22"/>
      <c r="L2760" s="22"/>
      <c r="M2760" s="22"/>
      <c r="N2760" s="22"/>
      <c r="O2760" s="22"/>
      <c r="P2760" s="22"/>
      <c r="Q2760" s="22"/>
      <c r="R2760" s="22"/>
      <c r="S2760" s="22"/>
      <c r="T2760" s="22"/>
    </row>
    <row r="2761" spans="2:20" x14ac:dyDescent="0.35">
      <c r="B2761" s="17"/>
      <c r="C2761" s="18"/>
      <c r="D2761" s="19"/>
      <c r="E2761" s="19"/>
      <c r="F2761" s="22"/>
      <c r="G2761" s="22"/>
      <c r="H2761" s="22"/>
      <c r="I2761" s="22"/>
      <c r="J2761" s="22"/>
      <c r="K2761" s="22"/>
      <c r="L2761" s="22"/>
      <c r="M2761" s="22"/>
      <c r="N2761" s="22"/>
      <c r="O2761" s="22"/>
      <c r="P2761" s="22"/>
      <c r="Q2761" s="22"/>
      <c r="R2761" s="22"/>
      <c r="S2761" s="22"/>
      <c r="T2761" s="22"/>
    </row>
    <row r="2762" spans="2:20" x14ac:dyDescent="0.35">
      <c r="B2762" s="17"/>
      <c r="C2762" s="18"/>
      <c r="D2762" s="19"/>
      <c r="E2762" s="19"/>
      <c r="F2762" s="22"/>
      <c r="G2762" s="22"/>
      <c r="H2762" s="22"/>
      <c r="I2762" s="22"/>
      <c r="J2762" s="22"/>
      <c r="K2762" s="22"/>
      <c r="L2762" s="22"/>
      <c r="M2762" s="22"/>
      <c r="N2762" s="22"/>
      <c r="O2762" s="22"/>
      <c r="P2762" s="22"/>
      <c r="Q2762" s="22"/>
      <c r="R2762" s="22"/>
      <c r="S2762" s="22"/>
      <c r="T2762" s="22"/>
    </row>
    <row r="2763" spans="2:20" x14ac:dyDescent="0.35">
      <c r="B2763" s="17"/>
      <c r="C2763" s="20"/>
      <c r="D2763" s="19"/>
      <c r="E2763" s="19"/>
      <c r="F2763" s="22"/>
      <c r="G2763" s="22"/>
      <c r="H2763" s="22"/>
      <c r="I2763" s="22"/>
      <c r="J2763" s="22"/>
      <c r="K2763" s="22"/>
      <c r="L2763" s="22"/>
      <c r="M2763" s="22"/>
      <c r="N2763" s="22"/>
      <c r="O2763" s="22"/>
      <c r="P2763" s="22"/>
      <c r="Q2763" s="22"/>
      <c r="R2763" s="22"/>
      <c r="S2763" s="22"/>
      <c r="T2763" s="22"/>
    </row>
    <row r="2764" spans="2:20" x14ac:dyDescent="0.35">
      <c r="B2764" s="17"/>
      <c r="C2764" s="20"/>
      <c r="D2764" s="19"/>
      <c r="E2764" s="19"/>
      <c r="F2764" s="22"/>
      <c r="G2764" s="22"/>
      <c r="H2764" s="22"/>
      <c r="I2764" s="22"/>
      <c r="J2764" s="22"/>
      <c r="K2764" s="22"/>
      <c r="L2764" s="22"/>
      <c r="M2764" s="22"/>
      <c r="N2764" s="22"/>
      <c r="O2764" s="22"/>
      <c r="P2764" s="22"/>
      <c r="Q2764" s="22"/>
      <c r="R2764" s="22"/>
      <c r="S2764" s="22"/>
      <c r="T2764" s="22"/>
    </row>
    <row r="2765" spans="2:20" x14ac:dyDescent="0.35">
      <c r="B2765" s="17"/>
      <c r="C2765" s="20"/>
      <c r="D2765" s="19"/>
      <c r="E2765" s="19"/>
      <c r="F2765" s="22"/>
      <c r="G2765" s="22"/>
      <c r="H2765" s="22"/>
      <c r="I2765" s="22"/>
      <c r="J2765" s="22"/>
      <c r="K2765" s="22"/>
      <c r="L2765" s="22"/>
      <c r="M2765" s="22"/>
      <c r="N2765" s="22"/>
      <c r="O2765" s="22"/>
      <c r="P2765" s="22"/>
      <c r="Q2765" s="22"/>
      <c r="R2765" s="22"/>
      <c r="S2765" s="22"/>
      <c r="T2765" s="22"/>
    </row>
    <row r="2766" spans="2:20" x14ac:dyDescent="0.35">
      <c r="B2766" s="17"/>
      <c r="C2766" s="20"/>
      <c r="D2766" s="19"/>
      <c r="E2766" s="19"/>
      <c r="F2766" s="22"/>
      <c r="G2766" s="22"/>
      <c r="H2766" s="22"/>
      <c r="I2766" s="22"/>
      <c r="J2766" s="22"/>
      <c r="K2766" s="22"/>
      <c r="L2766" s="22"/>
      <c r="M2766" s="22"/>
      <c r="N2766" s="22"/>
      <c r="O2766" s="22"/>
      <c r="P2766" s="22"/>
      <c r="Q2766" s="22"/>
      <c r="R2766" s="22"/>
      <c r="S2766" s="22"/>
      <c r="T2766" s="22"/>
    </row>
    <row r="2767" spans="2:20" x14ac:dyDescent="0.35">
      <c r="B2767" s="17"/>
      <c r="C2767" s="13"/>
      <c r="D2767" s="13"/>
      <c r="E2767" s="13"/>
      <c r="F2767" s="14"/>
      <c r="G2767" s="14"/>
      <c r="H2767" s="14"/>
      <c r="I2767" s="14"/>
      <c r="J2767" s="14"/>
      <c r="K2767" s="14"/>
      <c r="L2767" s="14"/>
      <c r="M2767" s="14"/>
      <c r="N2767" s="14"/>
      <c r="O2767" s="14"/>
      <c r="P2767" s="14"/>
      <c r="Q2767" s="14"/>
      <c r="R2767" s="14"/>
      <c r="S2767" s="14"/>
      <c r="T2767" s="14"/>
    </row>
    <row r="2768" spans="2:20" x14ac:dyDescent="0.35">
      <c r="B2768" s="17"/>
      <c r="C2768" s="13"/>
      <c r="D2768" s="13"/>
      <c r="E2768" s="13"/>
      <c r="F2768" s="14"/>
      <c r="G2768" s="14"/>
      <c r="H2768" s="14"/>
      <c r="I2768" s="14"/>
      <c r="J2768" s="14"/>
      <c r="K2768" s="14"/>
      <c r="L2768" s="14"/>
      <c r="M2768" s="14"/>
      <c r="N2768" s="14"/>
      <c r="O2768" s="14"/>
      <c r="P2768" s="14"/>
      <c r="Q2768" s="14"/>
      <c r="R2768" s="14"/>
      <c r="S2768" s="14"/>
      <c r="T2768" s="14"/>
    </row>
    <row r="2769" spans="2:20" x14ac:dyDescent="0.35">
      <c r="B2769" s="17"/>
      <c r="C2769" s="13"/>
      <c r="D2769" s="13"/>
      <c r="E2769" s="13"/>
      <c r="F2769" s="14"/>
      <c r="G2769" s="14"/>
      <c r="H2769" s="14"/>
      <c r="I2769" s="14"/>
      <c r="J2769" s="14"/>
      <c r="K2769" s="14"/>
      <c r="L2769" s="14"/>
      <c r="M2769" s="14"/>
      <c r="N2769" s="14"/>
      <c r="O2769" s="14"/>
      <c r="P2769" s="14"/>
      <c r="Q2769" s="14"/>
      <c r="R2769" s="14"/>
      <c r="S2769" s="14"/>
      <c r="T2769" s="14"/>
    </row>
    <row r="2770" spans="2:20" x14ac:dyDescent="0.35">
      <c r="B2770" s="17"/>
      <c r="C2770" s="13"/>
      <c r="D2770" s="13"/>
      <c r="E2770" s="13"/>
      <c r="F2770" s="14"/>
      <c r="G2770" s="14"/>
      <c r="H2770" s="14"/>
      <c r="I2770" s="14"/>
      <c r="J2770" s="14"/>
      <c r="K2770" s="14"/>
      <c r="L2770" s="14"/>
      <c r="M2770" s="14"/>
      <c r="N2770" s="14"/>
      <c r="O2770" s="14"/>
      <c r="P2770" s="14"/>
      <c r="Q2770" s="14"/>
      <c r="R2770" s="14"/>
      <c r="S2770" s="14"/>
      <c r="T2770" s="14"/>
    </row>
    <row r="2771" spans="2:20" x14ac:dyDescent="0.35">
      <c r="B2771" s="17"/>
      <c r="C2771" s="13"/>
      <c r="D2771" s="13"/>
      <c r="E2771" s="13"/>
      <c r="F2771" s="14"/>
      <c r="G2771" s="14"/>
      <c r="H2771" s="14"/>
      <c r="I2771" s="14"/>
      <c r="J2771" s="14"/>
      <c r="K2771" s="14"/>
      <c r="L2771" s="14"/>
      <c r="M2771" s="14"/>
      <c r="N2771" s="14"/>
      <c r="O2771" s="14"/>
      <c r="P2771" s="14"/>
      <c r="Q2771" s="14"/>
      <c r="R2771" s="14"/>
      <c r="S2771" s="14"/>
      <c r="T2771" s="14"/>
    </row>
    <row r="2772" spans="2:20" x14ac:dyDescent="0.35">
      <c r="B2772" s="17"/>
      <c r="C2772" s="13"/>
      <c r="D2772" s="13"/>
      <c r="E2772" s="13"/>
      <c r="F2772" s="14"/>
      <c r="G2772" s="14"/>
      <c r="H2772" s="14"/>
      <c r="I2772" s="14"/>
      <c r="J2772" s="14"/>
      <c r="K2772" s="14"/>
      <c r="L2772" s="14"/>
      <c r="M2772" s="14"/>
      <c r="N2772" s="14"/>
      <c r="O2772" s="14"/>
      <c r="P2772" s="14"/>
      <c r="Q2772" s="14"/>
      <c r="R2772" s="14"/>
      <c r="S2772" s="14"/>
      <c r="T2772" s="14"/>
    </row>
    <row r="2773" spans="2:20" x14ac:dyDescent="0.35">
      <c r="B2773" s="17"/>
      <c r="C2773" s="13"/>
      <c r="D2773" s="13"/>
      <c r="E2773" s="13"/>
      <c r="F2773" s="14"/>
      <c r="G2773" s="14"/>
      <c r="H2773" s="14"/>
      <c r="I2773" s="14"/>
      <c r="J2773" s="14"/>
      <c r="K2773" s="14"/>
      <c r="L2773" s="14"/>
      <c r="M2773" s="14"/>
      <c r="N2773" s="14"/>
      <c r="O2773" s="14"/>
      <c r="P2773" s="14"/>
      <c r="Q2773" s="14"/>
      <c r="R2773" s="14"/>
      <c r="S2773" s="14"/>
      <c r="T2773" s="14"/>
    </row>
    <row r="2774" spans="2:20" x14ac:dyDescent="0.35">
      <c r="B2774" s="17"/>
      <c r="C2774" s="13"/>
      <c r="D2774" s="13"/>
      <c r="E2774" s="13"/>
      <c r="F2774" s="14"/>
      <c r="G2774" s="14"/>
      <c r="H2774" s="14"/>
      <c r="I2774" s="14"/>
      <c r="J2774" s="14"/>
      <c r="K2774" s="14"/>
      <c r="L2774" s="14"/>
      <c r="M2774" s="14"/>
      <c r="N2774" s="14"/>
      <c r="O2774" s="14"/>
      <c r="P2774" s="14"/>
      <c r="Q2774" s="14"/>
      <c r="R2774" s="14"/>
      <c r="S2774" s="14"/>
      <c r="T2774" s="14"/>
    </row>
    <row r="2775" spans="2:20" x14ac:dyDescent="0.35">
      <c r="B2775" s="17"/>
      <c r="C2775" s="13"/>
      <c r="D2775" s="13"/>
      <c r="E2775" s="13"/>
      <c r="F2775" s="14"/>
      <c r="G2775" s="14"/>
      <c r="H2775" s="14"/>
      <c r="I2775" s="14"/>
      <c r="J2775" s="14"/>
      <c r="K2775" s="14"/>
      <c r="L2775" s="14"/>
      <c r="M2775" s="14"/>
      <c r="N2775" s="14"/>
      <c r="O2775" s="14"/>
      <c r="P2775" s="14"/>
      <c r="Q2775" s="14"/>
      <c r="R2775" s="14"/>
      <c r="S2775" s="14"/>
      <c r="T2775" s="14"/>
    </row>
    <row r="2776" spans="2:20" x14ac:dyDescent="0.35">
      <c r="B2776" s="17"/>
      <c r="C2776" s="13"/>
      <c r="D2776" s="13"/>
      <c r="E2776" s="13"/>
      <c r="F2776" s="14"/>
      <c r="G2776" s="14"/>
      <c r="H2776" s="14"/>
      <c r="I2776" s="14"/>
      <c r="J2776" s="14"/>
      <c r="K2776" s="14"/>
      <c r="L2776" s="14"/>
      <c r="M2776" s="14"/>
      <c r="N2776" s="14"/>
      <c r="O2776" s="14"/>
      <c r="P2776" s="14"/>
      <c r="Q2776" s="14"/>
      <c r="R2776" s="14"/>
      <c r="S2776" s="14"/>
      <c r="T2776" s="14"/>
    </row>
    <row r="2777" spans="2:20" x14ac:dyDescent="0.35">
      <c r="B2777" s="17"/>
      <c r="C2777" s="13"/>
      <c r="D2777" s="13"/>
      <c r="E2777" s="13"/>
      <c r="F2777" s="14"/>
      <c r="G2777" s="14"/>
      <c r="H2777" s="14"/>
      <c r="I2777" s="14"/>
      <c r="J2777" s="14"/>
      <c r="K2777" s="14"/>
      <c r="L2777" s="14"/>
      <c r="M2777" s="14"/>
      <c r="N2777" s="14"/>
      <c r="O2777" s="14"/>
      <c r="P2777" s="14"/>
      <c r="Q2777" s="14"/>
      <c r="R2777" s="14"/>
      <c r="S2777" s="14"/>
      <c r="T2777" s="14"/>
    </row>
    <row r="2778" spans="2:20" x14ac:dyDescent="0.35">
      <c r="B2778" s="17"/>
      <c r="C2778" s="13"/>
      <c r="D2778" s="13"/>
      <c r="E2778" s="13"/>
      <c r="F2778" s="14"/>
      <c r="G2778" s="14"/>
      <c r="H2778" s="14"/>
      <c r="I2778" s="14"/>
      <c r="J2778" s="14"/>
      <c r="K2778" s="14"/>
      <c r="L2778" s="14"/>
      <c r="M2778" s="14"/>
      <c r="N2778" s="14"/>
      <c r="O2778" s="14"/>
      <c r="P2778" s="14"/>
      <c r="Q2778" s="14"/>
      <c r="R2778" s="14"/>
      <c r="S2778" s="14"/>
      <c r="T2778" s="14"/>
    </row>
    <row r="2779" spans="2:20" x14ac:dyDescent="0.35">
      <c r="B2779" s="17"/>
      <c r="C2779" s="13"/>
      <c r="D2779" s="13"/>
      <c r="E2779" s="13"/>
      <c r="F2779" s="14"/>
      <c r="G2779" s="14"/>
      <c r="H2779" s="14"/>
      <c r="I2779" s="14"/>
      <c r="J2779" s="14"/>
      <c r="K2779" s="14"/>
      <c r="L2779" s="14"/>
      <c r="M2779" s="14"/>
      <c r="N2779" s="14"/>
      <c r="O2779" s="14"/>
      <c r="P2779" s="14"/>
      <c r="Q2779" s="14"/>
      <c r="R2779" s="14"/>
      <c r="S2779" s="14"/>
      <c r="T2779" s="14"/>
    </row>
    <row r="2780" spans="2:20" x14ac:dyDescent="0.35">
      <c r="B2780" s="17"/>
      <c r="C2780" s="13"/>
      <c r="D2780" s="13"/>
      <c r="E2780" s="13"/>
      <c r="F2780" s="14"/>
      <c r="G2780" s="14"/>
      <c r="H2780" s="14"/>
      <c r="I2780" s="14"/>
      <c r="J2780" s="14"/>
      <c r="K2780" s="14"/>
      <c r="L2780" s="14"/>
      <c r="M2780" s="14"/>
      <c r="N2780" s="14"/>
      <c r="O2780" s="14"/>
      <c r="P2780" s="14"/>
      <c r="Q2780" s="14"/>
      <c r="R2780" s="14"/>
      <c r="S2780" s="14"/>
      <c r="T2780" s="14"/>
    </row>
    <row r="2781" spans="2:20" x14ac:dyDescent="0.35">
      <c r="B2781" s="17"/>
      <c r="C2781" s="13"/>
      <c r="D2781" s="13"/>
      <c r="E2781" s="13"/>
      <c r="F2781" s="14"/>
      <c r="G2781" s="14"/>
      <c r="H2781" s="14"/>
      <c r="I2781" s="14"/>
      <c r="J2781" s="14"/>
      <c r="K2781" s="14"/>
      <c r="L2781" s="14"/>
      <c r="M2781" s="14"/>
      <c r="N2781" s="14"/>
      <c r="O2781" s="14"/>
      <c r="P2781" s="14"/>
      <c r="Q2781" s="14"/>
      <c r="R2781" s="14"/>
      <c r="S2781" s="14"/>
      <c r="T2781" s="14"/>
    </row>
    <row r="2782" spans="2:20" x14ac:dyDescent="0.35">
      <c r="B2782" s="17"/>
      <c r="C2782" s="18"/>
      <c r="D2782" s="19"/>
      <c r="E2782" s="19"/>
      <c r="F2782" s="22"/>
      <c r="G2782" s="22"/>
      <c r="H2782" s="22"/>
      <c r="I2782" s="22"/>
      <c r="J2782" s="22"/>
      <c r="K2782" s="22"/>
      <c r="L2782" s="22"/>
      <c r="M2782" s="22"/>
      <c r="N2782" s="22"/>
      <c r="O2782" s="22"/>
      <c r="P2782" s="22"/>
      <c r="Q2782" s="22"/>
      <c r="R2782" s="22"/>
      <c r="S2782" s="22"/>
      <c r="T2782" s="22"/>
    </row>
    <row r="2783" spans="2:20" x14ac:dyDescent="0.35">
      <c r="B2783" s="17"/>
      <c r="C2783" s="18"/>
      <c r="D2783" s="19"/>
      <c r="E2783" s="19"/>
      <c r="F2783" s="22"/>
      <c r="G2783" s="22"/>
      <c r="H2783" s="22"/>
      <c r="I2783" s="22"/>
      <c r="J2783" s="22"/>
      <c r="K2783" s="22"/>
      <c r="L2783" s="22"/>
      <c r="M2783" s="22"/>
      <c r="N2783" s="22"/>
      <c r="O2783" s="22"/>
      <c r="P2783" s="22"/>
      <c r="Q2783" s="22"/>
      <c r="R2783" s="22"/>
      <c r="S2783" s="22"/>
      <c r="T2783" s="22"/>
    </row>
    <row r="2784" spans="2:20" x14ac:dyDescent="0.35">
      <c r="B2784" s="17"/>
      <c r="C2784" s="18"/>
      <c r="D2784" s="19"/>
      <c r="E2784" s="19"/>
      <c r="F2784" s="22"/>
      <c r="G2784" s="22"/>
      <c r="H2784" s="22"/>
      <c r="I2784" s="22"/>
      <c r="J2784" s="22"/>
      <c r="K2784" s="22"/>
      <c r="L2784" s="22"/>
      <c r="M2784" s="22"/>
      <c r="N2784" s="22"/>
      <c r="O2784" s="22"/>
      <c r="P2784" s="22"/>
      <c r="Q2784" s="22"/>
      <c r="R2784" s="22"/>
      <c r="S2784" s="22"/>
      <c r="T2784" s="22"/>
    </row>
    <row r="2785" spans="2:20" x14ac:dyDescent="0.35">
      <c r="B2785" s="17"/>
      <c r="C2785" s="18"/>
      <c r="D2785" s="19"/>
      <c r="E2785" s="19"/>
      <c r="F2785" s="22"/>
      <c r="G2785" s="22"/>
      <c r="H2785" s="22"/>
      <c r="I2785" s="22"/>
      <c r="J2785" s="22"/>
      <c r="K2785" s="22"/>
      <c r="L2785" s="22"/>
      <c r="M2785" s="22"/>
      <c r="N2785" s="22"/>
      <c r="O2785" s="22"/>
      <c r="P2785" s="22"/>
      <c r="Q2785" s="22"/>
      <c r="R2785" s="22"/>
      <c r="S2785" s="22"/>
      <c r="T2785" s="22"/>
    </row>
    <row r="2786" spans="2:20" x14ac:dyDescent="0.35">
      <c r="B2786" s="17"/>
      <c r="C2786" s="18"/>
      <c r="D2786" s="19"/>
      <c r="E2786" s="19"/>
      <c r="F2786" s="22"/>
      <c r="G2786" s="22"/>
      <c r="H2786" s="22"/>
      <c r="I2786" s="22"/>
      <c r="J2786" s="22"/>
      <c r="K2786" s="22"/>
      <c r="L2786" s="22"/>
      <c r="M2786" s="22"/>
      <c r="N2786" s="22"/>
      <c r="O2786" s="22"/>
      <c r="P2786" s="22"/>
      <c r="Q2786" s="22"/>
      <c r="R2786" s="22"/>
      <c r="S2786" s="22"/>
      <c r="T2786" s="22"/>
    </row>
    <row r="2787" spans="2:20" x14ac:dyDescent="0.35">
      <c r="B2787" s="17"/>
      <c r="C2787" s="18"/>
      <c r="D2787" s="19"/>
      <c r="E2787" s="19"/>
      <c r="F2787" s="22"/>
      <c r="G2787" s="22"/>
      <c r="H2787" s="22"/>
      <c r="I2787" s="22"/>
      <c r="J2787" s="22"/>
      <c r="K2787" s="22"/>
      <c r="L2787" s="22"/>
      <c r="M2787" s="22"/>
      <c r="N2787" s="22"/>
      <c r="O2787" s="22"/>
      <c r="P2787" s="22"/>
      <c r="Q2787" s="22"/>
      <c r="R2787" s="22"/>
      <c r="S2787" s="22"/>
      <c r="T2787" s="22"/>
    </row>
    <row r="2788" spans="2:20" x14ac:dyDescent="0.35">
      <c r="B2788" s="17"/>
      <c r="C2788" s="18"/>
      <c r="D2788" s="19"/>
      <c r="E2788" s="19"/>
      <c r="F2788" s="22"/>
      <c r="G2788" s="22"/>
      <c r="H2788" s="22"/>
      <c r="I2788" s="22"/>
      <c r="J2788" s="22"/>
      <c r="K2788" s="22"/>
      <c r="L2788" s="22"/>
      <c r="M2788" s="22"/>
      <c r="N2788" s="22"/>
      <c r="O2788" s="22"/>
      <c r="P2788" s="22"/>
      <c r="Q2788" s="22"/>
      <c r="R2788" s="22"/>
      <c r="S2788" s="22"/>
      <c r="T2788" s="22"/>
    </row>
    <row r="2789" spans="2:20" x14ac:dyDescent="0.35">
      <c r="B2789" s="17"/>
      <c r="C2789" s="18"/>
      <c r="D2789" s="19"/>
      <c r="E2789" s="19"/>
      <c r="F2789" s="22"/>
      <c r="G2789" s="22"/>
      <c r="H2789" s="22"/>
      <c r="I2789" s="22"/>
      <c r="J2789" s="22"/>
      <c r="K2789" s="22"/>
      <c r="L2789" s="22"/>
      <c r="M2789" s="22"/>
      <c r="N2789" s="22"/>
      <c r="O2789" s="22"/>
      <c r="P2789" s="22"/>
      <c r="Q2789" s="22"/>
      <c r="R2789" s="22"/>
      <c r="S2789" s="22"/>
      <c r="T2789" s="22"/>
    </row>
    <row r="2790" spans="2:20" x14ac:dyDescent="0.35">
      <c r="B2790" s="17"/>
      <c r="C2790" s="18"/>
      <c r="D2790" s="19"/>
      <c r="E2790" s="19"/>
      <c r="F2790" s="22"/>
      <c r="G2790" s="22"/>
      <c r="H2790" s="22"/>
      <c r="I2790" s="22"/>
      <c r="J2790" s="22"/>
      <c r="K2790" s="22"/>
      <c r="L2790" s="22"/>
      <c r="M2790" s="22"/>
      <c r="N2790" s="22"/>
      <c r="O2790" s="22"/>
      <c r="P2790" s="22"/>
      <c r="Q2790" s="22"/>
      <c r="R2790" s="22"/>
      <c r="S2790" s="22"/>
      <c r="T2790" s="22"/>
    </row>
    <row r="2791" spans="2:20" x14ac:dyDescent="0.35">
      <c r="B2791" s="17"/>
      <c r="C2791" s="18"/>
      <c r="D2791" s="19"/>
      <c r="E2791" s="19"/>
      <c r="F2791" s="22"/>
      <c r="G2791" s="22"/>
      <c r="H2791" s="22"/>
      <c r="I2791" s="22"/>
      <c r="J2791" s="22"/>
      <c r="K2791" s="22"/>
      <c r="L2791" s="22"/>
      <c r="M2791" s="22"/>
      <c r="N2791" s="22"/>
      <c r="O2791" s="22"/>
      <c r="P2791" s="22"/>
      <c r="Q2791" s="22"/>
      <c r="R2791" s="22"/>
      <c r="S2791" s="22"/>
      <c r="T2791" s="22"/>
    </row>
    <row r="2792" spans="2:20" x14ac:dyDescent="0.35">
      <c r="B2792" s="17"/>
      <c r="C2792" s="18"/>
      <c r="D2792" s="19"/>
      <c r="E2792" s="19"/>
      <c r="F2792" s="22"/>
      <c r="G2792" s="22"/>
      <c r="H2792" s="22"/>
      <c r="I2792" s="22"/>
      <c r="J2792" s="22"/>
      <c r="K2792" s="22"/>
      <c r="L2792" s="22"/>
      <c r="M2792" s="22"/>
      <c r="N2792" s="22"/>
      <c r="O2792" s="22"/>
      <c r="P2792" s="22"/>
      <c r="Q2792" s="22"/>
      <c r="R2792" s="22"/>
      <c r="S2792" s="22"/>
      <c r="T2792" s="22"/>
    </row>
    <row r="2793" spans="2:20" x14ac:dyDescent="0.35">
      <c r="B2793" s="17"/>
      <c r="C2793" s="18"/>
      <c r="D2793" s="19"/>
      <c r="E2793" s="19"/>
      <c r="F2793" s="22"/>
      <c r="G2793" s="22"/>
      <c r="H2793" s="22"/>
      <c r="I2793" s="22"/>
      <c r="J2793" s="22"/>
      <c r="K2793" s="22"/>
      <c r="L2793" s="22"/>
      <c r="M2793" s="22"/>
      <c r="N2793" s="22"/>
      <c r="O2793" s="22"/>
      <c r="P2793" s="22"/>
      <c r="Q2793" s="22"/>
      <c r="R2793" s="22"/>
      <c r="S2793" s="22"/>
      <c r="T2793" s="22"/>
    </row>
    <row r="2794" spans="2:20" x14ac:dyDescent="0.35">
      <c r="B2794" s="17"/>
      <c r="C2794" s="18"/>
      <c r="D2794" s="19"/>
      <c r="E2794" s="19"/>
      <c r="F2794" s="22"/>
      <c r="G2794" s="22"/>
      <c r="H2794" s="22"/>
      <c r="I2794" s="22"/>
      <c r="J2794" s="22"/>
      <c r="K2794" s="22"/>
      <c r="L2794" s="22"/>
      <c r="M2794" s="22"/>
      <c r="N2794" s="22"/>
      <c r="O2794" s="22"/>
      <c r="P2794" s="22"/>
      <c r="Q2794" s="22"/>
      <c r="R2794" s="22"/>
      <c r="S2794" s="22"/>
      <c r="T2794" s="22"/>
    </row>
    <row r="2795" spans="2:20" x14ac:dyDescent="0.35">
      <c r="B2795" s="17"/>
      <c r="C2795" s="18"/>
      <c r="D2795" s="19"/>
      <c r="E2795" s="19"/>
      <c r="F2795" s="22"/>
      <c r="G2795" s="22"/>
      <c r="H2795" s="22"/>
      <c r="I2795" s="22"/>
      <c r="J2795" s="22"/>
      <c r="K2795" s="22"/>
      <c r="L2795" s="22"/>
      <c r="M2795" s="22"/>
      <c r="N2795" s="22"/>
      <c r="O2795" s="22"/>
      <c r="P2795" s="22"/>
      <c r="Q2795" s="22"/>
      <c r="R2795" s="22"/>
      <c r="S2795" s="22"/>
      <c r="T2795" s="22"/>
    </row>
    <row r="2796" spans="2:20" x14ac:dyDescent="0.35">
      <c r="B2796" s="17"/>
      <c r="C2796" s="18"/>
      <c r="D2796" s="19"/>
      <c r="E2796" s="19"/>
      <c r="F2796" s="22"/>
      <c r="G2796" s="22"/>
      <c r="H2796" s="22"/>
      <c r="I2796" s="22"/>
      <c r="J2796" s="22"/>
      <c r="K2796" s="22"/>
      <c r="L2796" s="22"/>
      <c r="M2796" s="22"/>
      <c r="N2796" s="22"/>
      <c r="O2796" s="22"/>
      <c r="P2796" s="22"/>
      <c r="Q2796" s="22"/>
      <c r="R2796" s="22"/>
      <c r="S2796" s="22"/>
      <c r="T2796" s="22"/>
    </row>
    <row r="2797" spans="2:20" x14ac:dyDescent="0.35">
      <c r="B2797" s="17"/>
      <c r="C2797" s="18"/>
      <c r="D2797" s="19"/>
      <c r="E2797" s="19"/>
      <c r="F2797" s="22"/>
      <c r="G2797" s="22"/>
      <c r="H2797" s="22"/>
      <c r="I2797" s="22"/>
      <c r="J2797" s="22"/>
      <c r="K2797" s="22"/>
      <c r="L2797" s="22"/>
      <c r="M2797" s="22"/>
      <c r="N2797" s="22"/>
      <c r="O2797" s="22"/>
      <c r="P2797" s="22"/>
      <c r="Q2797" s="22"/>
      <c r="R2797" s="22"/>
      <c r="S2797" s="22"/>
      <c r="T2797" s="22"/>
    </row>
    <row r="2798" spans="2:20" x14ac:dyDescent="0.35">
      <c r="B2798" s="17"/>
      <c r="C2798" s="13"/>
      <c r="D2798" s="13"/>
      <c r="E2798" s="13"/>
      <c r="F2798" s="14"/>
      <c r="G2798" s="14"/>
      <c r="H2798" s="14"/>
      <c r="I2798" s="14"/>
      <c r="J2798" s="14"/>
      <c r="K2798" s="14"/>
      <c r="L2798" s="14"/>
      <c r="M2798" s="14"/>
      <c r="N2798" s="14"/>
      <c r="O2798" s="14"/>
      <c r="P2798" s="14"/>
      <c r="Q2798" s="14"/>
      <c r="R2798" s="14"/>
      <c r="S2798" s="14"/>
      <c r="T2798" s="14"/>
    </row>
    <row r="2799" spans="2:20" x14ac:dyDescent="0.35">
      <c r="B2799" s="17"/>
      <c r="C2799" s="13"/>
      <c r="D2799" s="13"/>
      <c r="E2799" s="13"/>
      <c r="F2799" s="14"/>
      <c r="G2799" s="14"/>
      <c r="H2799" s="14"/>
      <c r="I2799" s="14"/>
      <c r="J2799" s="14"/>
      <c r="K2799" s="14"/>
      <c r="L2799" s="14"/>
      <c r="M2799" s="14"/>
      <c r="N2799" s="14"/>
      <c r="O2799" s="14"/>
      <c r="P2799" s="14"/>
      <c r="Q2799" s="14"/>
      <c r="R2799" s="14"/>
      <c r="S2799" s="14"/>
      <c r="T2799" s="14"/>
    </row>
    <row r="2800" spans="2:20" x14ac:dyDescent="0.35">
      <c r="B2800" s="17"/>
      <c r="C2800" s="13"/>
      <c r="D2800" s="13"/>
      <c r="E2800" s="13"/>
      <c r="F2800" s="14"/>
      <c r="G2800" s="14"/>
      <c r="H2800" s="14"/>
      <c r="I2800" s="14"/>
      <c r="J2800" s="14"/>
      <c r="K2800" s="14"/>
      <c r="L2800" s="14"/>
      <c r="M2800" s="14"/>
      <c r="N2800" s="14"/>
      <c r="O2800" s="14"/>
      <c r="P2800" s="14"/>
      <c r="Q2800" s="14"/>
      <c r="R2800" s="14"/>
      <c r="S2800" s="14"/>
      <c r="T2800" s="14"/>
    </row>
    <row r="2801" spans="1:20" x14ac:dyDescent="0.35">
      <c r="B2801" s="17"/>
      <c r="C2801" s="13"/>
      <c r="D2801" s="13"/>
      <c r="E2801" s="13"/>
      <c r="F2801" s="14"/>
      <c r="G2801" s="14"/>
      <c r="H2801" s="14"/>
      <c r="I2801" s="14"/>
      <c r="J2801" s="14"/>
      <c r="K2801" s="14"/>
      <c r="L2801" s="14"/>
      <c r="M2801" s="14"/>
      <c r="N2801" s="14"/>
      <c r="O2801" s="14"/>
      <c r="P2801" s="14"/>
      <c r="Q2801" s="14"/>
      <c r="R2801" s="14"/>
      <c r="S2801" s="14"/>
      <c r="T2801" s="14"/>
    </row>
    <row r="2802" spans="1:20" x14ac:dyDescent="0.35">
      <c r="B2802" s="17"/>
      <c r="C2802" s="13"/>
      <c r="D2802" s="13"/>
      <c r="E2802" s="13"/>
      <c r="F2802" s="14"/>
      <c r="G2802" s="14"/>
      <c r="H2802" s="14"/>
      <c r="I2802" s="14"/>
      <c r="J2802" s="14"/>
      <c r="K2802" s="14"/>
      <c r="L2802" s="14"/>
      <c r="M2802" s="14"/>
      <c r="N2802" s="14"/>
      <c r="O2802" s="14"/>
      <c r="P2802" s="14"/>
      <c r="Q2802" s="14"/>
      <c r="R2802" s="14"/>
      <c r="S2802" s="14"/>
      <c r="T2802" s="14"/>
    </row>
    <row r="2803" spans="1:20" x14ac:dyDescent="0.35">
      <c r="B2803" s="17"/>
      <c r="C2803" s="13"/>
      <c r="D2803" s="13"/>
      <c r="E2803" s="13"/>
      <c r="F2803" s="14"/>
      <c r="G2803" s="14"/>
      <c r="H2803" s="14"/>
      <c r="I2803" s="14"/>
      <c r="J2803" s="14"/>
      <c r="K2803" s="14"/>
      <c r="L2803" s="14"/>
      <c r="M2803" s="14"/>
      <c r="N2803" s="14"/>
      <c r="O2803" s="14"/>
      <c r="P2803" s="14"/>
      <c r="Q2803" s="14"/>
      <c r="R2803" s="14"/>
      <c r="S2803" s="14"/>
      <c r="T2803" s="14"/>
    </row>
    <row r="2804" spans="1:20" x14ac:dyDescent="0.35">
      <c r="B2804" s="17"/>
      <c r="C2804" s="13"/>
      <c r="D2804" s="13"/>
      <c r="E2804" s="13"/>
      <c r="F2804" s="14"/>
      <c r="G2804" s="14"/>
      <c r="H2804" s="14"/>
      <c r="I2804" s="14"/>
      <c r="J2804" s="14"/>
      <c r="K2804" s="14"/>
      <c r="L2804" s="14"/>
      <c r="M2804" s="14"/>
      <c r="N2804" s="14"/>
      <c r="O2804" s="14"/>
      <c r="P2804" s="14"/>
      <c r="Q2804" s="14"/>
      <c r="R2804" s="14"/>
      <c r="S2804" s="14"/>
      <c r="T2804" s="14"/>
    </row>
    <row r="2805" spans="1:20" x14ac:dyDescent="0.35">
      <c r="A2805" s="21"/>
      <c r="B2805" s="17"/>
      <c r="C2805" s="18"/>
      <c r="D2805" s="19"/>
      <c r="E2805" s="19"/>
      <c r="F2805" s="22"/>
      <c r="G2805" s="22"/>
      <c r="H2805" s="22"/>
      <c r="I2805" s="22"/>
      <c r="J2805" s="22"/>
      <c r="K2805" s="22"/>
      <c r="L2805" s="22"/>
      <c r="M2805" s="22"/>
      <c r="N2805" s="22"/>
      <c r="O2805" s="22"/>
      <c r="P2805" s="22"/>
      <c r="Q2805" s="22"/>
      <c r="R2805" s="22"/>
      <c r="S2805" s="22"/>
      <c r="T2805" s="22"/>
    </row>
    <row r="2806" spans="1:20" x14ac:dyDescent="0.35">
      <c r="A2806" s="21"/>
      <c r="B2806" s="17"/>
      <c r="C2806" s="18"/>
      <c r="D2806" s="19"/>
      <c r="E2806" s="19"/>
      <c r="F2806" s="22"/>
      <c r="G2806" s="22"/>
      <c r="H2806" s="22"/>
      <c r="I2806" s="22"/>
      <c r="J2806" s="22"/>
      <c r="K2806" s="22"/>
      <c r="L2806" s="22"/>
      <c r="M2806" s="22"/>
      <c r="N2806" s="22"/>
      <c r="O2806" s="22"/>
      <c r="P2806" s="22"/>
      <c r="Q2806" s="22"/>
      <c r="R2806" s="22"/>
      <c r="S2806" s="22"/>
      <c r="T2806" s="22"/>
    </row>
    <row r="2807" spans="1:20" x14ac:dyDescent="0.35">
      <c r="A2807" s="21"/>
      <c r="B2807" s="17"/>
      <c r="C2807" s="18"/>
      <c r="D2807" s="19"/>
      <c r="E2807" s="19"/>
      <c r="F2807" s="22"/>
      <c r="G2807" s="22"/>
      <c r="H2807" s="22"/>
      <c r="I2807" s="22"/>
      <c r="J2807" s="22"/>
      <c r="K2807" s="22"/>
      <c r="L2807" s="22"/>
      <c r="M2807" s="22"/>
      <c r="N2807" s="22"/>
      <c r="O2807" s="22"/>
      <c r="P2807" s="22"/>
      <c r="Q2807" s="22"/>
      <c r="R2807" s="22"/>
      <c r="S2807" s="22"/>
      <c r="T2807" s="22"/>
    </row>
    <row r="2808" spans="1:20" x14ac:dyDescent="0.35">
      <c r="A2808" s="21"/>
      <c r="B2808" s="17"/>
      <c r="C2808" s="18"/>
      <c r="D2808" s="19"/>
      <c r="E2808" s="19"/>
      <c r="F2808" s="22"/>
      <c r="G2808" s="22"/>
      <c r="H2808" s="22"/>
      <c r="I2808" s="22"/>
      <c r="J2808" s="22"/>
      <c r="K2808" s="22"/>
      <c r="L2808" s="22"/>
      <c r="M2808" s="22"/>
      <c r="N2808" s="22"/>
      <c r="O2808" s="22"/>
      <c r="P2808" s="22"/>
      <c r="Q2808" s="22"/>
      <c r="R2808" s="22"/>
      <c r="S2808" s="22"/>
      <c r="T2808" s="22"/>
    </row>
    <row r="2809" spans="1:20" x14ac:dyDescent="0.35">
      <c r="A2809" s="21"/>
      <c r="B2809" s="17"/>
      <c r="C2809" s="18"/>
      <c r="D2809" s="19"/>
      <c r="E2809" s="19"/>
      <c r="F2809" s="22"/>
      <c r="G2809" s="22"/>
      <c r="H2809" s="22"/>
      <c r="I2809" s="22"/>
      <c r="J2809" s="22"/>
      <c r="K2809" s="22"/>
      <c r="L2809" s="22"/>
      <c r="M2809" s="22"/>
      <c r="N2809" s="22"/>
      <c r="O2809" s="22"/>
      <c r="P2809" s="22"/>
      <c r="Q2809" s="22"/>
      <c r="R2809" s="22"/>
      <c r="S2809" s="22"/>
      <c r="T2809" s="22"/>
    </row>
    <row r="2810" spans="1:20" x14ac:dyDescent="0.35">
      <c r="A2810" s="21"/>
      <c r="B2810" s="17"/>
      <c r="C2810" s="20"/>
      <c r="D2810" s="19"/>
      <c r="E2810" s="19"/>
      <c r="F2810" s="22"/>
      <c r="G2810" s="22"/>
      <c r="H2810" s="22"/>
      <c r="I2810" s="22"/>
      <c r="J2810" s="22"/>
      <c r="K2810" s="22"/>
      <c r="L2810" s="22"/>
      <c r="M2810" s="22"/>
      <c r="N2810" s="22"/>
      <c r="O2810" s="22"/>
      <c r="P2810" s="22"/>
      <c r="Q2810" s="22"/>
      <c r="R2810" s="22"/>
      <c r="S2810" s="22"/>
      <c r="T2810" s="22"/>
    </row>
    <row r="2811" spans="1:20" x14ac:dyDescent="0.35">
      <c r="A2811" s="21"/>
      <c r="B2811" s="17"/>
      <c r="C2811" s="20"/>
      <c r="D2811" s="19"/>
      <c r="E2811" s="19"/>
      <c r="F2811" s="22"/>
      <c r="G2811" s="22"/>
      <c r="H2811" s="22"/>
      <c r="I2811" s="22"/>
      <c r="J2811" s="22"/>
      <c r="K2811" s="22"/>
      <c r="L2811" s="22"/>
      <c r="M2811" s="22"/>
      <c r="N2811" s="22"/>
      <c r="O2811" s="22"/>
      <c r="P2811" s="22"/>
      <c r="Q2811" s="22"/>
      <c r="R2811" s="22"/>
      <c r="S2811" s="22"/>
      <c r="T2811" s="22"/>
    </row>
    <row r="2812" spans="1:20" x14ac:dyDescent="0.35">
      <c r="A2812" s="21"/>
      <c r="B2812" s="17"/>
      <c r="C2812" s="20"/>
      <c r="D2812" s="19"/>
      <c r="E2812" s="19"/>
      <c r="F2812" s="22"/>
      <c r="G2812" s="22"/>
      <c r="H2812" s="22"/>
      <c r="I2812" s="22"/>
      <c r="J2812" s="22"/>
      <c r="K2812" s="22"/>
      <c r="L2812" s="22"/>
      <c r="M2812" s="22"/>
      <c r="N2812" s="22"/>
      <c r="O2812" s="22"/>
      <c r="P2812" s="22"/>
      <c r="Q2812" s="22"/>
      <c r="R2812" s="22"/>
      <c r="S2812" s="22"/>
      <c r="T2812" s="22"/>
    </row>
    <row r="2813" spans="1:20" x14ac:dyDescent="0.35">
      <c r="A2813" s="21"/>
      <c r="B2813" s="17"/>
      <c r="C2813" s="20"/>
      <c r="D2813" s="19"/>
      <c r="E2813" s="19"/>
      <c r="F2813" s="22"/>
      <c r="G2813" s="22"/>
      <c r="H2813" s="22"/>
      <c r="I2813" s="22"/>
      <c r="J2813" s="22"/>
      <c r="K2813" s="22"/>
      <c r="L2813" s="22"/>
      <c r="M2813" s="22"/>
      <c r="N2813" s="22"/>
      <c r="O2813" s="22"/>
      <c r="P2813" s="22"/>
      <c r="Q2813" s="22"/>
      <c r="R2813" s="22"/>
      <c r="S2813" s="22"/>
      <c r="T2813" s="22"/>
    </row>
    <row r="2814" spans="1:20" x14ac:dyDescent="0.35">
      <c r="A2814" s="21"/>
      <c r="B2814" s="17"/>
      <c r="C2814" s="13"/>
      <c r="D2814" s="13"/>
      <c r="E2814" s="13"/>
      <c r="F2814" s="14"/>
      <c r="G2814" s="14"/>
      <c r="H2814" s="14"/>
      <c r="I2814" s="14"/>
      <c r="J2814" s="14"/>
      <c r="K2814" s="14"/>
      <c r="L2814" s="14"/>
      <c r="M2814" s="14"/>
      <c r="N2814" s="14"/>
      <c r="O2814" s="14"/>
      <c r="P2814" s="14"/>
      <c r="Q2814" s="14"/>
      <c r="R2814" s="14"/>
      <c r="S2814" s="14"/>
      <c r="T2814" s="14"/>
    </row>
    <row r="2815" spans="1:20" x14ac:dyDescent="0.35">
      <c r="A2815" s="21"/>
      <c r="B2815" s="17"/>
      <c r="C2815" s="13"/>
      <c r="D2815" s="13"/>
      <c r="E2815" s="13"/>
      <c r="F2815" s="14"/>
      <c r="G2815" s="14"/>
      <c r="H2815" s="14"/>
      <c r="I2815" s="14"/>
      <c r="J2815" s="14"/>
      <c r="K2815" s="14"/>
      <c r="L2815" s="14"/>
      <c r="M2815" s="14"/>
      <c r="N2815" s="14"/>
      <c r="O2815" s="14"/>
      <c r="P2815" s="14"/>
      <c r="Q2815" s="14"/>
      <c r="R2815" s="14"/>
      <c r="S2815" s="14"/>
      <c r="T2815" s="14"/>
    </row>
    <row r="2816" spans="1:20" x14ac:dyDescent="0.35">
      <c r="A2816" s="21"/>
      <c r="B2816" s="17"/>
      <c r="C2816" s="13"/>
      <c r="D2816" s="13"/>
      <c r="E2816" s="13"/>
      <c r="F2816" s="14"/>
      <c r="G2816" s="14"/>
      <c r="H2816" s="14"/>
      <c r="I2816" s="14"/>
      <c r="J2816" s="14"/>
      <c r="K2816" s="14"/>
      <c r="L2816" s="14"/>
      <c r="M2816" s="14"/>
      <c r="N2816" s="14"/>
      <c r="O2816" s="14"/>
      <c r="P2816" s="14"/>
      <c r="Q2816" s="14"/>
      <c r="R2816" s="14"/>
      <c r="S2816" s="14"/>
      <c r="T2816" s="14"/>
    </row>
    <row r="2817" spans="1:20" x14ac:dyDescent="0.35">
      <c r="A2817" s="21"/>
      <c r="B2817" s="17"/>
      <c r="C2817" s="13"/>
      <c r="D2817" s="13"/>
      <c r="E2817" s="13"/>
      <c r="F2817" s="14"/>
      <c r="G2817" s="14"/>
      <c r="H2817" s="14"/>
      <c r="I2817" s="14"/>
      <c r="J2817" s="14"/>
      <c r="K2817" s="14"/>
      <c r="L2817" s="14"/>
      <c r="M2817" s="14"/>
      <c r="N2817" s="14"/>
      <c r="O2817" s="14"/>
      <c r="P2817" s="14"/>
      <c r="Q2817" s="14"/>
      <c r="R2817" s="14"/>
      <c r="S2817" s="14"/>
      <c r="T2817" s="14"/>
    </row>
    <row r="2818" spans="1:20" x14ac:dyDescent="0.35">
      <c r="A2818" s="21"/>
      <c r="B2818" s="17"/>
      <c r="C2818" s="13"/>
      <c r="D2818" s="13"/>
      <c r="E2818" s="13"/>
      <c r="F2818" s="14"/>
      <c r="G2818" s="14"/>
      <c r="H2818" s="14"/>
      <c r="I2818" s="14"/>
      <c r="J2818" s="14"/>
      <c r="K2818" s="14"/>
      <c r="L2818" s="14"/>
      <c r="M2818" s="14"/>
      <c r="N2818" s="14"/>
      <c r="O2818" s="14"/>
      <c r="P2818" s="14"/>
      <c r="Q2818" s="14"/>
      <c r="R2818" s="14"/>
      <c r="S2818" s="14"/>
      <c r="T2818" s="14"/>
    </row>
    <row r="2819" spans="1:20" x14ac:dyDescent="0.35">
      <c r="A2819" s="21"/>
      <c r="B2819" s="17"/>
      <c r="C2819" s="13"/>
      <c r="D2819" s="13"/>
      <c r="E2819" s="13"/>
      <c r="F2819" s="14"/>
      <c r="G2819" s="14"/>
      <c r="H2819" s="14"/>
      <c r="I2819" s="14"/>
      <c r="J2819" s="14"/>
      <c r="K2819" s="14"/>
      <c r="L2819" s="14"/>
      <c r="M2819" s="14"/>
      <c r="N2819" s="14"/>
      <c r="O2819" s="14"/>
      <c r="P2819" s="14"/>
      <c r="Q2819" s="14"/>
      <c r="R2819" s="14"/>
      <c r="S2819" s="14"/>
      <c r="T2819" s="14"/>
    </row>
    <row r="2820" spans="1:20" x14ac:dyDescent="0.35">
      <c r="A2820" s="21"/>
      <c r="B2820" s="17"/>
      <c r="C2820" s="13"/>
      <c r="D2820" s="13"/>
      <c r="E2820" s="13"/>
      <c r="F2820" s="14"/>
      <c r="G2820" s="14"/>
      <c r="H2820" s="14"/>
      <c r="I2820" s="14"/>
      <c r="J2820" s="14"/>
      <c r="K2820" s="14"/>
      <c r="L2820" s="14"/>
      <c r="M2820" s="14"/>
      <c r="N2820" s="14"/>
      <c r="O2820" s="14"/>
      <c r="P2820" s="14"/>
      <c r="Q2820" s="14"/>
      <c r="R2820" s="14"/>
      <c r="S2820" s="14"/>
      <c r="T2820" s="14"/>
    </row>
    <row r="2821" spans="1:20" x14ac:dyDescent="0.35">
      <c r="A2821" s="21"/>
      <c r="B2821" s="17"/>
      <c r="C2821" s="13"/>
      <c r="D2821" s="13"/>
      <c r="E2821" s="13"/>
      <c r="F2821" s="14"/>
      <c r="G2821" s="14"/>
      <c r="H2821" s="14"/>
      <c r="I2821" s="14"/>
      <c r="J2821" s="14"/>
      <c r="K2821" s="14"/>
      <c r="L2821" s="14"/>
      <c r="M2821" s="14"/>
      <c r="N2821" s="14"/>
      <c r="O2821" s="14"/>
      <c r="P2821" s="14"/>
      <c r="Q2821" s="14"/>
      <c r="R2821" s="14"/>
      <c r="S2821" s="14"/>
      <c r="T2821" s="14"/>
    </row>
    <row r="2822" spans="1:20" x14ac:dyDescent="0.35">
      <c r="A2822" s="21"/>
      <c r="B2822" s="17"/>
      <c r="C2822" s="13"/>
      <c r="D2822" s="13"/>
      <c r="E2822" s="13"/>
      <c r="F2822" s="14"/>
      <c r="G2822" s="14"/>
      <c r="H2822" s="14"/>
      <c r="I2822" s="14"/>
      <c r="J2822" s="14"/>
      <c r="K2822" s="14"/>
      <c r="L2822" s="14"/>
      <c r="M2822" s="14"/>
      <c r="N2822" s="14"/>
      <c r="O2822" s="14"/>
      <c r="P2822" s="14"/>
      <c r="Q2822" s="14"/>
      <c r="R2822" s="14"/>
      <c r="S2822" s="14"/>
      <c r="T2822" s="14"/>
    </row>
    <row r="2823" spans="1:20" x14ac:dyDescent="0.35">
      <c r="A2823" s="21"/>
      <c r="B2823" s="17"/>
      <c r="C2823" s="13"/>
      <c r="D2823" s="13"/>
      <c r="E2823" s="13"/>
      <c r="F2823" s="14"/>
      <c r="G2823" s="14"/>
      <c r="H2823" s="14"/>
      <c r="I2823" s="14"/>
      <c r="J2823" s="14"/>
      <c r="K2823" s="14"/>
      <c r="L2823" s="14"/>
      <c r="M2823" s="14"/>
      <c r="N2823" s="14"/>
      <c r="O2823" s="14"/>
      <c r="P2823" s="14"/>
      <c r="Q2823" s="14"/>
      <c r="R2823" s="14"/>
      <c r="S2823" s="14"/>
      <c r="T2823" s="14"/>
    </row>
    <row r="2824" spans="1:20" x14ac:dyDescent="0.35">
      <c r="A2824" s="21"/>
      <c r="B2824" s="17"/>
      <c r="C2824" s="13"/>
      <c r="D2824" s="13"/>
      <c r="E2824" s="13"/>
      <c r="F2824" s="14"/>
      <c r="G2824" s="14"/>
      <c r="H2824" s="14"/>
      <c r="I2824" s="14"/>
      <c r="J2824" s="14"/>
      <c r="K2824" s="14"/>
      <c r="L2824" s="14"/>
      <c r="M2824" s="14"/>
      <c r="N2824" s="14"/>
      <c r="O2824" s="14"/>
      <c r="P2824" s="14"/>
      <c r="Q2824" s="14"/>
      <c r="R2824" s="14"/>
      <c r="S2824" s="14"/>
      <c r="T2824" s="14"/>
    </row>
    <row r="2825" spans="1:20" x14ac:dyDescent="0.35">
      <c r="A2825" s="21"/>
      <c r="B2825" s="17"/>
      <c r="C2825" s="13"/>
      <c r="D2825" s="13"/>
      <c r="E2825" s="13"/>
      <c r="F2825" s="14"/>
      <c r="G2825" s="14"/>
      <c r="H2825" s="14"/>
      <c r="I2825" s="14"/>
      <c r="J2825" s="14"/>
      <c r="K2825" s="14"/>
      <c r="L2825" s="14"/>
      <c r="M2825" s="14"/>
      <c r="N2825" s="14"/>
      <c r="O2825" s="14"/>
      <c r="P2825" s="14"/>
      <c r="Q2825" s="14"/>
      <c r="R2825" s="14"/>
      <c r="S2825" s="14"/>
      <c r="T2825" s="14"/>
    </row>
    <row r="2826" spans="1:20" x14ac:dyDescent="0.35">
      <c r="A2826" s="21"/>
      <c r="B2826" s="17"/>
      <c r="C2826" s="13"/>
      <c r="D2826" s="13"/>
      <c r="E2826" s="13"/>
      <c r="F2826" s="14"/>
      <c r="G2826" s="14"/>
      <c r="H2826" s="14"/>
      <c r="I2826" s="14"/>
      <c r="J2826" s="14"/>
      <c r="K2826" s="14"/>
      <c r="L2826" s="14"/>
      <c r="M2826" s="14"/>
      <c r="N2826" s="14"/>
      <c r="O2826" s="14"/>
      <c r="P2826" s="14"/>
      <c r="Q2826" s="14"/>
      <c r="R2826" s="14"/>
      <c r="S2826" s="14"/>
      <c r="T2826" s="14"/>
    </row>
    <row r="2827" spans="1:20" x14ac:dyDescent="0.35">
      <c r="A2827" s="21"/>
      <c r="B2827" s="17"/>
      <c r="C2827" s="13"/>
      <c r="D2827" s="13"/>
      <c r="E2827" s="13"/>
      <c r="F2827" s="14"/>
      <c r="G2827" s="14"/>
      <c r="H2827" s="14"/>
      <c r="I2827" s="14"/>
      <c r="J2827" s="14"/>
      <c r="K2827" s="14"/>
      <c r="L2827" s="14"/>
      <c r="M2827" s="14"/>
      <c r="N2827" s="14"/>
      <c r="O2827" s="14"/>
      <c r="P2827" s="14"/>
      <c r="Q2827" s="14"/>
      <c r="R2827" s="14"/>
      <c r="S2827" s="14"/>
      <c r="T2827" s="14"/>
    </row>
    <row r="2828" spans="1:20" x14ac:dyDescent="0.35">
      <c r="A2828" s="21"/>
      <c r="B2828" s="17"/>
      <c r="C2828" s="13"/>
      <c r="D2828" s="13"/>
      <c r="E2828" s="13"/>
      <c r="F2828" s="14"/>
      <c r="G2828" s="14"/>
      <c r="H2828" s="14"/>
      <c r="I2828" s="14"/>
      <c r="J2828" s="14"/>
      <c r="K2828" s="14"/>
      <c r="L2828" s="14"/>
      <c r="M2828" s="14"/>
      <c r="N2828" s="14"/>
      <c r="O2828" s="14"/>
      <c r="P2828" s="14"/>
      <c r="Q2828" s="14"/>
      <c r="R2828" s="14"/>
      <c r="S2828" s="14"/>
      <c r="T2828" s="14"/>
    </row>
    <row r="2829" spans="1:20" x14ac:dyDescent="0.35">
      <c r="A2829" s="21"/>
      <c r="B2829" s="17"/>
      <c r="C2829" s="18"/>
      <c r="D2829" s="19"/>
      <c r="E2829" s="19"/>
      <c r="F2829" s="22"/>
      <c r="G2829" s="22"/>
      <c r="H2829" s="22"/>
      <c r="I2829" s="22"/>
      <c r="J2829" s="22"/>
      <c r="K2829" s="22"/>
      <c r="L2829" s="22"/>
      <c r="M2829" s="22"/>
      <c r="N2829" s="22"/>
      <c r="O2829" s="22"/>
      <c r="P2829" s="22"/>
      <c r="Q2829" s="22"/>
      <c r="R2829" s="22"/>
      <c r="S2829" s="22"/>
      <c r="T2829" s="22"/>
    </row>
    <row r="2830" spans="1:20" x14ac:dyDescent="0.35">
      <c r="A2830" s="21"/>
      <c r="B2830" s="17"/>
      <c r="C2830" s="18"/>
      <c r="D2830" s="19"/>
      <c r="E2830" s="19"/>
      <c r="F2830" s="22"/>
      <c r="G2830" s="22"/>
      <c r="H2830" s="22"/>
      <c r="I2830" s="22"/>
      <c r="J2830" s="22"/>
      <c r="K2830" s="22"/>
      <c r="L2830" s="22"/>
      <c r="M2830" s="22"/>
      <c r="N2830" s="22"/>
      <c r="O2830" s="22"/>
      <c r="P2830" s="22"/>
      <c r="Q2830" s="22"/>
      <c r="R2830" s="22"/>
      <c r="S2830" s="22"/>
      <c r="T2830" s="22"/>
    </row>
    <row r="2831" spans="1:20" x14ac:dyDescent="0.35">
      <c r="A2831" s="21"/>
      <c r="B2831" s="17"/>
      <c r="C2831" s="18"/>
      <c r="D2831" s="19"/>
      <c r="E2831" s="19"/>
      <c r="F2831" s="22"/>
      <c r="G2831" s="22"/>
      <c r="H2831" s="22"/>
      <c r="I2831" s="22"/>
      <c r="J2831" s="22"/>
      <c r="K2831" s="22"/>
      <c r="L2831" s="22"/>
      <c r="M2831" s="22"/>
      <c r="N2831" s="22"/>
      <c r="O2831" s="22"/>
      <c r="P2831" s="22"/>
      <c r="Q2831" s="22"/>
      <c r="R2831" s="22"/>
      <c r="S2831" s="22"/>
      <c r="T2831" s="22"/>
    </row>
    <row r="2832" spans="1:20" x14ac:dyDescent="0.35">
      <c r="A2832" s="21"/>
      <c r="B2832" s="17"/>
      <c r="C2832" s="18"/>
      <c r="D2832" s="19"/>
      <c r="E2832" s="19"/>
      <c r="F2832" s="22"/>
      <c r="G2832" s="22"/>
      <c r="H2832" s="22"/>
      <c r="I2832" s="22"/>
      <c r="J2832" s="22"/>
      <c r="K2832" s="22"/>
      <c r="L2832" s="22"/>
      <c r="M2832" s="22"/>
      <c r="N2832" s="22"/>
      <c r="O2832" s="22"/>
      <c r="P2832" s="22"/>
      <c r="Q2832" s="22"/>
      <c r="R2832" s="22"/>
      <c r="S2832" s="22"/>
      <c r="T2832" s="22"/>
    </row>
    <row r="2833" spans="1:20" x14ac:dyDescent="0.35">
      <c r="A2833" s="21"/>
      <c r="B2833" s="17"/>
      <c r="C2833" s="18"/>
      <c r="D2833" s="19"/>
      <c r="E2833" s="19"/>
      <c r="F2833" s="22"/>
      <c r="G2833" s="22"/>
      <c r="H2833" s="22"/>
      <c r="I2833" s="22"/>
      <c r="J2833" s="22"/>
      <c r="K2833" s="22"/>
      <c r="L2833" s="22"/>
      <c r="M2833" s="22"/>
      <c r="N2833" s="22"/>
      <c r="O2833" s="22"/>
      <c r="P2833" s="22"/>
      <c r="Q2833" s="22"/>
      <c r="R2833" s="22"/>
      <c r="S2833" s="22"/>
      <c r="T2833" s="22"/>
    </row>
    <row r="2834" spans="1:20" x14ac:dyDescent="0.35">
      <c r="A2834" s="21"/>
      <c r="B2834" s="17"/>
      <c r="C2834" s="18"/>
      <c r="D2834" s="19"/>
      <c r="E2834" s="19"/>
      <c r="F2834" s="22"/>
      <c r="G2834" s="22"/>
      <c r="H2834" s="22"/>
      <c r="I2834" s="22"/>
      <c r="J2834" s="22"/>
      <c r="K2834" s="22"/>
      <c r="L2834" s="22"/>
      <c r="M2834" s="22"/>
      <c r="N2834" s="22"/>
      <c r="O2834" s="22"/>
      <c r="P2834" s="22"/>
      <c r="Q2834" s="22"/>
      <c r="R2834" s="22"/>
      <c r="S2834" s="22"/>
      <c r="T2834" s="22"/>
    </row>
    <row r="2835" spans="1:20" x14ac:dyDescent="0.35">
      <c r="A2835" s="21"/>
      <c r="B2835" s="17"/>
      <c r="C2835" s="18"/>
      <c r="D2835" s="19"/>
      <c r="E2835" s="19"/>
      <c r="F2835" s="22"/>
      <c r="G2835" s="22"/>
      <c r="H2835" s="22"/>
      <c r="I2835" s="22"/>
      <c r="J2835" s="22"/>
      <c r="K2835" s="22"/>
      <c r="L2835" s="22"/>
      <c r="M2835" s="22"/>
      <c r="N2835" s="22"/>
      <c r="O2835" s="22"/>
      <c r="P2835" s="22"/>
      <c r="Q2835" s="22"/>
      <c r="R2835" s="22"/>
      <c r="S2835" s="22"/>
      <c r="T2835" s="22"/>
    </row>
    <row r="2836" spans="1:20" x14ac:dyDescent="0.35">
      <c r="A2836" s="21"/>
      <c r="B2836" s="17"/>
      <c r="C2836" s="18"/>
      <c r="D2836" s="19"/>
      <c r="E2836" s="19"/>
      <c r="F2836" s="22"/>
      <c r="G2836" s="22"/>
      <c r="H2836" s="22"/>
      <c r="I2836" s="22"/>
      <c r="J2836" s="22"/>
      <c r="K2836" s="22"/>
      <c r="L2836" s="22"/>
      <c r="M2836" s="22"/>
      <c r="N2836" s="22"/>
      <c r="O2836" s="22"/>
      <c r="P2836" s="22"/>
      <c r="Q2836" s="22"/>
      <c r="R2836" s="22"/>
      <c r="S2836" s="22"/>
      <c r="T2836" s="22"/>
    </row>
    <row r="2837" spans="1:20" x14ac:dyDescent="0.35">
      <c r="A2837" s="21"/>
      <c r="B2837" s="17"/>
      <c r="C2837" s="18"/>
      <c r="D2837" s="19"/>
      <c r="E2837" s="19"/>
      <c r="F2837" s="22"/>
      <c r="G2837" s="22"/>
      <c r="H2837" s="22"/>
      <c r="I2837" s="22"/>
      <c r="J2837" s="22"/>
      <c r="K2837" s="22"/>
      <c r="L2837" s="22"/>
      <c r="M2837" s="22"/>
      <c r="N2837" s="22"/>
      <c r="O2837" s="22"/>
      <c r="P2837" s="22"/>
      <c r="Q2837" s="22"/>
      <c r="R2837" s="22"/>
      <c r="S2837" s="22"/>
      <c r="T2837" s="22"/>
    </row>
    <row r="2838" spans="1:20" x14ac:dyDescent="0.35">
      <c r="A2838" s="21"/>
      <c r="B2838" s="17"/>
      <c r="C2838" s="18"/>
      <c r="D2838" s="19"/>
      <c r="E2838" s="19"/>
      <c r="F2838" s="22"/>
      <c r="G2838" s="22"/>
      <c r="H2838" s="22"/>
      <c r="I2838" s="22"/>
      <c r="J2838" s="22"/>
      <c r="K2838" s="22"/>
      <c r="L2838" s="22"/>
      <c r="M2838" s="22"/>
      <c r="N2838" s="22"/>
      <c r="O2838" s="22"/>
      <c r="P2838" s="22"/>
      <c r="Q2838" s="22"/>
      <c r="R2838" s="22"/>
      <c r="S2838" s="22"/>
      <c r="T2838" s="22"/>
    </row>
    <row r="2839" spans="1:20" x14ac:dyDescent="0.35">
      <c r="A2839" s="21"/>
      <c r="B2839" s="17"/>
      <c r="C2839" s="18"/>
      <c r="D2839" s="19"/>
      <c r="E2839" s="19"/>
      <c r="F2839" s="22"/>
      <c r="G2839" s="22"/>
      <c r="H2839" s="22"/>
      <c r="I2839" s="22"/>
      <c r="J2839" s="22"/>
      <c r="K2839" s="22"/>
      <c r="L2839" s="22"/>
      <c r="M2839" s="22"/>
      <c r="N2839" s="22"/>
      <c r="O2839" s="22"/>
      <c r="P2839" s="22"/>
      <c r="Q2839" s="22"/>
      <c r="R2839" s="22"/>
      <c r="S2839" s="22"/>
      <c r="T2839" s="22"/>
    </row>
    <row r="2840" spans="1:20" x14ac:dyDescent="0.35">
      <c r="A2840" s="21"/>
      <c r="B2840" s="17"/>
      <c r="C2840" s="18"/>
      <c r="D2840" s="19"/>
      <c r="E2840" s="19"/>
      <c r="F2840" s="22"/>
      <c r="G2840" s="22"/>
      <c r="H2840" s="22"/>
      <c r="I2840" s="22"/>
      <c r="J2840" s="22"/>
      <c r="K2840" s="22"/>
      <c r="L2840" s="22"/>
      <c r="M2840" s="22"/>
      <c r="N2840" s="22"/>
      <c r="O2840" s="22"/>
      <c r="P2840" s="22"/>
      <c r="Q2840" s="22"/>
      <c r="R2840" s="22"/>
      <c r="S2840" s="22"/>
      <c r="T2840" s="22"/>
    </row>
    <row r="2841" spans="1:20" x14ac:dyDescent="0.35">
      <c r="A2841" s="21"/>
      <c r="B2841" s="17"/>
      <c r="C2841" s="18"/>
      <c r="D2841" s="19"/>
      <c r="E2841" s="19"/>
      <c r="F2841" s="22"/>
      <c r="G2841" s="22"/>
      <c r="H2841" s="22"/>
      <c r="I2841" s="22"/>
      <c r="J2841" s="22"/>
      <c r="K2841" s="22"/>
      <c r="L2841" s="22"/>
      <c r="M2841" s="22"/>
      <c r="N2841" s="22"/>
      <c r="O2841" s="22"/>
      <c r="P2841" s="22"/>
      <c r="Q2841" s="22"/>
      <c r="R2841" s="22"/>
      <c r="S2841" s="22"/>
      <c r="T2841" s="22"/>
    </row>
    <row r="2842" spans="1:20" x14ac:dyDescent="0.35">
      <c r="A2842" s="21"/>
      <c r="B2842" s="17"/>
      <c r="C2842" s="18"/>
      <c r="D2842" s="19"/>
      <c r="E2842" s="19"/>
      <c r="F2842" s="22"/>
      <c r="G2842" s="22"/>
      <c r="H2842" s="22"/>
      <c r="I2842" s="22"/>
      <c r="J2842" s="22"/>
      <c r="K2842" s="22"/>
      <c r="L2842" s="22"/>
      <c r="M2842" s="22"/>
      <c r="N2842" s="22"/>
      <c r="O2842" s="22"/>
      <c r="P2842" s="22"/>
      <c r="Q2842" s="22"/>
      <c r="R2842" s="22"/>
      <c r="S2842" s="22"/>
      <c r="T2842" s="22"/>
    </row>
    <row r="2843" spans="1:20" x14ac:dyDescent="0.35">
      <c r="A2843" s="21"/>
      <c r="B2843" s="17"/>
      <c r="C2843" s="18"/>
      <c r="D2843" s="19"/>
      <c r="E2843" s="19"/>
      <c r="F2843" s="22"/>
      <c r="G2843" s="22"/>
      <c r="H2843" s="22"/>
      <c r="I2843" s="22"/>
      <c r="J2843" s="22"/>
      <c r="K2843" s="22"/>
      <c r="L2843" s="22"/>
      <c r="M2843" s="22"/>
      <c r="N2843" s="22"/>
      <c r="O2843" s="22"/>
      <c r="P2843" s="22"/>
      <c r="Q2843" s="22"/>
      <c r="R2843" s="22"/>
      <c r="S2843" s="22"/>
      <c r="T2843" s="22"/>
    </row>
    <row r="2844" spans="1:20" x14ac:dyDescent="0.35">
      <c r="A2844" s="21"/>
      <c r="B2844" s="17"/>
      <c r="C2844" s="18"/>
      <c r="D2844" s="19"/>
      <c r="E2844" s="19"/>
      <c r="F2844" s="22"/>
      <c r="G2844" s="22"/>
      <c r="H2844" s="22"/>
      <c r="I2844" s="22"/>
      <c r="J2844" s="22"/>
      <c r="K2844" s="22"/>
      <c r="L2844" s="22"/>
      <c r="M2844" s="22"/>
      <c r="N2844" s="22"/>
      <c r="O2844" s="22"/>
      <c r="P2844" s="22"/>
      <c r="Q2844" s="22"/>
      <c r="R2844" s="22"/>
      <c r="S2844" s="22"/>
      <c r="T2844" s="22"/>
    </row>
    <row r="2845" spans="1:20" x14ac:dyDescent="0.35">
      <c r="A2845" s="21"/>
      <c r="B2845" s="17"/>
      <c r="C2845" s="13"/>
      <c r="D2845" s="13"/>
      <c r="E2845" s="13"/>
      <c r="F2845" s="14"/>
      <c r="G2845" s="14"/>
      <c r="H2845" s="14"/>
      <c r="I2845" s="14"/>
      <c r="J2845" s="14"/>
      <c r="K2845" s="14"/>
      <c r="L2845" s="14"/>
      <c r="M2845" s="14"/>
      <c r="N2845" s="14"/>
      <c r="O2845" s="14"/>
      <c r="P2845" s="14"/>
      <c r="Q2845" s="14"/>
      <c r="R2845" s="14"/>
      <c r="S2845" s="14"/>
      <c r="T2845" s="14"/>
    </row>
    <row r="2846" spans="1:20" x14ac:dyDescent="0.35">
      <c r="A2846" s="21"/>
      <c r="B2846" s="17"/>
      <c r="C2846" s="13"/>
      <c r="D2846" s="13"/>
      <c r="E2846" s="13"/>
      <c r="F2846" s="14"/>
      <c r="G2846" s="14"/>
      <c r="H2846" s="14"/>
      <c r="I2846" s="14"/>
      <c r="J2846" s="14"/>
      <c r="K2846" s="14"/>
      <c r="L2846" s="14"/>
      <c r="M2846" s="14"/>
      <c r="N2846" s="14"/>
      <c r="O2846" s="14"/>
      <c r="P2846" s="14"/>
      <c r="Q2846" s="14"/>
      <c r="R2846" s="14"/>
      <c r="S2846" s="14"/>
      <c r="T2846" s="14"/>
    </row>
    <row r="2847" spans="1:20" x14ac:dyDescent="0.35">
      <c r="A2847" s="21"/>
      <c r="B2847" s="17"/>
      <c r="C2847" s="13"/>
      <c r="D2847" s="13"/>
      <c r="E2847" s="13"/>
      <c r="F2847" s="14"/>
      <c r="G2847" s="14"/>
      <c r="H2847" s="14"/>
      <c r="I2847" s="14"/>
      <c r="J2847" s="14"/>
      <c r="K2847" s="14"/>
      <c r="L2847" s="14"/>
      <c r="M2847" s="14"/>
      <c r="N2847" s="14"/>
      <c r="O2847" s="14"/>
      <c r="P2847" s="14"/>
      <c r="Q2847" s="14"/>
      <c r="R2847" s="14"/>
      <c r="S2847" s="14"/>
      <c r="T2847" s="14"/>
    </row>
    <row r="2848" spans="1:20" x14ac:dyDescent="0.35">
      <c r="A2848" s="21"/>
      <c r="B2848" s="17"/>
      <c r="C2848" s="13"/>
      <c r="D2848" s="13"/>
      <c r="E2848" s="13"/>
      <c r="F2848" s="14"/>
      <c r="G2848" s="14"/>
      <c r="H2848" s="14"/>
      <c r="I2848" s="14"/>
      <c r="J2848" s="14"/>
      <c r="K2848" s="14"/>
      <c r="L2848" s="14"/>
      <c r="M2848" s="14"/>
      <c r="N2848" s="14"/>
      <c r="O2848" s="14"/>
      <c r="P2848" s="14"/>
      <c r="Q2848" s="14"/>
      <c r="R2848" s="14"/>
      <c r="S2848" s="14"/>
      <c r="T2848" s="14"/>
    </row>
    <row r="2849" spans="1:20" x14ac:dyDescent="0.35">
      <c r="A2849" s="21"/>
      <c r="B2849" s="17"/>
      <c r="C2849" s="13"/>
      <c r="D2849" s="13"/>
      <c r="E2849" s="13"/>
      <c r="F2849" s="14"/>
      <c r="G2849" s="14"/>
      <c r="H2849" s="14"/>
      <c r="I2849" s="14"/>
      <c r="J2849" s="14"/>
      <c r="K2849" s="14"/>
      <c r="L2849" s="14"/>
      <c r="M2849" s="14"/>
      <c r="N2849" s="14"/>
      <c r="O2849" s="14"/>
      <c r="P2849" s="14"/>
      <c r="Q2849" s="14"/>
      <c r="R2849" s="14"/>
      <c r="S2849" s="14"/>
      <c r="T2849" s="14"/>
    </row>
    <row r="2850" spans="1:20" x14ac:dyDescent="0.35">
      <c r="A2850" s="21"/>
      <c r="B2850" s="17"/>
      <c r="C2850" s="13"/>
      <c r="D2850" s="13"/>
      <c r="E2850" s="13"/>
      <c r="F2850" s="14"/>
      <c r="G2850" s="14"/>
      <c r="H2850" s="14"/>
      <c r="I2850" s="14"/>
      <c r="J2850" s="14"/>
      <c r="K2850" s="14"/>
      <c r="L2850" s="14"/>
      <c r="M2850" s="14"/>
      <c r="N2850" s="14"/>
      <c r="O2850" s="14"/>
      <c r="P2850" s="14"/>
      <c r="Q2850" s="14"/>
      <c r="R2850" s="14"/>
      <c r="S2850" s="14"/>
      <c r="T2850" s="14"/>
    </row>
    <row r="2851" spans="1:20" x14ac:dyDescent="0.35">
      <c r="A2851" s="21"/>
      <c r="B2851" s="17"/>
      <c r="C2851" s="13"/>
      <c r="D2851" s="13"/>
      <c r="E2851" s="13"/>
      <c r="F2851" s="14"/>
      <c r="G2851" s="14"/>
      <c r="H2851" s="14"/>
      <c r="I2851" s="14"/>
      <c r="J2851" s="14"/>
      <c r="K2851" s="14"/>
      <c r="L2851" s="14"/>
      <c r="M2851" s="14"/>
      <c r="N2851" s="14"/>
      <c r="O2851" s="14"/>
      <c r="P2851" s="14"/>
      <c r="Q2851" s="14"/>
      <c r="R2851" s="14"/>
      <c r="S2851" s="14"/>
      <c r="T2851" s="14"/>
    </row>
    <row r="2852" spans="1:20" x14ac:dyDescent="0.35">
      <c r="A2852" s="21"/>
      <c r="B2852" s="17"/>
      <c r="F2852" s="14"/>
      <c r="G2852" s="14"/>
      <c r="H2852" s="14"/>
      <c r="I2852" s="14"/>
      <c r="J2852" s="14"/>
      <c r="K2852" s="14"/>
      <c r="L2852" s="14"/>
      <c r="M2852" s="14"/>
      <c r="N2852" s="14"/>
      <c r="O2852" s="14"/>
      <c r="P2852" s="14"/>
      <c r="Q2852" s="14"/>
      <c r="R2852" s="14"/>
      <c r="S2852" s="14"/>
      <c r="T2852" s="14"/>
    </row>
    <row r="2853" spans="1:20" x14ac:dyDescent="0.35">
      <c r="A2853" s="21"/>
      <c r="B2853" s="17"/>
      <c r="F2853" s="14"/>
      <c r="G2853" s="14"/>
      <c r="H2853" s="14"/>
      <c r="I2853" s="14"/>
      <c r="J2853" s="14"/>
      <c r="K2853" s="14"/>
      <c r="L2853" s="14"/>
      <c r="M2853" s="14"/>
      <c r="N2853" s="14"/>
      <c r="O2853" s="14"/>
      <c r="P2853" s="14"/>
      <c r="Q2853" s="14"/>
      <c r="R2853" s="14"/>
      <c r="S2853" s="14"/>
      <c r="T2853" s="14"/>
    </row>
    <row r="2854" spans="1:20" x14ac:dyDescent="0.35">
      <c r="A2854" s="21"/>
      <c r="B2854" s="17"/>
      <c r="F2854" s="14"/>
      <c r="G2854" s="14"/>
      <c r="H2854" s="14"/>
      <c r="I2854" s="14"/>
      <c r="J2854" s="14"/>
      <c r="K2854" s="14"/>
      <c r="L2854" s="14"/>
      <c r="M2854" s="14"/>
      <c r="N2854" s="14"/>
      <c r="O2854" s="14"/>
      <c r="P2854" s="14"/>
      <c r="Q2854" s="14"/>
      <c r="R2854" s="14"/>
      <c r="S2854" s="14"/>
      <c r="T2854" s="14"/>
    </row>
    <row r="2855" spans="1:20" x14ac:dyDescent="0.35">
      <c r="B2855" s="17"/>
      <c r="C2855" s="18"/>
      <c r="D2855" s="19"/>
      <c r="E2855" s="19"/>
      <c r="F2855" s="22"/>
      <c r="G2855" s="22"/>
      <c r="H2855" s="22"/>
      <c r="I2855" s="22"/>
      <c r="J2855" s="22"/>
      <c r="K2855" s="22"/>
      <c r="L2855" s="22"/>
      <c r="M2855" s="22"/>
      <c r="N2855" s="22"/>
      <c r="O2855" s="22"/>
      <c r="P2855" s="22"/>
      <c r="Q2855" s="22"/>
      <c r="R2855" s="22"/>
      <c r="S2855" s="22"/>
      <c r="T2855" s="22"/>
    </row>
    <row r="2856" spans="1:20" x14ac:dyDescent="0.35">
      <c r="B2856" s="17"/>
      <c r="C2856" s="18"/>
      <c r="D2856" s="19"/>
      <c r="E2856" s="19"/>
      <c r="F2856" s="22"/>
      <c r="G2856" s="22"/>
      <c r="H2856" s="22"/>
      <c r="I2856" s="22"/>
      <c r="J2856" s="22"/>
      <c r="K2856" s="22"/>
      <c r="L2856" s="22"/>
      <c r="M2856" s="22"/>
      <c r="N2856" s="22"/>
      <c r="O2856" s="22"/>
      <c r="P2856" s="22"/>
      <c r="Q2856" s="22"/>
      <c r="R2856" s="22"/>
      <c r="S2856" s="22"/>
      <c r="T2856" s="22"/>
    </row>
    <row r="2857" spans="1:20" x14ac:dyDescent="0.35">
      <c r="B2857" s="17"/>
      <c r="C2857" s="18"/>
      <c r="D2857" s="19"/>
      <c r="E2857" s="19"/>
      <c r="F2857" s="22"/>
      <c r="G2857" s="22"/>
      <c r="H2857" s="22"/>
      <c r="I2857" s="22"/>
      <c r="J2857" s="22"/>
      <c r="K2857" s="22"/>
      <c r="L2857" s="22"/>
      <c r="M2857" s="22"/>
      <c r="N2857" s="22"/>
      <c r="O2857" s="22"/>
      <c r="P2857" s="22"/>
      <c r="Q2857" s="22"/>
      <c r="R2857" s="22"/>
      <c r="S2857" s="22"/>
      <c r="T2857" s="22"/>
    </row>
    <row r="2858" spans="1:20" x14ac:dyDescent="0.35">
      <c r="B2858" s="17"/>
      <c r="C2858" s="18"/>
      <c r="D2858" s="19"/>
      <c r="E2858" s="19"/>
      <c r="F2858" s="22"/>
      <c r="G2858" s="22"/>
      <c r="H2858" s="22"/>
      <c r="I2858" s="22"/>
      <c r="J2858" s="22"/>
      <c r="K2858" s="22"/>
      <c r="L2858" s="22"/>
      <c r="M2858" s="22"/>
      <c r="N2858" s="22"/>
      <c r="O2858" s="22"/>
      <c r="P2858" s="22"/>
      <c r="Q2858" s="22"/>
      <c r="R2858" s="22"/>
      <c r="S2858" s="22"/>
      <c r="T2858" s="22"/>
    </row>
    <row r="2859" spans="1:20" x14ac:dyDescent="0.35">
      <c r="B2859" s="17"/>
      <c r="C2859" s="18"/>
      <c r="D2859" s="19"/>
      <c r="E2859" s="19"/>
      <c r="F2859" s="22"/>
      <c r="G2859" s="22"/>
      <c r="H2859" s="22"/>
      <c r="I2859" s="22"/>
      <c r="J2859" s="22"/>
      <c r="K2859" s="22"/>
      <c r="L2859" s="22"/>
      <c r="M2859" s="22"/>
      <c r="N2859" s="22"/>
      <c r="O2859" s="22"/>
      <c r="P2859" s="22"/>
      <c r="Q2859" s="22"/>
      <c r="R2859" s="22"/>
      <c r="S2859" s="22"/>
      <c r="T2859" s="22"/>
    </row>
    <row r="2860" spans="1:20" x14ac:dyDescent="0.35">
      <c r="B2860" s="17"/>
      <c r="C2860" s="20"/>
      <c r="D2860" s="19"/>
      <c r="E2860" s="19"/>
      <c r="F2860" s="22"/>
      <c r="G2860" s="22"/>
      <c r="H2860" s="22"/>
      <c r="I2860" s="22"/>
      <c r="J2860" s="22"/>
      <c r="K2860" s="22"/>
      <c r="L2860" s="22"/>
      <c r="M2860" s="22"/>
      <c r="N2860" s="22"/>
      <c r="O2860" s="22"/>
      <c r="P2860" s="22"/>
      <c r="Q2860" s="22"/>
      <c r="R2860" s="22"/>
      <c r="S2860" s="22"/>
      <c r="T2860" s="22"/>
    </row>
    <row r="2861" spans="1:20" x14ac:dyDescent="0.35">
      <c r="B2861" s="17"/>
      <c r="C2861" s="20"/>
      <c r="D2861" s="19"/>
      <c r="E2861" s="19"/>
      <c r="F2861" s="22"/>
      <c r="G2861" s="22"/>
      <c r="H2861" s="22"/>
      <c r="I2861" s="22"/>
      <c r="J2861" s="22"/>
      <c r="K2861" s="22"/>
      <c r="L2861" s="22"/>
      <c r="M2861" s="22"/>
      <c r="N2861" s="22"/>
      <c r="O2861" s="22"/>
      <c r="P2861" s="22"/>
      <c r="Q2861" s="22"/>
      <c r="R2861" s="22"/>
      <c r="S2861" s="22"/>
      <c r="T2861" s="22"/>
    </row>
    <row r="2862" spans="1:20" x14ac:dyDescent="0.35">
      <c r="B2862" s="17"/>
      <c r="C2862" s="20"/>
      <c r="D2862" s="19"/>
      <c r="E2862" s="19"/>
      <c r="F2862" s="22"/>
      <c r="G2862" s="22"/>
      <c r="H2862" s="22"/>
      <c r="I2862" s="22"/>
      <c r="J2862" s="22"/>
      <c r="K2862" s="22"/>
      <c r="L2862" s="22"/>
      <c r="M2862" s="22"/>
      <c r="N2862" s="22"/>
      <c r="O2862" s="22"/>
      <c r="P2862" s="22"/>
      <c r="Q2862" s="22"/>
      <c r="R2862" s="22"/>
      <c r="S2862" s="22"/>
      <c r="T2862" s="22"/>
    </row>
    <row r="2863" spans="1:20" x14ac:dyDescent="0.35">
      <c r="B2863" s="17"/>
      <c r="C2863" s="20"/>
      <c r="D2863" s="19"/>
      <c r="E2863" s="19"/>
      <c r="F2863" s="22"/>
      <c r="G2863" s="22"/>
      <c r="H2863" s="22"/>
      <c r="I2863" s="22"/>
      <c r="J2863" s="22"/>
      <c r="K2863" s="22"/>
      <c r="L2863" s="22"/>
      <c r="M2863" s="22"/>
      <c r="N2863" s="22"/>
      <c r="O2863" s="22"/>
      <c r="P2863" s="22"/>
      <c r="Q2863" s="22"/>
      <c r="R2863" s="22"/>
      <c r="S2863" s="22"/>
      <c r="T2863" s="22"/>
    </row>
    <row r="2864" spans="1:20" x14ac:dyDescent="0.35">
      <c r="B2864" s="17"/>
      <c r="C2864" s="13"/>
      <c r="D2864" s="13"/>
      <c r="E2864" s="13"/>
      <c r="F2864" s="14"/>
      <c r="G2864" s="14"/>
      <c r="H2864" s="14"/>
      <c r="I2864" s="14"/>
      <c r="J2864" s="14"/>
      <c r="K2864" s="14"/>
      <c r="L2864" s="14"/>
      <c r="M2864" s="14"/>
      <c r="N2864" s="14"/>
      <c r="O2864" s="14"/>
      <c r="P2864" s="14"/>
      <c r="Q2864" s="14"/>
      <c r="R2864" s="14"/>
      <c r="S2864" s="14"/>
      <c r="T2864" s="14"/>
    </row>
    <row r="2865" spans="2:20" x14ac:dyDescent="0.35">
      <c r="B2865" s="17"/>
      <c r="C2865" s="13"/>
      <c r="D2865" s="13"/>
      <c r="E2865" s="13"/>
      <c r="F2865" s="14"/>
      <c r="G2865" s="14"/>
      <c r="H2865" s="14"/>
      <c r="I2865" s="14"/>
      <c r="J2865" s="14"/>
      <c r="K2865" s="14"/>
      <c r="L2865" s="14"/>
      <c r="M2865" s="14"/>
      <c r="N2865" s="14"/>
      <c r="O2865" s="14"/>
      <c r="P2865" s="14"/>
      <c r="Q2865" s="14"/>
      <c r="R2865" s="14"/>
      <c r="S2865" s="14"/>
      <c r="T2865" s="14"/>
    </row>
    <row r="2866" spans="2:20" x14ac:dyDescent="0.35">
      <c r="B2866" s="17"/>
      <c r="C2866" s="13"/>
      <c r="D2866" s="13"/>
      <c r="E2866" s="13"/>
      <c r="F2866" s="14"/>
      <c r="G2866" s="14"/>
      <c r="H2866" s="14"/>
      <c r="I2866" s="14"/>
      <c r="J2866" s="14"/>
      <c r="K2866" s="14"/>
      <c r="L2866" s="14"/>
      <c r="M2866" s="14"/>
      <c r="N2866" s="14"/>
      <c r="O2866" s="14"/>
      <c r="P2866" s="14"/>
      <c r="Q2866" s="14"/>
      <c r="R2866" s="14"/>
      <c r="S2866" s="14"/>
      <c r="T2866" s="14"/>
    </row>
    <row r="2867" spans="2:20" x14ac:dyDescent="0.35">
      <c r="B2867" s="17"/>
      <c r="C2867" s="13"/>
      <c r="D2867" s="13"/>
      <c r="E2867" s="13"/>
      <c r="F2867" s="14"/>
      <c r="G2867" s="14"/>
      <c r="H2867" s="14"/>
      <c r="I2867" s="14"/>
      <c r="J2867" s="14"/>
      <c r="K2867" s="14"/>
      <c r="L2867" s="14"/>
      <c r="M2867" s="14"/>
      <c r="N2867" s="14"/>
      <c r="O2867" s="14"/>
      <c r="P2867" s="14"/>
      <c r="Q2867" s="14"/>
      <c r="R2867" s="14"/>
      <c r="S2867" s="14"/>
      <c r="T2867" s="14"/>
    </row>
    <row r="2868" spans="2:20" x14ac:dyDescent="0.35">
      <c r="B2868" s="17"/>
      <c r="C2868" s="13"/>
      <c r="D2868" s="13"/>
      <c r="E2868" s="13"/>
      <c r="F2868" s="14"/>
      <c r="G2868" s="14"/>
      <c r="H2868" s="14"/>
      <c r="I2868" s="14"/>
      <c r="J2868" s="14"/>
      <c r="K2868" s="14"/>
      <c r="L2868" s="14"/>
      <c r="M2868" s="14"/>
      <c r="N2868" s="14"/>
      <c r="O2868" s="14"/>
      <c r="P2868" s="14"/>
      <c r="Q2868" s="14"/>
      <c r="R2868" s="14"/>
      <c r="S2868" s="14"/>
      <c r="T2868" s="14"/>
    </row>
    <row r="2869" spans="2:20" x14ac:dyDescent="0.35">
      <c r="B2869" s="17"/>
      <c r="C2869" s="13"/>
      <c r="D2869" s="13"/>
      <c r="E2869" s="13"/>
      <c r="F2869" s="14"/>
      <c r="G2869" s="14"/>
      <c r="H2869" s="14"/>
      <c r="I2869" s="14"/>
      <c r="J2869" s="14"/>
      <c r="K2869" s="14"/>
      <c r="L2869" s="14"/>
      <c r="M2869" s="14"/>
      <c r="N2869" s="14"/>
      <c r="O2869" s="14"/>
      <c r="P2869" s="14"/>
      <c r="Q2869" s="14"/>
      <c r="R2869" s="14"/>
      <c r="S2869" s="14"/>
      <c r="T2869" s="14"/>
    </row>
    <row r="2870" spans="2:20" x14ac:dyDescent="0.35">
      <c r="B2870" s="17"/>
      <c r="C2870" s="13"/>
      <c r="D2870" s="13"/>
      <c r="E2870" s="13"/>
      <c r="F2870" s="14"/>
      <c r="G2870" s="14"/>
      <c r="H2870" s="14"/>
      <c r="I2870" s="14"/>
      <c r="J2870" s="14"/>
      <c r="K2870" s="14"/>
      <c r="L2870" s="14"/>
      <c r="M2870" s="14"/>
      <c r="N2870" s="14"/>
      <c r="O2870" s="14"/>
      <c r="P2870" s="14"/>
      <c r="Q2870" s="14"/>
      <c r="R2870" s="14"/>
      <c r="S2870" s="14"/>
      <c r="T2870" s="14"/>
    </row>
    <row r="2871" spans="2:20" x14ac:dyDescent="0.35">
      <c r="B2871" s="17"/>
      <c r="C2871" s="13"/>
      <c r="D2871" s="13"/>
      <c r="E2871" s="13"/>
      <c r="F2871" s="14"/>
      <c r="G2871" s="14"/>
      <c r="H2871" s="14"/>
      <c r="I2871" s="14"/>
      <c r="J2871" s="14"/>
      <c r="K2871" s="14"/>
      <c r="L2871" s="14"/>
      <c r="M2871" s="14"/>
      <c r="N2871" s="14"/>
      <c r="O2871" s="14"/>
      <c r="P2871" s="14"/>
      <c r="Q2871" s="14"/>
      <c r="R2871" s="14"/>
      <c r="S2871" s="14"/>
      <c r="T2871" s="14"/>
    </row>
    <row r="2872" spans="2:20" x14ac:dyDescent="0.35">
      <c r="B2872" s="17"/>
      <c r="C2872" s="13"/>
      <c r="D2872" s="13"/>
      <c r="E2872" s="13"/>
      <c r="F2872" s="14"/>
      <c r="G2872" s="14"/>
      <c r="H2872" s="14"/>
      <c r="I2872" s="14"/>
      <c r="J2872" s="14"/>
      <c r="K2872" s="14"/>
      <c r="L2872" s="14"/>
      <c r="M2872" s="14"/>
      <c r="N2872" s="14"/>
      <c r="O2872" s="14"/>
      <c r="P2872" s="14"/>
      <c r="Q2872" s="14"/>
      <c r="R2872" s="14"/>
      <c r="S2872" s="14"/>
      <c r="T2872" s="14"/>
    </row>
    <row r="2873" spans="2:20" x14ac:dyDescent="0.35">
      <c r="B2873" s="17"/>
      <c r="C2873" s="13"/>
      <c r="D2873" s="13"/>
      <c r="E2873" s="13"/>
      <c r="F2873" s="14"/>
      <c r="G2873" s="14"/>
      <c r="H2873" s="14"/>
      <c r="I2873" s="14"/>
      <c r="J2873" s="14"/>
      <c r="K2873" s="14"/>
      <c r="L2873" s="14"/>
      <c r="M2873" s="14"/>
      <c r="N2873" s="14"/>
      <c r="O2873" s="14"/>
      <c r="P2873" s="14"/>
      <c r="Q2873" s="14"/>
      <c r="R2873" s="14"/>
      <c r="S2873" s="14"/>
      <c r="T2873" s="14"/>
    </row>
    <row r="2874" spans="2:20" x14ac:dyDescent="0.35">
      <c r="B2874" s="17"/>
      <c r="C2874" s="13"/>
      <c r="D2874" s="13"/>
      <c r="E2874" s="13"/>
      <c r="F2874" s="14"/>
      <c r="G2874" s="14"/>
      <c r="H2874" s="14"/>
      <c r="I2874" s="14"/>
      <c r="J2874" s="14"/>
      <c r="K2874" s="14"/>
      <c r="L2874" s="14"/>
      <c r="M2874" s="14"/>
      <c r="N2874" s="14"/>
      <c r="O2874" s="14"/>
      <c r="P2874" s="14"/>
      <c r="Q2874" s="14"/>
      <c r="R2874" s="14"/>
      <c r="S2874" s="14"/>
      <c r="T2874" s="14"/>
    </row>
    <row r="2875" spans="2:20" x14ac:dyDescent="0.35">
      <c r="B2875" s="17"/>
      <c r="C2875" s="13"/>
      <c r="D2875" s="13"/>
      <c r="E2875" s="13"/>
      <c r="F2875" s="14"/>
      <c r="G2875" s="14"/>
      <c r="H2875" s="14"/>
      <c r="I2875" s="14"/>
      <c r="J2875" s="14"/>
      <c r="K2875" s="14"/>
      <c r="L2875" s="14"/>
      <c r="M2875" s="14"/>
      <c r="N2875" s="14"/>
      <c r="O2875" s="14"/>
      <c r="P2875" s="14"/>
      <c r="Q2875" s="14"/>
      <c r="R2875" s="14"/>
      <c r="S2875" s="14"/>
      <c r="T2875" s="14"/>
    </row>
    <row r="2876" spans="2:20" x14ac:dyDescent="0.35">
      <c r="B2876" s="17"/>
      <c r="C2876" s="13"/>
      <c r="D2876" s="13"/>
      <c r="E2876" s="13"/>
      <c r="F2876" s="14"/>
      <c r="G2876" s="14"/>
      <c r="H2876" s="14"/>
      <c r="I2876" s="14"/>
      <c r="J2876" s="14"/>
      <c r="K2876" s="14"/>
      <c r="L2876" s="14"/>
      <c r="M2876" s="14"/>
      <c r="N2876" s="14"/>
      <c r="O2876" s="14"/>
      <c r="P2876" s="14"/>
      <c r="Q2876" s="14"/>
      <c r="R2876" s="14"/>
      <c r="S2876" s="14"/>
      <c r="T2876" s="14"/>
    </row>
    <row r="2877" spans="2:20" x14ac:dyDescent="0.35">
      <c r="B2877" s="17"/>
      <c r="C2877" s="13"/>
      <c r="D2877" s="13"/>
      <c r="E2877" s="13"/>
      <c r="F2877" s="14"/>
      <c r="G2877" s="14"/>
      <c r="H2877" s="14"/>
      <c r="I2877" s="14"/>
      <c r="J2877" s="14"/>
      <c r="K2877" s="14"/>
      <c r="L2877" s="14"/>
      <c r="M2877" s="14"/>
      <c r="N2877" s="14"/>
      <c r="O2877" s="14"/>
      <c r="P2877" s="14"/>
      <c r="Q2877" s="14"/>
      <c r="R2877" s="14"/>
      <c r="S2877" s="14"/>
      <c r="T2877" s="14"/>
    </row>
    <row r="2878" spans="2:20" x14ac:dyDescent="0.35">
      <c r="B2878" s="17"/>
      <c r="C2878" s="13"/>
      <c r="D2878" s="13"/>
      <c r="E2878" s="13"/>
      <c r="F2878" s="14"/>
      <c r="G2878" s="14"/>
      <c r="H2878" s="14"/>
      <c r="I2878" s="14"/>
      <c r="J2878" s="14"/>
      <c r="K2878" s="14"/>
      <c r="L2878" s="14"/>
      <c r="M2878" s="14"/>
      <c r="N2878" s="14"/>
      <c r="O2878" s="14"/>
      <c r="P2878" s="14"/>
      <c r="Q2878" s="14"/>
      <c r="R2878" s="14"/>
      <c r="S2878" s="14"/>
      <c r="T2878" s="14"/>
    </row>
    <row r="2879" spans="2:20" x14ac:dyDescent="0.35">
      <c r="B2879" s="17"/>
      <c r="C2879" s="18"/>
      <c r="D2879" s="19"/>
      <c r="E2879" s="19"/>
      <c r="F2879" s="22"/>
      <c r="G2879" s="22"/>
      <c r="H2879" s="22"/>
      <c r="I2879" s="22"/>
      <c r="J2879" s="22"/>
      <c r="K2879" s="22"/>
      <c r="L2879" s="22"/>
      <c r="M2879" s="22"/>
      <c r="N2879" s="22"/>
      <c r="O2879" s="22"/>
      <c r="P2879" s="22"/>
      <c r="Q2879" s="22"/>
      <c r="R2879" s="22"/>
      <c r="S2879" s="22"/>
      <c r="T2879" s="22"/>
    </row>
    <row r="2880" spans="2:20" x14ac:dyDescent="0.35">
      <c r="B2880" s="17"/>
      <c r="C2880" s="18"/>
      <c r="D2880" s="19"/>
      <c r="E2880" s="19"/>
      <c r="F2880" s="22"/>
      <c r="G2880" s="22"/>
      <c r="H2880" s="22"/>
      <c r="I2880" s="22"/>
      <c r="J2880" s="22"/>
      <c r="K2880" s="22"/>
      <c r="L2880" s="22"/>
      <c r="M2880" s="22"/>
      <c r="N2880" s="22"/>
      <c r="O2880" s="22"/>
      <c r="P2880" s="22"/>
      <c r="Q2880" s="22"/>
      <c r="R2880" s="22"/>
      <c r="S2880" s="22"/>
      <c r="T2880" s="22"/>
    </row>
    <row r="2881" spans="2:20" x14ac:dyDescent="0.35">
      <c r="B2881" s="17"/>
      <c r="C2881" s="18"/>
      <c r="D2881" s="19"/>
      <c r="E2881" s="19"/>
      <c r="F2881" s="22"/>
      <c r="G2881" s="22"/>
      <c r="H2881" s="22"/>
      <c r="I2881" s="22"/>
      <c r="J2881" s="22"/>
      <c r="K2881" s="22"/>
      <c r="L2881" s="22"/>
      <c r="M2881" s="22"/>
      <c r="N2881" s="22"/>
      <c r="O2881" s="22"/>
      <c r="P2881" s="22"/>
      <c r="Q2881" s="22"/>
      <c r="R2881" s="22"/>
      <c r="S2881" s="22"/>
      <c r="T2881" s="22"/>
    </row>
    <row r="2882" spans="2:20" x14ac:dyDescent="0.35">
      <c r="B2882" s="17"/>
      <c r="C2882" s="18"/>
      <c r="D2882" s="19"/>
      <c r="E2882" s="19"/>
      <c r="F2882" s="22"/>
      <c r="G2882" s="22"/>
      <c r="H2882" s="22"/>
      <c r="I2882" s="22"/>
      <c r="J2882" s="22"/>
      <c r="K2882" s="22"/>
      <c r="L2882" s="22"/>
      <c r="M2882" s="22"/>
      <c r="N2882" s="22"/>
      <c r="O2882" s="22"/>
      <c r="P2882" s="22"/>
      <c r="Q2882" s="22"/>
      <c r="R2882" s="22"/>
      <c r="S2882" s="22"/>
      <c r="T2882" s="22"/>
    </row>
    <row r="2883" spans="2:20" x14ac:dyDescent="0.35">
      <c r="B2883" s="17"/>
      <c r="C2883" s="18"/>
      <c r="D2883" s="19"/>
      <c r="E2883" s="19"/>
      <c r="F2883" s="22"/>
      <c r="G2883" s="22"/>
      <c r="H2883" s="22"/>
      <c r="I2883" s="22"/>
      <c r="J2883" s="22"/>
      <c r="K2883" s="22"/>
      <c r="L2883" s="22"/>
      <c r="M2883" s="22"/>
      <c r="N2883" s="22"/>
      <c r="O2883" s="22"/>
      <c r="P2883" s="22"/>
      <c r="Q2883" s="22"/>
      <c r="R2883" s="22"/>
      <c r="S2883" s="22"/>
      <c r="T2883" s="22"/>
    </row>
    <row r="2884" spans="2:20" x14ac:dyDescent="0.35">
      <c r="B2884" s="17"/>
      <c r="C2884" s="18"/>
      <c r="D2884" s="19"/>
      <c r="E2884" s="19"/>
      <c r="F2884" s="22"/>
      <c r="G2884" s="22"/>
      <c r="H2884" s="22"/>
      <c r="I2884" s="22"/>
      <c r="J2884" s="22"/>
      <c r="K2884" s="22"/>
      <c r="L2884" s="22"/>
      <c r="M2884" s="22"/>
      <c r="N2884" s="22"/>
      <c r="O2884" s="22"/>
      <c r="P2884" s="22"/>
      <c r="Q2884" s="22"/>
      <c r="R2884" s="22"/>
      <c r="S2884" s="22"/>
      <c r="T2884" s="22"/>
    </row>
    <row r="2885" spans="2:20" x14ac:dyDescent="0.35">
      <c r="B2885" s="17"/>
      <c r="C2885" s="18"/>
      <c r="D2885" s="19"/>
      <c r="E2885" s="19"/>
      <c r="F2885" s="22"/>
      <c r="G2885" s="22"/>
      <c r="H2885" s="22"/>
      <c r="I2885" s="22"/>
      <c r="J2885" s="22"/>
      <c r="K2885" s="22"/>
      <c r="L2885" s="22"/>
      <c r="M2885" s="22"/>
      <c r="N2885" s="22"/>
      <c r="O2885" s="22"/>
      <c r="P2885" s="22"/>
      <c r="Q2885" s="22"/>
      <c r="R2885" s="22"/>
      <c r="S2885" s="22"/>
      <c r="T2885" s="22"/>
    </row>
    <row r="2886" spans="2:20" x14ac:dyDescent="0.35">
      <c r="B2886" s="17"/>
      <c r="C2886" s="18"/>
      <c r="D2886" s="19"/>
      <c r="E2886" s="19"/>
      <c r="F2886" s="22"/>
      <c r="G2886" s="22"/>
      <c r="H2886" s="22"/>
      <c r="I2886" s="22"/>
      <c r="J2886" s="22"/>
      <c r="K2886" s="22"/>
      <c r="L2886" s="22"/>
      <c r="M2886" s="22"/>
      <c r="N2886" s="22"/>
      <c r="O2886" s="22"/>
      <c r="P2886" s="22"/>
      <c r="Q2886" s="22"/>
      <c r="R2886" s="22"/>
      <c r="S2886" s="22"/>
      <c r="T2886" s="22"/>
    </row>
    <row r="2887" spans="2:20" x14ac:dyDescent="0.35">
      <c r="B2887" s="17"/>
      <c r="C2887" s="18"/>
      <c r="D2887" s="19"/>
      <c r="E2887" s="19"/>
      <c r="F2887" s="22"/>
      <c r="G2887" s="22"/>
      <c r="H2887" s="22"/>
      <c r="I2887" s="22"/>
      <c r="J2887" s="22"/>
      <c r="K2887" s="22"/>
      <c r="L2887" s="22"/>
      <c r="M2887" s="22"/>
      <c r="N2887" s="22"/>
      <c r="O2887" s="22"/>
      <c r="P2887" s="22"/>
      <c r="Q2887" s="22"/>
      <c r="R2887" s="22"/>
      <c r="S2887" s="22"/>
      <c r="T2887" s="22"/>
    </row>
    <row r="2888" spans="2:20" x14ac:dyDescent="0.35">
      <c r="B2888" s="17"/>
      <c r="C2888" s="18"/>
      <c r="D2888" s="19"/>
      <c r="E2888" s="19"/>
      <c r="F2888" s="22"/>
      <c r="G2888" s="22"/>
      <c r="H2888" s="22"/>
      <c r="I2888" s="22"/>
      <c r="J2888" s="22"/>
      <c r="K2888" s="22"/>
      <c r="L2888" s="22"/>
      <c r="M2888" s="22"/>
      <c r="N2888" s="22"/>
      <c r="O2888" s="22"/>
      <c r="P2888" s="22"/>
      <c r="Q2888" s="22"/>
      <c r="R2888" s="22"/>
      <c r="S2888" s="22"/>
      <c r="T2888" s="22"/>
    </row>
    <row r="2889" spans="2:20" x14ac:dyDescent="0.35">
      <c r="B2889" s="17"/>
      <c r="C2889" s="18"/>
      <c r="D2889" s="19"/>
      <c r="E2889" s="19"/>
      <c r="F2889" s="22"/>
      <c r="G2889" s="22"/>
      <c r="H2889" s="22"/>
      <c r="I2889" s="22"/>
      <c r="J2889" s="22"/>
      <c r="K2889" s="22"/>
      <c r="L2889" s="22"/>
      <c r="M2889" s="22"/>
      <c r="N2889" s="22"/>
      <c r="O2889" s="22"/>
      <c r="P2889" s="22"/>
      <c r="Q2889" s="22"/>
      <c r="R2889" s="22"/>
      <c r="S2889" s="22"/>
      <c r="T2889" s="22"/>
    </row>
    <row r="2890" spans="2:20" x14ac:dyDescent="0.35">
      <c r="B2890" s="17"/>
      <c r="C2890" s="18"/>
      <c r="D2890" s="19"/>
      <c r="E2890" s="19"/>
      <c r="F2890" s="22"/>
      <c r="G2890" s="22"/>
      <c r="H2890" s="22"/>
      <c r="I2890" s="22"/>
      <c r="J2890" s="22"/>
      <c r="K2890" s="22"/>
      <c r="L2890" s="22"/>
      <c r="M2890" s="22"/>
      <c r="N2890" s="22"/>
      <c r="O2890" s="22"/>
      <c r="P2890" s="22"/>
      <c r="Q2890" s="22"/>
      <c r="R2890" s="22"/>
      <c r="S2890" s="22"/>
      <c r="T2890" s="22"/>
    </row>
    <row r="2891" spans="2:20" x14ac:dyDescent="0.35">
      <c r="B2891" s="17"/>
      <c r="C2891" s="18"/>
      <c r="D2891" s="19"/>
      <c r="E2891" s="19"/>
      <c r="F2891" s="22"/>
      <c r="G2891" s="22"/>
      <c r="H2891" s="22"/>
      <c r="I2891" s="22"/>
      <c r="J2891" s="22"/>
      <c r="K2891" s="22"/>
      <c r="L2891" s="22"/>
      <c r="M2891" s="22"/>
      <c r="N2891" s="22"/>
      <c r="O2891" s="22"/>
      <c r="P2891" s="22"/>
      <c r="Q2891" s="22"/>
      <c r="R2891" s="22"/>
      <c r="S2891" s="22"/>
      <c r="T2891" s="22"/>
    </row>
    <row r="2892" spans="2:20" x14ac:dyDescent="0.35">
      <c r="B2892" s="17"/>
      <c r="C2892" s="18"/>
      <c r="D2892" s="19"/>
      <c r="E2892" s="19"/>
      <c r="F2892" s="22"/>
      <c r="G2892" s="22"/>
      <c r="H2892" s="22"/>
      <c r="I2892" s="22"/>
      <c r="J2892" s="22"/>
      <c r="K2892" s="22"/>
      <c r="L2892" s="22"/>
      <c r="M2892" s="22"/>
      <c r="N2892" s="22"/>
      <c r="O2892" s="22"/>
      <c r="P2892" s="22"/>
      <c r="Q2892" s="22"/>
      <c r="R2892" s="22"/>
      <c r="S2892" s="22"/>
      <c r="T2892" s="22"/>
    </row>
    <row r="2893" spans="2:20" x14ac:dyDescent="0.35">
      <c r="B2893" s="17"/>
      <c r="C2893" s="18"/>
      <c r="D2893" s="19"/>
      <c r="E2893" s="19"/>
      <c r="F2893" s="22"/>
      <c r="G2893" s="22"/>
      <c r="H2893" s="22"/>
      <c r="I2893" s="22"/>
      <c r="J2893" s="22"/>
      <c r="K2893" s="22"/>
      <c r="L2893" s="22"/>
      <c r="M2893" s="22"/>
      <c r="N2893" s="22"/>
      <c r="O2893" s="22"/>
      <c r="P2893" s="22"/>
      <c r="Q2893" s="22"/>
      <c r="R2893" s="22"/>
      <c r="S2893" s="22"/>
      <c r="T2893" s="22"/>
    </row>
    <row r="2894" spans="2:20" x14ac:dyDescent="0.35">
      <c r="B2894" s="17"/>
      <c r="C2894" s="18"/>
      <c r="D2894" s="19"/>
      <c r="E2894" s="19"/>
      <c r="F2894" s="22"/>
      <c r="G2894" s="22"/>
      <c r="H2894" s="22"/>
      <c r="I2894" s="22"/>
      <c r="J2894" s="22"/>
      <c r="K2894" s="22"/>
      <c r="L2894" s="22"/>
      <c r="M2894" s="22"/>
      <c r="N2894" s="22"/>
      <c r="O2894" s="22"/>
      <c r="P2894" s="22"/>
      <c r="Q2894" s="22"/>
      <c r="R2894" s="22"/>
      <c r="S2894" s="22"/>
      <c r="T2894" s="22"/>
    </row>
    <row r="2895" spans="2:20" x14ac:dyDescent="0.35">
      <c r="B2895" s="17"/>
      <c r="C2895" s="13"/>
      <c r="D2895" s="13"/>
      <c r="E2895" s="13"/>
      <c r="F2895" s="14"/>
      <c r="G2895" s="14"/>
      <c r="H2895" s="14"/>
      <c r="I2895" s="14"/>
      <c r="J2895" s="14"/>
      <c r="K2895" s="14"/>
      <c r="L2895" s="14"/>
      <c r="M2895" s="14"/>
      <c r="N2895" s="14"/>
      <c r="O2895" s="14"/>
      <c r="P2895" s="14"/>
      <c r="Q2895" s="14"/>
      <c r="R2895" s="14"/>
      <c r="S2895" s="14"/>
      <c r="T2895" s="14"/>
    </row>
    <row r="2896" spans="2:20" x14ac:dyDescent="0.35">
      <c r="B2896" s="17"/>
      <c r="C2896" s="13"/>
      <c r="D2896" s="13"/>
      <c r="E2896" s="13"/>
      <c r="F2896" s="14"/>
      <c r="G2896" s="14"/>
      <c r="H2896" s="14"/>
      <c r="I2896" s="14"/>
      <c r="J2896" s="14"/>
      <c r="K2896" s="14"/>
      <c r="L2896" s="14"/>
      <c r="M2896" s="14"/>
      <c r="N2896" s="14"/>
      <c r="O2896" s="14"/>
      <c r="P2896" s="14"/>
      <c r="Q2896" s="14"/>
      <c r="R2896" s="14"/>
      <c r="S2896" s="14"/>
      <c r="T2896" s="14"/>
    </row>
    <row r="2897" spans="2:20" x14ac:dyDescent="0.35">
      <c r="B2897" s="17"/>
      <c r="C2897" s="13"/>
      <c r="D2897" s="13"/>
      <c r="E2897" s="13"/>
      <c r="F2897" s="14"/>
      <c r="G2897" s="14"/>
      <c r="H2897" s="14"/>
      <c r="I2897" s="14"/>
      <c r="J2897" s="14"/>
      <c r="K2897" s="14"/>
      <c r="L2897" s="14"/>
      <c r="M2897" s="14"/>
      <c r="N2897" s="14"/>
      <c r="O2897" s="14"/>
      <c r="P2897" s="14"/>
      <c r="Q2897" s="14"/>
      <c r="R2897" s="14"/>
      <c r="S2897" s="14"/>
      <c r="T2897" s="14"/>
    </row>
    <row r="2898" spans="2:20" x14ac:dyDescent="0.35">
      <c r="B2898" s="17"/>
      <c r="C2898" s="13"/>
      <c r="D2898" s="13"/>
      <c r="E2898" s="13"/>
      <c r="F2898" s="14"/>
      <c r="G2898" s="14"/>
      <c r="H2898" s="14"/>
      <c r="I2898" s="14"/>
      <c r="J2898" s="14"/>
      <c r="K2898" s="14"/>
      <c r="L2898" s="14"/>
      <c r="M2898" s="14"/>
      <c r="N2898" s="14"/>
      <c r="O2898" s="14"/>
      <c r="P2898" s="14"/>
      <c r="Q2898" s="14"/>
      <c r="R2898" s="14"/>
      <c r="S2898" s="14"/>
      <c r="T2898" s="14"/>
    </row>
    <row r="2899" spans="2:20" x14ac:dyDescent="0.35">
      <c r="B2899" s="17"/>
      <c r="C2899" s="13"/>
      <c r="D2899" s="13"/>
      <c r="E2899" s="13"/>
      <c r="F2899" s="14"/>
      <c r="G2899" s="14"/>
      <c r="H2899" s="14"/>
      <c r="I2899" s="14"/>
      <c r="J2899" s="14"/>
      <c r="K2899" s="14"/>
      <c r="L2899" s="14"/>
      <c r="M2899" s="14"/>
      <c r="N2899" s="14"/>
      <c r="O2899" s="14"/>
      <c r="P2899" s="14"/>
      <c r="Q2899" s="14"/>
      <c r="R2899" s="14"/>
      <c r="S2899" s="14"/>
      <c r="T2899" s="14"/>
    </row>
    <row r="2900" spans="2:20" x14ac:dyDescent="0.35">
      <c r="B2900" s="17"/>
      <c r="C2900" s="13"/>
      <c r="D2900" s="13"/>
      <c r="E2900" s="13"/>
      <c r="F2900" s="14"/>
      <c r="G2900" s="14"/>
      <c r="H2900" s="14"/>
      <c r="I2900" s="14"/>
      <c r="J2900" s="14"/>
      <c r="K2900" s="14"/>
      <c r="L2900" s="14"/>
      <c r="M2900" s="14"/>
      <c r="N2900" s="14"/>
      <c r="O2900" s="14"/>
      <c r="P2900" s="14"/>
      <c r="Q2900" s="14"/>
      <c r="R2900" s="14"/>
      <c r="S2900" s="14"/>
      <c r="T2900" s="14"/>
    </row>
    <row r="2901" spans="2:20" x14ac:dyDescent="0.35">
      <c r="B2901" s="17"/>
      <c r="C2901" s="13"/>
      <c r="D2901" s="13"/>
      <c r="E2901" s="13"/>
      <c r="F2901" s="14"/>
      <c r="G2901" s="14"/>
      <c r="H2901" s="14"/>
      <c r="I2901" s="14"/>
      <c r="J2901" s="14"/>
      <c r="K2901" s="14"/>
      <c r="L2901" s="14"/>
      <c r="M2901" s="14"/>
      <c r="N2901" s="14"/>
      <c r="O2901" s="14"/>
      <c r="P2901" s="14"/>
      <c r="Q2901" s="14"/>
      <c r="R2901" s="14"/>
      <c r="S2901" s="14"/>
      <c r="T2901" s="14"/>
    </row>
    <row r="2902" spans="2:20" x14ac:dyDescent="0.35">
      <c r="B2902" s="17"/>
      <c r="C2902" s="18"/>
      <c r="D2902" s="19"/>
      <c r="E2902" s="19"/>
      <c r="F2902" s="22"/>
      <c r="G2902" s="22"/>
      <c r="H2902" s="22"/>
      <c r="I2902" s="22"/>
      <c r="J2902" s="22"/>
      <c r="K2902" s="22"/>
      <c r="L2902" s="22"/>
      <c r="M2902" s="22"/>
      <c r="N2902" s="22"/>
      <c r="O2902" s="22"/>
      <c r="P2902" s="22"/>
      <c r="Q2902" s="22"/>
      <c r="R2902" s="22"/>
      <c r="S2902" s="22"/>
      <c r="T2902" s="22"/>
    </row>
    <row r="2903" spans="2:20" x14ac:dyDescent="0.35">
      <c r="B2903" s="17"/>
      <c r="C2903" s="18"/>
      <c r="D2903" s="19"/>
      <c r="E2903" s="19"/>
      <c r="F2903" s="22"/>
      <c r="G2903" s="22"/>
      <c r="H2903" s="22"/>
      <c r="I2903" s="22"/>
      <c r="J2903" s="22"/>
      <c r="K2903" s="22"/>
      <c r="L2903" s="22"/>
      <c r="M2903" s="22"/>
      <c r="N2903" s="22"/>
      <c r="O2903" s="22"/>
      <c r="P2903" s="22"/>
      <c r="Q2903" s="22"/>
      <c r="R2903" s="22"/>
      <c r="S2903" s="22"/>
      <c r="T2903" s="22"/>
    </row>
    <row r="2904" spans="2:20" x14ac:dyDescent="0.35">
      <c r="B2904" s="17"/>
      <c r="C2904" s="18"/>
      <c r="D2904" s="19"/>
      <c r="E2904" s="19"/>
      <c r="F2904" s="22"/>
      <c r="G2904" s="22"/>
      <c r="H2904" s="22"/>
      <c r="I2904" s="22"/>
      <c r="J2904" s="22"/>
      <c r="K2904" s="22"/>
      <c r="L2904" s="22"/>
      <c r="M2904" s="22"/>
      <c r="N2904" s="22"/>
      <c r="O2904" s="22"/>
      <c r="P2904" s="22"/>
      <c r="Q2904" s="22"/>
      <c r="R2904" s="22"/>
      <c r="S2904" s="22"/>
      <c r="T2904" s="22"/>
    </row>
    <row r="2905" spans="2:20" x14ac:dyDescent="0.35">
      <c r="B2905" s="17"/>
      <c r="C2905" s="18"/>
      <c r="D2905" s="19"/>
      <c r="E2905" s="19"/>
      <c r="F2905" s="22"/>
      <c r="G2905" s="22"/>
      <c r="H2905" s="22"/>
      <c r="I2905" s="22"/>
      <c r="J2905" s="22"/>
      <c r="K2905" s="22"/>
      <c r="L2905" s="22"/>
      <c r="M2905" s="22"/>
      <c r="N2905" s="22"/>
      <c r="O2905" s="22"/>
      <c r="P2905" s="22"/>
      <c r="Q2905" s="22"/>
      <c r="R2905" s="22"/>
      <c r="S2905" s="22"/>
      <c r="T2905" s="22"/>
    </row>
    <row r="2906" spans="2:20" x14ac:dyDescent="0.35">
      <c r="B2906" s="17"/>
      <c r="C2906" s="18"/>
      <c r="D2906" s="19"/>
      <c r="E2906" s="19"/>
      <c r="F2906" s="22"/>
      <c r="G2906" s="22"/>
      <c r="H2906" s="22"/>
      <c r="I2906" s="22"/>
      <c r="J2906" s="22"/>
      <c r="K2906" s="22"/>
      <c r="L2906" s="22"/>
      <c r="M2906" s="22"/>
      <c r="N2906" s="22"/>
      <c r="O2906" s="22"/>
      <c r="P2906" s="22"/>
      <c r="Q2906" s="22"/>
      <c r="R2906" s="22"/>
      <c r="S2906" s="22"/>
      <c r="T2906" s="22"/>
    </row>
    <row r="2907" spans="2:20" x14ac:dyDescent="0.35">
      <c r="B2907" s="17"/>
      <c r="C2907" s="20"/>
      <c r="D2907" s="19"/>
      <c r="E2907" s="19"/>
      <c r="F2907" s="22"/>
      <c r="G2907" s="22"/>
      <c r="H2907" s="22"/>
      <c r="I2907" s="22"/>
      <c r="J2907" s="22"/>
      <c r="K2907" s="22"/>
      <c r="L2907" s="22"/>
      <c r="M2907" s="22"/>
      <c r="N2907" s="22"/>
      <c r="O2907" s="22"/>
      <c r="P2907" s="22"/>
      <c r="Q2907" s="22"/>
      <c r="R2907" s="22"/>
      <c r="S2907" s="22"/>
      <c r="T2907" s="22"/>
    </row>
    <row r="2908" spans="2:20" x14ac:dyDescent="0.35">
      <c r="B2908" s="17"/>
      <c r="C2908" s="20"/>
      <c r="D2908" s="19"/>
      <c r="E2908" s="19"/>
      <c r="F2908" s="22"/>
      <c r="G2908" s="22"/>
      <c r="H2908" s="22"/>
      <c r="I2908" s="22"/>
      <c r="J2908" s="22"/>
      <c r="K2908" s="22"/>
      <c r="L2908" s="22"/>
      <c r="M2908" s="22"/>
      <c r="N2908" s="22"/>
      <c r="O2908" s="22"/>
      <c r="P2908" s="22"/>
      <c r="Q2908" s="22"/>
      <c r="R2908" s="22"/>
      <c r="S2908" s="22"/>
      <c r="T2908" s="22"/>
    </row>
    <row r="2909" spans="2:20" x14ac:dyDescent="0.35">
      <c r="B2909" s="17"/>
      <c r="C2909" s="20"/>
      <c r="D2909" s="19"/>
      <c r="E2909" s="19"/>
      <c r="F2909" s="22"/>
      <c r="G2909" s="22"/>
      <c r="H2909" s="22"/>
      <c r="I2909" s="22"/>
      <c r="J2909" s="22"/>
      <c r="K2909" s="22"/>
      <c r="L2909" s="22"/>
      <c r="M2909" s="22"/>
      <c r="N2909" s="22"/>
      <c r="O2909" s="22"/>
      <c r="P2909" s="22"/>
      <c r="Q2909" s="22"/>
      <c r="R2909" s="22"/>
      <c r="S2909" s="22"/>
      <c r="T2909" s="22"/>
    </row>
    <row r="2910" spans="2:20" x14ac:dyDescent="0.35">
      <c r="B2910" s="17"/>
      <c r="C2910" s="20"/>
      <c r="D2910" s="19"/>
      <c r="E2910" s="19"/>
      <c r="F2910" s="22"/>
      <c r="G2910" s="22"/>
      <c r="H2910" s="22"/>
      <c r="I2910" s="22"/>
      <c r="J2910" s="22"/>
      <c r="K2910" s="22"/>
      <c r="L2910" s="22"/>
      <c r="M2910" s="22"/>
      <c r="N2910" s="22"/>
      <c r="O2910" s="22"/>
      <c r="P2910" s="22"/>
      <c r="Q2910" s="22"/>
      <c r="R2910" s="22"/>
      <c r="S2910" s="22"/>
      <c r="T2910" s="22"/>
    </row>
    <row r="2911" spans="2:20" x14ac:dyDescent="0.35">
      <c r="B2911" s="17"/>
      <c r="C2911" s="13"/>
      <c r="D2911" s="13"/>
      <c r="E2911" s="13"/>
      <c r="F2911" s="14"/>
      <c r="G2911" s="14"/>
      <c r="H2911" s="14"/>
      <c r="I2911" s="14"/>
      <c r="J2911" s="14"/>
      <c r="K2911" s="14"/>
      <c r="L2911" s="14"/>
      <c r="M2911" s="14"/>
      <c r="N2911" s="14"/>
      <c r="O2911" s="14"/>
      <c r="P2911" s="14"/>
      <c r="Q2911" s="14"/>
      <c r="R2911" s="14"/>
      <c r="S2911" s="14"/>
      <c r="T2911" s="14"/>
    </row>
    <row r="2912" spans="2:20" x14ac:dyDescent="0.35">
      <c r="B2912" s="17"/>
      <c r="C2912" s="13"/>
      <c r="D2912" s="13"/>
      <c r="E2912" s="13"/>
      <c r="F2912" s="14"/>
      <c r="G2912" s="14"/>
      <c r="H2912" s="14"/>
      <c r="I2912" s="14"/>
      <c r="J2912" s="14"/>
      <c r="K2912" s="14"/>
      <c r="L2912" s="14"/>
      <c r="M2912" s="14"/>
      <c r="N2912" s="14"/>
      <c r="O2912" s="14"/>
      <c r="P2912" s="14"/>
      <c r="Q2912" s="14"/>
      <c r="R2912" s="14"/>
      <c r="S2912" s="14"/>
      <c r="T2912" s="14"/>
    </row>
    <row r="2913" spans="2:20" x14ac:dyDescent="0.35">
      <c r="B2913" s="17"/>
      <c r="C2913" s="13"/>
      <c r="D2913" s="13"/>
      <c r="E2913" s="13"/>
      <c r="F2913" s="14"/>
      <c r="G2913" s="14"/>
      <c r="H2913" s="14"/>
      <c r="I2913" s="14"/>
      <c r="J2913" s="14"/>
      <c r="K2913" s="14"/>
      <c r="L2913" s="14"/>
      <c r="M2913" s="14"/>
      <c r="N2913" s="14"/>
      <c r="O2913" s="14"/>
      <c r="P2913" s="14"/>
      <c r="Q2913" s="14"/>
      <c r="R2913" s="14"/>
      <c r="S2913" s="14"/>
      <c r="T2913" s="14"/>
    </row>
    <row r="2914" spans="2:20" x14ac:dyDescent="0.35">
      <c r="B2914" s="17"/>
      <c r="C2914" s="13"/>
      <c r="D2914" s="13"/>
      <c r="E2914" s="13"/>
      <c r="F2914" s="14"/>
      <c r="G2914" s="14"/>
      <c r="H2914" s="14"/>
      <c r="I2914" s="14"/>
      <c r="J2914" s="14"/>
      <c r="K2914" s="14"/>
      <c r="L2914" s="14"/>
      <c r="M2914" s="14"/>
      <c r="N2914" s="14"/>
      <c r="O2914" s="14"/>
      <c r="P2914" s="14"/>
      <c r="Q2914" s="14"/>
      <c r="R2914" s="14"/>
      <c r="S2914" s="14"/>
      <c r="T2914" s="14"/>
    </row>
    <row r="2915" spans="2:20" x14ac:dyDescent="0.35">
      <c r="B2915" s="17"/>
      <c r="C2915" s="13"/>
      <c r="D2915" s="13"/>
      <c r="E2915" s="13"/>
      <c r="F2915" s="14"/>
      <c r="G2915" s="14"/>
      <c r="H2915" s="14"/>
      <c r="I2915" s="14"/>
      <c r="J2915" s="14"/>
      <c r="K2915" s="14"/>
      <c r="L2915" s="14"/>
      <c r="M2915" s="14"/>
      <c r="N2915" s="14"/>
      <c r="O2915" s="14"/>
      <c r="P2915" s="14"/>
      <c r="Q2915" s="14"/>
      <c r="R2915" s="14"/>
      <c r="S2915" s="14"/>
      <c r="T2915" s="14"/>
    </row>
    <row r="2916" spans="2:20" x14ac:dyDescent="0.35">
      <c r="B2916" s="17"/>
      <c r="C2916" s="13"/>
      <c r="D2916" s="13"/>
      <c r="E2916" s="13"/>
      <c r="F2916" s="14"/>
      <c r="G2916" s="14"/>
      <c r="H2916" s="14"/>
      <c r="I2916" s="14"/>
      <c r="J2916" s="14"/>
      <c r="K2916" s="14"/>
      <c r="L2916" s="14"/>
      <c r="M2916" s="14"/>
      <c r="N2916" s="14"/>
      <c r="O2916" s="14"/>
      <c r="P2916" s="14"/>
      <c r="Q2916" s="14"/>
      <c r="R2916" s="14"/>
      <c r="S2916" s="14"/>
      <c r="T2916" s="14"/>
    </row>
    <row r="2917" spans="2:20" x14ac:dyDescent="0.35">
      <c r="B2917" s="17"/>
      <c r="C2917" s="13"/>
      <c r="D2917" s="13"/>
      <c r="E2917" s="13"/>
      <c r="F2917" s="14"/>
      <c r="G2917" s="14"/>
      <c r="H2917" s="14"/>
      <c r="I2917" s="14"/>
      <c r="J2917" s="14"/>
      <c r="K2917" s="14"/>
      <c r="L2917" s="14"/>
      <c r="M2917" s="14"/>
      <c r="N2917" s="14"/>
      <c r="O2917" s="14"/>
      <c r="P2917" s="14"/>
      <c r="Q2917" s="14"/>
      <c r="R2917" s="14"/>
      <c r="S2917" s="14"/>
      <c r="T2917" s="14"/>
    </row>
    <row r="2918" spans="2:20" x14ac:dyDescent="0.35">
      <c r="B2918" s="17"/>
      <c r="C2918" s="13"/>
      <c r="D2918" s="13"/>
      <c r="E2918" s="13"/>
      <c r="F2918" s="14"/>
      <c r="G2918" s="14"/>
      <c r="H2918" s="14"/>
      <c r="I2918" s="14"/>
      <c r="J2918" s="14"/>
      <c r="K2918" s="14"/>
      <c r="L2918" s="14"/>
      <c r="M2918" s="14"/>
      <c r="N2918" s="14"/>
      <c r="O2918" s="14"/>
      <c r="P2918" s="14"/>
      <c r="Q2918" s="14"/>
      <c r="R2918" s="14"/>
      <c r="S2918" s="14"/>
      <c r="T2918" s="14"/>
    </row>
    <row r="2919" spans="2:20" x14ac:dyDescent="0.35">
      <c r="B2919" s="17"/>
      <c r="C2919" s="13"/>
      <c r="D2919" s="13"/>
      <c r="E2919" s="13"/>
      <c r="F2919" s="14"/>
      <c r="G2919" s="14"/>
      <c r="H2919" s="14"/>
      <c r="I2919" s="14"/>
      <c r="J2919" s="14"/>
      <c r="K2919" s="14"/>
      <c r="L2919" s="14"/>
      <c r="M2919" s="14"/>
      <c r="N2919" s="14"/>
      <c r="O2919" s="14"/>
      <c r="P2919" s="14"/>
      <c r="Q2919" s="14"/>
      <c r="R2919" s="14"/>
      <c r="S2919" s="14"/>
      <c r="T2919" s="14"/>
    </row>
    <row r="2920" spans="2:20" x14ac:dyDescent="0.35">
      <c r="B2920" s="17"/>
      <c r="C2920" s="13"/>
      <c r="D2920" s="13"/>
      <c r="E2920" s="13"/>
      <c r="F2920" s="14"/>
      <c r="G2920" s="14"/>
      <c r="H2920" s="14"/>
      <c r="I2920" s="14"/>
      <c r="J2920" s="14"/>
      <c r="K2920" s="14"/>
      <c r="L2920" s="14"/>
      <c r="M2920" s="14"/>
      <c r="N2920" s="14"/>
      <c r="O2920" s="14"/>
      <c r="P2920" s="14"/>
      <c r="Q2920" s="14"/>
      <c r="R2920" s="14"/>
      <c r="S2920" s="14"/>
      <c r="T2920" s="14"/>
    </row>
    <row r="2921" spans="2:20" x14ac:dyDescent="0.35">
      <c r="B2921" s="17"/>
      <c r="C2921" s="13"/>
      <c r="D2921" s="13"/>
      <c r="E2921" s="13"/>
      <c r="F2921" s="14"/>
      <c r="G2921" s="14"/>
      <c r="H2921" s="14"/>
      <c r="I2921" s="14"/>
      <c r="J2921" s="14"/>
      <c r="K2921" s="14"/>
      <c r="L2921" s="14"/>
      <c r="M2921" s="14"/>
      <c r="N2921" s="14"/>
      <c r="O2921" s="14"/>
      <c r="P2921" s="14"/>
      <c r="Q2921" s="14"/>
      <c r="R2921" s="14"/>
      <c r="S2921" s="14"/>
      <c r="T2921" s="14"/>
    </row>
    <row r="2922" spans="2:20" x14ac:dyDescent="0.35">
      <c r="B2922" s="17"/>
      <c r="C2922" s="13"/>
      <c r="D2922" s="13"/>
      <c r="E2922" s="13"/>
      <c r="F2922" s="14"/>
      <c r="G2922" s="14"/>
      <c r="H2922" s="14"/>
      <c r="I2922" s="14"/>
      <c r="J2922" s="14"/>
      <c r="K2922" s="14"/>
      <c r="L2922" s="14"/>
      <c r="M2922" s="14"/>
      <c r="N2922" s="14"/>
      <c r="O2922" s="14"/>
      <c r="P2922" s="14"/>
      <c r="Q2922" s="14"/>
      <c r="R2922" s="14"/>
      <c r="S2922" s="14"/>
      <c r="T2922" s="14"/>
    </row>
    <row r="2923" spans="2:20" x14ac:dyDescent="0.35">
      <c r="B2923" s="17"/>
      <c r="C2923" s="13"/>
      <c r="D2923" s="13"/>
      <c r="E2923" s="13"/>
      <c r="F2923" s="14"/>
      <c r="G2923" s="14"/>
      <c r="H2923" s="14"/>
      <c r="I2923" s="14"/>
      <c r="J2923" s="14"/>
      <c r="K2923" s="14"/>
      <c r="L2923" s="14"/>
      <c r="M2923" s="14"/>
      <c r="N2923" s="14"/>
      <c r="O2923" s="14"/>
      <c r="P2923" s="14"/>
      <c r="Q2923" s="14"/>
      <c r="R2923" s="14"/>
      <c r="S2923" s="14"/>
      <c r="T2923" s="14"/>
    </row>
    <row r="2924" spans="2:20" x14ac:dyDescent="0.35">
      <c r="B2924" s="17"/>
      <c r="C2924" s="13"/>
      <c r="D2924" s="13"/>
      <c r="E2924" s="13"/>
      <c r="F2924" s="14"/>
      <c r="G2924" s="14"/>
      <c r="H2924" s="14"/>
      <c r="I2924" s="14"/>
      <c r="J2924" s="14"/>
      <c r="K2924" s="14"/>
      <c r="L2924" s="14"/>
      <c r="M2924" s="14"/>
      <c r="N2924" s="14"/>
      <c r="O2924" s="14"/>
      <c r="P2924" s="14"/>
      <c r="Q2924" s="14"/>
      <c r="R2924" s="14"/>
      <c r="S2924" s="14"/>
      <c r="T2924" s="14"/>
    </row>
    <row r="2925" spans="2:20" x14ac:dyDescent="0.35">
      <c r="B2925" s="17"/>
      <c r="C2925" s="13"/>
      <c r="D2925" s="13"/>
      <c r="E2925" s="13"/>
      <c r="F2925" s="14"/>
      <c r="G2925" s="14"/>
      <c r="H2925" s="14"/>
      <c r="I2925" s="14"/>
      <c r="J2925" s="14"/>
      <c r="K2925" s="14"/>
      <c r="L2925" s="14"/>
      <c r="M2925" s="14"/>
      <c r="N2925" s="14"/>
      <c r="O2925" s="14"/>
      <c r="P2925" s="14"/>
      <c r="Q2925" s="14"/>
      <c r="R2925" s="14"/>
      <c r="S2925" s="14"/>
      <c r="T2925" s="14"/>
    </row>
    <row r="2926" spans="2:20" x14ac:dyDescent="0.35">
      <c r="B2926" s="17"/>
      <c r="C2926" s="18"/>
      <c r="D2926" s="19"/>
      <c r="E2926" s="19"/>
      <c r="F2926" s="22"/>
      <c r="G2926" s="22"/>
      <c r="H2926" s="22"/>
      <c r="I2926" s="22"/>
      <c r="J2926" s="22"/>
      <c r="K2926" s="22"/>
      <c r="L2926" s="22"/>
      <c r="M2926" s="22"/>
      <c r="N2926" s="22"/>
      <c r="O2926" s="22"/>
      <c r="P2926" s="22"/>
      <c r="Q2926" s="22"/>
      <c r="R2926" s="22"/>
      <c r="S2926" s="22"/>
      <c r="T2926" s="22"/>
    </row>
    <row r="2927" spans="2:20" x14ac:dyDescent="0.35">
      <c r="B2927" s="17"/>
      <c r="C2927" s="18"/>
      <c r="D2927" s="19"/>
      <c r="E2927" s="19"/>
      <c r="F2927" s="22"/>
      <c r="G2927" s="22"/>
      <c r="H2927" s="22"/>
      <c r="I2927" s="22"/>
      <c r="J2927" s="22"/>
      <c r="K2927" s="22"/>
      <c r="L2927" s="22"/>
      <c r="M2927" s="22"/>
      <c r="N2927" s="22"/>
      <c r="O2927" s="22"/>
      <c r="P2927" s="22"/>
      <c r="Q2927" s="22"/>
      <c r="R2927" s="22"/>
      <c r="S2927" s="22"/>
      <c r="T2927" s="22"/>
    </row>
    <row r="2928" spans="2:20" x14ac:dyDescent="0.35">
      <c r="B2928" s="17"/>
      <c r="C2928" s="18"/>
      <c r="D2928" s="19"/>
      <c r="E2928" s="19"/>
      <c r="F2928" s="22"/>
      <c r="G2928" s="22"/>
      <c r="H2928" s="22"/>
      <c r="I2928" s="22"/>
      <c r="J2928" s="22"/>
      <c r="K2928" s="22"/>
      <c r="L2928" s="22"/>
      <c r="M2928" s="22"/>
      <c r="N2928" s="22"/>
      <c r="O2928" s="22"/>
      <c r="P2928" s="22"/>
      <c r="Q2928" s="22"/>
      <c r="R2928" s="22"/>
      <c r="S2928" s="22"/>
      <c r="T2928" s="22"/>
    </row>
    <row r="2929" spans="2:20" x14ac:dyDescent="0.35">
      <c r="B2929" s="17"/>
      <c r="C2929" s="18"/>
      <c r="D2929" s="19"/>
      <c r="E2929" s="19"/>
      <c r="F2929" s="22"/>
      <c r="G2929" s="22"/>
      <c r="H2929" s="22"/>
      <c r="I2929" s="22"/>
      <c r="J2929" s="22"/>
      <c r="K2929" s="22"/>
      <c r="L2929" s="22"/>
      <c r="M2929" s="22"/>
      <c r="N2929" s="22"/>
      <c r="O2929" s="22"/>
      <c r="P2929" s="22"/>
      <c r="Q2929" s="22"/>
      <c r="R2929" s="22"/>
      <c r="S2929" s="22"/>
      <c r="T2929" s="22"/>
    </row>
    <row r="2930" spans="2:20" x14ac:dyDescent="0.35">
      <c r="B2930" s="17"/>
      <c r="C2930" s="18"/>
      <c r="D2930" s="19"/>
      <c r="E2930" s="19"/>
      <c r="F2930" s="22"/>
      <c r="G2930" s="22"/>
      <c r="H2930" s="22"/>
      <c r="I2930" s="22"/>
      <c r="J2930" s="22"/>
      <c r="K2930" s="22"/>
      <c r="L2930" s="22"/>
      <c r="M2930" s="22"/>
      <c r="N2930" s="22"/>
      <c r="O2930" s="22"/>
      <c r="P2930" s="22"/>
      <c r="Q2930" s="22"/>
      <c r="R2930" s="22"/>
      <c r="S2930" s="22"/>
      <c r="T2930" s="22"/>
    </row>
    <row r="2931" spans="2:20" x14ac:dyDescent="0.35">
      <c r="B2931" s="17"/>
      <c r="C2931" s="18"/>
      <c r="D2931" s="19"/>
      <c r="E2931" s="19"/>
      <c r="F2931" s="22"/>
      <c r="G2931" s="22"/>
      <c r="H2931" s="22"/>
      <c r="I2931" s="22"/>
      <c r="J2931" s="22"/>
      <c r="K2931" s="22"/>
      <c r="L2931" s="22"/>
      <c r="M2931" s="22"/>
      <c r="N2931" s="22"/>
      <c r="O2931" s="22"/>
      <c r="P2931" s="22"/>
      <c r="Q2931" s="22"/>
      <c r="R2931" s="22"/>
      <c r="S2931" s="22"/>
      <c r="T2931" s="22"/>
    </row>
    <row r="2932" spans="2:20" x14ac:dyDescent="0.35">
      <c r="B2932" s="17"/>
      <c r="C2932" s="18"/>
      <c r="D2932" s="19"/>
      <c r="E2932" s="19"/>
      <c r="F2932" s="22"/>
      <c r="G2932" s="22"/>
      <c r="H2932" s="22"/>
      <c r="I2932" s="22"/>
      <c r="J2932" s="22"/>
      <c r="K2932" s="22"/>
      <c r="L2932" s="22"/>
      <c r="M2932" s="22"/>
      <c r="N2932" s="22"/>
      <c r="O2932" s="22"/>
      <c r="P2932" s="22"/>
      <c r="Q2932" s="22"/>
      <c r="R2932" s="22"/>
      <c r="S2932" s="22"/>
      <c r="T2932" s="22"/>
    </row>
    <row r="2933" spans="2:20" x14ac:dyDescent="0.35">
      <c r="B2933" s="17"/>
      <c r="C2933" s="18"/>
      <c r="D2933" s="19"/>
      <c r="E2933" s="19"/>
      <c r="F2933" s="22"/>
      <c r="G2933" s="22"/>
      <c r="H2933" s="22"/>
      <c r="I2933" s="22"/>
      <c r="J2933" s="22"/>
      <c r="K2933" s="22"/>
      <c r="L2933" s="22"/>
      <c r="M2933" s="22"/>
      <c r="N2933" s="22"/>
      <c r="O2933" s="22"/>
      <c r="P2933" s="22"/>
      <c r="Q2933" s="22"/>
      <c r="R2933" s="22"/>
      <c r="S2933" s="22"/>
      <c r="T2933" s="22"/>
    </row>
    <row r="2934" spans="2:20" x14ac:dyDescent="0.35">
      <c r="B2934" s="17"/>
      <c r="C2934" s="18"/>
      <c r="D2934" s="19"/>
      <c r="E2934" s="19"/>
      <c r="F2934" s="22"/>
      <c r="G2934" s="22"/>
      <c r="H2934" s="22"/>
      <c r="I2934" s="22"/>
      <c r="J2934" s="22"/>
      <c r="K2934" s="22"/>
      <c r="L2934" s="22"/>
      <c r="M2934" s="22"/>
      <c r="N2934" s="22"/>
      <c r="O2934" s="22"/>
      <c r="P2934" s="22"/>
      <c r="Q2934" s="22"/>
      <c r="R2934" s="22"/>
      <c r="S2934" s="22"/>
      <c r="T2934" s="22"/>
    </row>
    <row r="2935" spans="2:20" x14ac:dyDescent="0.35">
      <c r="B2935" s="17"/>
      <c r="C2935" s="18"/>
      <c r="D2935" s="19"/>
      <c r="E2935" s="19"/>
      <c r="F2935" s="22"/>
      <c r="G2935" s="22"/>
      <c r="H2935" s="22"/>
      <c r="I2935" s="22"/>
      <c r="J2935" s="22"/>
      <c r="K2935" s="22"/>
      <c r="L2935" s="22"/>
      <c r="M2935" s="22"/>
      <c r="N2935" s="22"/>
      <c r="O2935" s="22"/>
      <c r="P2935" s="22"/>
      <c r="Q2935" s="22"/>
      <c r="R2935" s="22"/>
      <c r="S2935" s="22"/>
      <c r="T2935" s="22"/>
    </row>
    <row r="2936" spans="2:20" x14ac:dyDescent="0.35">
      <c r="B2936" s="17"/>
      <c r="C2936" s="18"/>
      <c r="D2936" s="19"/>
      <c r="E2936" s="19"/>
      <c r="F2936" s="22"/>
      <c r="G2936" s="22"/>
      <c r="H2936" s="22"/>
      <c r="I2936" s="22"/>
      <c r="J2936" s="22"/>
      <c r="K2936" s="22"/>
      <c r="L2936" s="22"/>
      <c r="M2936" s="22"/>
      <c r="N2936" s="22"/>
      <c r="O2936" s="22"/>
      <c r="P2936" s="22"/>
      <c r="Q2936" s="22"/>
      <c r="R2936" s="22"/>
      <c r="S2936" s="22"/>
      <c r="T2936" s="22"/>
    </row>
    <row r="2937" spans="2:20" x14ac:dyDescent="0.35">
      <c r="B2937" s="17"/>
      <c r="C2937" s="18"/>
      <c r="D2937" s="19"/>
      <c r="E2937" s="19"/>
      <c r="F2937" s="22"/>
      <c r="G2937" s="22"/>
      <c r="H2937" s="22"/>
      <c r="I2937" s="22"/>
      <c r="J2937" s="22"/>
      <c r="K2937" s="22"/>
      <c r="L2937" s="22"/>
      <c r="M2937" s="22"/>
      <c r="N2937" s="22"/>
      <c r="O2937" s="22"/>
      <c r="P2937" s="22"/>
      <c r="Q2937" s="22"/>
      <c r="R2937" s="22"/>
      <c r="S2937" s="22"/>
      <c r="T2937" s="22"/>
    </row>
    <row r="2938" spans="2:20" x14ac:dyDescent="0.35">
      <c r="B2938" s="17"/>
      <c r="C2938" s="18"/>
      <c r="D2938" s="19"/>
      <c r="E2938" s="19"/>
      <c r="F2938" s="22"/>
      <c r="G2938" s="22"/>
      <c r="H2938" s="22"/>
      <c r="I2938" s="22"/>
      <c r="J2938" s="22"/>
      <c r="K2938" s="22"/>
      <c r="L2938" s="22"/>
      <c r="M2938" s="22"/>
      <c r="N2938" s="22"/>
      <c r="O2938" s="22"/>
      <c r="P2938" s="22"/>
      <c r="Q2938" s="22"/>
      <c r="R2938" s="22"/>
      <c r="S2938" s="22"/>
      <c r="T2938" s="22"/>
    </row>
    <row r="2939" spans="2:20" x14ac:dyDescent="0.35">
      <c r="B2939" s="17"/>
      <c r="C2939" s="18"/>
      <c r="D2939" s="19"/>
      <c r="E2939" s="19"/>
      <c r="F2939" s="22"/>
      <c r="G2939" s="22"/>
      <c r="H2939" s="22"/>
      <c r="I2939" s="22"/>
      <c r="J2939" s="22"/>
      <c r="K2939" s="22"/>
      <c r="L2939" s="22"/>
      <c r="M2939" s="22"/>
      <c r="N2939" s="22"/>
      <c r="O2939" s="22"/>
      <c r="P2939" s="22"/>
      <c r="Q2939" s="22"/>
      <c r="R2939" s="22"/>
      <c r="S2939" s="22"/>
      <c r="T2939" s="22"/>
    </row>
    <row r="2940" spans="2:20" x14ac:dyDescent="0.35">
      <c r="B2940" s="17"/>
      <c r="C2940" s="18"/>
      <c r="D2940" s="19"/>
      <c r="E2940" s="19"/>
      <c r="F2940" s="22"/>
      <c r="G2940" s="22"/>
      <c r="H2940" s="22"/>
      <c r="I2940" s="22"/>
      <c r="J2940" s="22"/>
      <c r="K2940" s="22"/>
      <c r="L2940" s="22"/>
      <c r="M2940" s="22"/>
      <c r="N2940" s="22"/>
      <c r="O2940" s="22"/>
      <c r="P2940" s="22"/>
      <c r="Q2940" s="22"/>
      <c r="R2940" s="22"/>
      <c r="S2940" s="22"/>
      <c r="T2940" s="22"/>
    </row>
    <row r="2941" spans="2:20" x14ac:dyDescent="0.35">
      <c r="B2941" s="17"/>
      <c r="C2941" s="18"/>
      <c r="D2941" s="19"/>
      <c r="E2941" s="19"/>
      <c r="F2941" s="22"/>
      <c r="G2941" s="22"/>
      <c r="H2941" s="22"/>
      <c r="I2941" s="22"/>
      <c r="J2941" s="22"/>
      <c r="K2941" s="22"/>
      <c r="L2941" s="22"/>
      <c r="M2941" s="22"/>
      <c r="N2941" s="22"/>
      <c r="O2941" s="22"/>
      <c r="P2941" s="22"/>
      <c r="Q2941" s="22"/>
      <c r="R2941" s="22"/>
      <c r="S2941" s="22"/>
      <c r="T2941" s="22"/>
    </row>
    <row r="2942" spans="2:20" x14ac:dyDescent="0.35">
      <c r="B2942" s="17"/>
      <c r="C2942" s="13"/>
      <c r="D2942" s="13"/>
      <c r="E2942" s="13"/>
      <c r="F2942" s="14"/>
      <c r="G2942" s="14"/>
      <c r="H2942" s="14"/>
      <c r="I2942" s="14"/>
      <c r="J2942" s="14"/>
      <c r="K2942" s="14"/>
      <c r="L2942" s="14"/>
      <c r="M2942" s="14"/>
      <c r="N2942" s="14"/>
      <c r="O2942" s="14"/>
      <c r="P2942" s="14"/>
      <c r="Q2942" s="14"/>
      <c r="R2942" s="14"/>
      <c r="S2942" s="14"/>
      <c r="T2942" s="14"/>
    </row>
    <row r="2943" spans="2:20" x14ac:dyDescent="0.35">
      <c r="B2943" s="17"/>
      <c r="C2943" s="13"/>
      <c r="D2943" s="13"/>
      <c r="E2943" s="13"/>
      <c r="F2943" s="14"/>
      <c r="G2943" s="14"/>
      <c r="H2943" s="14"/>
      <c r="I2943" s="14"/>
      <c r="J2943" s="14"/>
      <c r="K2943" s="14"/>
      <c r="L2943" s="14"/>
      <c r="M2943" s="14"/>
      <c r="N2943" s="14"/>
      <c r="O2943" s="14"/>
      <c r="P2943" s="14"/>
      <c r="Q2943" s="14"/>
      <c r="R2943" s="14"/>
      <c r="S2943" s="14"/>
      <c r="T2943" s="14"/>
    </row>
    <row r="2944" spans="2:20" x14ac:dyDescent="0.35">
      <c r="B2944" s="17"/>
      <c r="C2944" s="13"/>
      <c r="D2944" s="13"/>
      <c r="E2944" s="13"/>
      <c r="F2944" s="14"/>
      <c r="G2944" s="14"/>
      <c r="H2944" s="14"/>
      <c r="I2944" s="14"/>
      <c r="J2944" s="14"/>
      <c r="K2944" s="14"/>
      <c r="L2944" s="14"/>
      <c r="M2944" s="14"/>
      <c r="N2944" s="14"/>
      <c r="O2944" s="14"/>
      <c r="P2944" s="14"/>
      <c r="Q2944" s="14"/>
      <c r="R2944" s="14"/>
      <c r="S2944" s="14"/>
      <c r="T2944" s="14"/>
    </row>
    <row r="2945" spans="2:20" x14ac:dyDescent="0.35">
      <c r="B2945" s="17"/>
      <c r="C2945" s="13"/>
      <c r="D2945" s="13"/>
      <c r="E2945" s="13"/>
      <c r="F2945" s="14"/>
      <c r="G2945" s="14"/>
      <c r="H2945" s="14"/>
      <c r="I2945" s="14"/>
      <c r="J2945" s="14"/>
      <c r="K2945" s="14"/>
      <c r="L2945" s="14"/>
      <c r="M2945" s="14"/>
      <c r="N2945" s="14"/>
      <c r="O2945" s="14"/>
      <c r="P2945" s="14"/>
      <c r="Q2945" s="14"/>
      <c r="R2945" s="14"/>
      <c r="S2945" s="14"/>
      <c r="T2945" s="14"/>
    </row>
    <row r="2946" spans="2:20" x14ac:dyDescent="0.35">
      <c r="B2946" s="17"/>
      <c r="C2946" s="13"/>
      <c r="D2946" s="13"/>
      <c r="E2946" s="13"/>
      <c r="F2946" s="14"/>
      <c r="G2946" s="14"/>
      <c r="H2946" s="14"/>
      <c r="I2946" s="14"/>
      <c r="J2946" s="14"/>
      <c r="K2946" s="14"/>
      <c r="L2946" s="14"/>
      <c r="M2946" s="14"/>
      <c r="N2946" s="14"/>
      <c r="O2946" s="14"/>
      <c r="P2946" s="14"/>
      <c r="Q2946" s="14"/>
      <c r="R2946" s="14"/>
      <c r="S2946" s="14"/>
      <c r="T2946" s="14"/>
    </row>
    <row r="2947" spans="2:20" x14ac:dyDescent="0.35">
      <c r="B2947" s="17"/>
      <c r="C2947" s="13"/>
      <c r="D2947" s="13"/>
      <c r="E2947" s="13"/>
      <c r="F2947" s="14"/>
      <c r="G2947" s="14"/>
      <c r="H2947" s="14"/>
      <c r="I2947" s="14"/>
      <c r="J2947" s="14"/>
      <c r="K2947" s="14"/>
      <c r="L2947" s="14"/>
      <c r="M2947" s="14"/>
      <c r="N2947" s="14"/>
      <c r="O2947" s="14"/>
      <c r="P2947" s="14"/>
      <c r="Q2947" s="14"/>
      <c r="R2947" s="14"/>
      <c r="S2947" s="14"/>
      <c r="T2947" s="14"/>
    </row>
    <row r="2948" spans="2:20" x14ac:dyDescent="0.35">
      <c r="B2948" s="17"/>
      <c r="C2948" s="13"/>
      <c r="D2948" s="13"/>
      <c r="E2948" s="13"/>
      <c r="F2948" s="14"/>
      <c r="G2948" s="14"/>
      <c r="H2948" s="14"/>
      <c r="I2948" s="14"/>
      <c r="J2948" s="14"/>
      <c r="K2948" s="14"/>
      <c r="L2948" s="14"/>
      <c r="M2948" s="14"/>
      <c r="N2948" s="14"/>
      <c r="O2948" s="14"/>
      <c r="P2948" s="14"/>
      <c r="Q2948" s="14"/>
      <c r="R2948" s="14"/>
      <c r="S2948" s="14"/>
      <c r="T2948" s="14"/>
    </row>
    <row r="2949" spans="2:20" x14ac:dyDescent="0.35">
      <c r="B2949" s="17"/>
      <c r="C2949" s="18"/>
      <c r="D2949" s="19"/>
      <c r="E2949" s="19"/>
      <c r="F2949" s="22"/>
      <c r="G2949" s="22"/>
      <c r="H2949" s="22"/>
      <c r="I2949" s="22"/>
      <c r="J2949" s="22"/>
      <c r="K2949" s="22"/>
      <c r="L2949" s="22"/>
      <c r="M2949" s="22"/>
      <c r="N2949" s="22"/>
      <c r="O2949" s="22"/>
      <c r="P2949" s="22"/>
      <c r="Q2949" s="22"/>
      <c r="R2949" s="22"/>
      <c r="S2949" s="22"/>
      <c r="T2949" s="22"/>
    </row>
    <row r="2950" spans="2:20" x14ac:dyDescent="0.35">
      <c r="B2950" s="17"/>
      <c r="C2950" s="18"/>
      <c r="D2950" s="19"/>
      <c r="E2950" s="19"/>
      <c r="F2950" s="22"/>
      <c r="G2950" s="22"/>
      <c r="H2950" s="22"/>
      <c r="I2950" s="22"/>
      <c r="J2950" s="22"/>
      <c r="K2950" s="22"/>
      <c r="L2950" s="22"/>
      <c r="M2950" s="22"/>
      <c r="N2950" s="22"/>
      <c r="O2950" s="22"/>
      <c r="P2950" s="22"/>
      <c r="Q2950" s="22"/>
      <c r="R2950" s="22"/>
      <c r="S2950" s="22"/>
      <c r="T2950" s="22"/>
    </row>
    <row r="2951" spans="2:20" x14ac:dyDescent="0.35">
      <c r="B2951" s="17"/>
      <c r="C2951" s="18"/>
      <c r="D2951" s="19"/>
      <c r="E2951" s="19"/>
      <c r="F2951" s="22"/>
      <c r="G2951" s="22"/>
      <c r="H2951" s="22"/>
      <c r="I2951" s="22"/>
      <c r="J2951" s="22"/>
      <c r="K2951" s="22"/>
      <c r="L2951" s="22"/>
      <c r="M2951" s="22"/>
      <c r="N2951" s="22"/>
      <c r="O2951" s="22"/>
      <c r="P2951" s="22"/>
      <c r="Q2951" s="22"/>
      <c r="R2951" s="22"/>
      <c r="S2951" s="22"/>
      <c r="T2951" s="22"/>
    </row>
    <row r="2952" spans="2:20" x14ac:dyDescent="0.35">
      <c r="B2952" s="17"/>
      <c r="C2952" s="18"/>
      <c r="D2952" s="19"/>
      <c r="E2952" s="19"/>
      <c r="F2952" s="22"/>
      <c r="G2952" s="22"/>
      <c r="H2952" s="22"/>
      <c r="I2952" s="22"/>
      <c r="J2952" s="22"/>
      <c r="K2952" s="22"/>
      <c r="L2952" s="22"/>
      <c r="M2952" s="22"/>
      <c r="N2952" s="22"/>
      <c r="O2952" s="22"/>
      <c r="P2952" s="22"/>
      <c r="Q2952" s="22"/>
      <c r="R2952" s="22"/>
      <c r="S2952" s="22"/>
      <c r="T2952" s="22"/>
    </row>
    <row r="2953" spans="2:20" x14ac:dyDescent="0.35">
      <c r="B2953" s="17"/>
      <c r="C2953" s="18"/>
      <c r="D2953" s="19"/>
      <c r="E2953" s="19"/>
      <c r="F2953" s="22"/>
      <c r="G2953" s="22"/>
      <c r="H2953" s="22"/>
      <c r="I2953" s="22"/>
      <c r="J2953" s="22"/>
      <c r="K2953" s="22"/>
      <c r="L2953" s="22"/>
      <c r="M2953" s="22"/>
      <c r="N2953" s="22"/>
      <c r="O2953" s="22"/>
      <c r="P2953" s="22"/>
      <c r="Q2953" s="22"/>
      <c r="R2953" s="22"/>
      <c r="S2953" s="22"/>
      <c r="T2953" s="22"/>
    </row>
    <row r="2954" spans="2:20" x14ac:dyDescent="0.35">
      <c r="B2954" s="17"/>
      <c r="C2954" s="20"/>
      <c r="D2954" s="19"/>
      <c r="E2954" s="19"/>
      <c r="F2954" s="22"/>
      <c r="G2954" s="22"/>
      <c r="H2954" s="22"/>
      <c r="I2954" s="22"/>
      <c r="J2954" s="22"/>
      <c r="K2954" s="22"/>
      <c r="L2954" s="22"/>
      <c r="M2954" s="22"/>
      <c r="N2954" s="22"/>
      <c r="O2954" s="22"/>
      <c r="P2954" s="22"/>
      <c r="Q2954" s="22"/>
      <c r="R2954" s="22"/>
      <c r="S2954" s="22"/>
      <c r="T2954" s="22"/>
    </row>
    <row r="2955" spans="2:20" x14ac:dyDescent="0.35">
      <c r="B2955" s="17"/>
      <c r="C2955" s="20"/>
      <c r="D2955" s="19"/>
      <c r="E2955" s="19"/>
      <c r="F2955" s="22"/>
      <c r="G2955" s="22"/>
      <c r="H2955" s="22"/>
      <c r="I2955" s="22"/>
      <c r="J2955" s="22"/>
      <c r="K2955" s="22"/>
      <c r="L2955" s="22"/>
      <c r="M2955" s="22"/>
      <c r="N2955" s="22"/>
      <c r="O2955" s="22"/>
      <c r="P2955" s="22"/>
      <c r="Q2955" s="22"/>
      <c r="R2955" s="22"/>
      <c r="S2955" s="22"/>
      <c r="T2955" s="22"/>
    </row>
    <row r="2956" spans="2:20" x14ac:dyDescent="0.35">
      <c r="B2956" s="17"/>
      <c r="C2956" s="20"/>
      <c r="D2956" s="19"/>
      <c r="E2956" s="19"/>
      <c r="F2956" s="22"/>
      <c r="G2956" s="22"/>
      <c r="H2956" s="22"/>
      <c r="I2956" s="22"/>
      <c r="J2956" s="22"/>
      <c r="K2956" s="22"/>
      <c r="L2956" s="22"/>
      <c r="M2956" s="22"/>
      <c r="N2956" s="22"/>
      <c r="O2956" s="22"/>
      <c r="P2956" s="22"/>
      <c r="Q2956" s="22"/>
      <c r="R2956" s="22"/>
      <c r="S2956" s="22"/>
      <c r="T2956" s="22"/>
    </row>
    <row r="2957" spans="2:20" x14ac:dyDescent="0.35">
      <c r="B2957" s="17"/>
      <c r="C2957" s="20"/>
      <c r="D2957" s="19"/>
      <c r="E2957" s="19"/>
      <c r="F2957" s="22"/>
      <c r="G2957" s="22"/>
      <c r="H2957" s="22"/>
      <c r="I2957" s="22"/>
      <c r="J2957" s="22"/>
      <c r="K2957" s="22"/>
      <c r="L2957" s="22"/>
      <c r="M2957" s="22"/>
      <c r="N2957" s="22"/>
      <c r="O2957" s="22"/>
      <c r="P2957" s="22"/>
      <c r="Q2957" s="22"/>
      <c r="R2957" s="22"/>
      <c r="S2957" s="22"/>
      <c r="T2957" s="22"/>
    </row>
    <row r="2958" spans="2:20" x14ac:dyDescent="0.35">
      <c r="B2958" s="17"/>
      <c r="C2958" s="13"/>
      <c r="D2958" s="13"/>
      <c r="E2958" s="13"/>
      <c r="F2958" s="14"/>
      <c r="G2958" s="14"/>
      <c r="H2958" s="14"/>
      <c r="I2958" s="14"/>
      <c r="J2958" s="14"/>
      <c r="K2958" s="14"/>
      <c r="L2958" s="14"/>
      <c r="M2958" s="14"/>
      <c r="N2958" s="14"/>
      <c r="O2958" s="14"/>
      <c r="P2958" s="14"/>
      <c r="Q2958" s="14"/>
      <c r="R2958" s="14"/>
      <c r="S2958" s="14"/>
      <c r="T2958" s="14"/>
    </row>
    <row r="2959" spans="2:20" x14ac:dyDescent="0.35">
      <c r="B2959" s="17"/>
      <c r="C2959" s="13"/>
      <c r="D2959" s="13"/>
      <c r="E2959" s="13"/>
      <c r="F2959" s="14"/>
      <c r="G2959" s="14"/>
      <c r="H2959" s="14"/>
      <c r="I2959" s="14"/>
      <c r="J2959" s="14"/>
      <c r="K2959" s="14"/>
      <c r="L2959" s="14"/>
      <c r="M2959" s="14"/>
      <c r="N2959" s="14"/>
      <c r="O2959" s="14"/>
      <c r="P2959" s="14"/>
      <c r="Q2959" s="14"/>
      <c r="R2959" s="14"/>
      <c r="S2959" s="14"/>
      <c r="T2959" s="14"/>
    </row>
    <row r="2960" spans="2:20" x14ac:dyDescent="0.35">
      <c r="B2960" s="17"/>
      <c r="C2960" s="13"/>
      <c r="D2960" s="13"/>
      <c r="E2960" s="13"/>
      <c r="F2960" s="14"/>
      <c r="G2960" s="14"/>
      <c r="H2960" s="14"/>
      <c r="I2960" s="14"/>
      <c r="J2960" s="14"/>
      <c r="K2960" s="14"/>
      <c r="L2960" s="14"/>
      <c r="M2960" s="14"/>
      <c r="N2960" s="14"/>
      <c r="O2960" s="14"/>
      <c r="P2960" s="14"/>
      <c r="Q2960" s="14"/>
      <c r="R2960" s="14"/>
      <c r="S2960" s="14"/>
      <c r="T2960" s="14"/>
    </row>
    <row r="2961" spans="2:20" x14ac:dyDescent="0.35">
      <c r="B2961" s="17"/>
      <c r="C2961" s="13"/>
      <c r="D2961" s="13"/>
      <c r="E2961" s="13"/>
      <c r="F2961" s="14"/>
      <c r="G2961" s="14"/>
      <c r="H2961" s="14"/>
      <c r="I2961" s="14"/>
      <c r="J2961" s="14"/>
      <c r="K2961" s="14"/>
      <c r="L2961" s="14"/>
      <c r="M2961" s="14"/>
      <c r="N2961" s="14"/>
      <c r="O2961" s="14"/>
      <c r="P2961" s="14"/>
      <c r="Q2961" s="14"/>
      <c r="R2961" s="14"/>
      <c r="S2961" s="14"/>
      <c r="T2961" s="14"/>
    </row>
    <row r="2962" spans="2:20" x14ac:dyDescent="0.35">
      <c r="B2962" s="17"/>
      <c r="C2962" s="13"/>
      <c r="D2962" s="13"/>
      <c r="E2962" s="13"/>
      <c r="F2962" s="14"/>
      <c r="G2962" s="14"/>
      <c r="H2962" s="14"/>
      <c r="I2962" s="14"/>
      <c r="J2962" s="14"/>
      <c r="K2962" s="14"/>
      <c r="L2962" s="14"/>
      <c r="M2962" s="14"/>
      <c r="N2962" s="14"/>
      <c r="O2962" s="14"/>
      <c r="P2962" s="14"/>
      <c r="Q2962" s="14"/>
      <c r="R2962" s="14"/>
      <c r="S2962" s="14"/>
      <c r="T2962" s="14"/>
    </row>
    <row r="2963" spans="2:20" x14ac:dyDescent="0.35">
      <c r="B2963" s="17"/>
      <c r="C2963" s="13"/>
      <c r="D2963" s="13"/>
      <c r="E2963" s="13"/>
      <c r="F2963" s="14"/>
      <c r="G2963" s="14"/>
      <c r="H2963" s="14"/>
      <c r="I2963" s="14"/>
      <c r="J2963" s="14"/>
      <c r="K2963" s="14"/>
      <c r="L2963" s="14"/>
      <c r="M2963" s="14"/>
      <c r="N2963" s="14"/>
      <c r="O2963" s="14"/>
      <c r="P2963" s="14"/>
      <c r="Q2963" s="14"/>
      <c r="R2963" s="14"/>
      <c r="S2963" s="14"/>
      <c r="T2963" s="14"/>
    </row>
    <row r="2964" spans="2:20" x14ac:dyDescent="0.35">
      <c r="B2964" s="17"/>
      <c r="C2964" s="13"/>
      <c r="D2964" s="13"/>
      <c r="E2964" s="13"/>
      <c r="F2964" s="14"/>
      <c r="G2964" s="14"/>
      <c r="H2964" s="14"/>
      <c r="I2964" s="14"/>
      <c r="J2964" s="14"/>
      <c r="K2964" s="14"/>
      <c r="L2964" s="14"/>
      <c r="M2964" s="14"/>
      <c r="N2964" s="14"/>
      <c r="O2964" s="14"/>
      <c r="P2964" s="14"/>
      <c r="Q2964" s="14"/>
      <c r="R2964" s="14"/>
      <c r="S2964" s="14"/>
      <c r="T2964" s="14"/>
    </row>
    <row r="2965" spans="2:20" x14ac:dyDescent="0.35">
      <c r="B2965" s="17"/>
      <c r="C2965" s="13"/>
      <c r="D2965" s="13"/>
      <c r="E2965" s="13"/>
      <c r="F2965" s="14"/>
      <c r="G2965" s="14"/>
      <c r="H2965" s="14"/>
      <c r="I2965" s="14"/>
      <c r="J2965" s="14"/>
      <c r="K2965" s="14"/>
      <c r="L2965" s="14"/>
      <c r="M2965" s="14"/>
      <c r="N2965" s="14"/>
      <c r="O2965" s="14"/>
      <c r="P2965" s="14"/>
      <c r="Q2965" s="14"/>
      <c r="R2965" s="14"/>
      <c r="S2965" s="14"/>
      <c r="T2965" s="14"/>
    </row>
    <row r="2966" spans="2:20" x14ac:dyDescent="0.35">
      <c r="B2966" s="17"/>
      <c r="C2966" s="13"/>
      <c r="D2966" s="13"/>
      <c r="E2966" s="13"/>
      <c r="F2966" s="14"/>
      <c r="G2966" s="14"/>
      <c r="H2966" s="14"/>
      <c r="I2966" s="14"/>
      <c r="J2966" s="14"/>
      <c r="K2966" s="14"/>
      <c r="L2966" s="14"/>
      <c r="M2966" s="14"/>
      <c r="N2966" s="14"/>
      <c r="O2966" s="14"/>
      <c r="P2966" s="14"/>
      <c r="Q2966" s="14"/>
      <c r="R2966" s="14"/>
      <c r="S2966" s="14"/>
      <c r="T2966" s="14"/>
    </row>
    <row r="2967" spans="2:20" x14ac:dyDescent="0.35">
      <c r="B2967" s="17"/>
      <c r="C2967" s="13"/>
      <c r="D2967" s="13"/>
      <c r="E2967" s="13"/>
      <c r="F2967" s="14"/>
      <c r="G2967" s="14"/>
      <c r="H2967" s="14"/>
      <c r="I2967" s="14"/>
      <c r="J2967" s="14"/>
      <c r="K2967" s="14"/>
      <c r="L2967" s="14"/>
      <c r="M2967" s="14"/>
      <c r="N2967" s="14"/>
      <c r="O2967" s="14"/>
      <c r="P2967" s="14"/>
      <c r="Q2967" s="14"/>
      <c r="R2967" s="14"/>
      <c r="S2967" s="14"/>
      <c r="T2967" s="14"/>
    </row>
    <row r="2968" spans="2:20" x14ac:dyDescent="0.35">
      <c r="B2968" s="17"/>
      <c r="C2968" s="13"/>
      <c r="D2968" s="13"/>
      <c r="E2968" s="13"/>
      <c r="F2968" s="14"/>
      <c r="G2968" s="14"/>
      <c r="H2968" s="14"/>
      <c r="I2968" s="14"/>
      <c r="J2968" s="14"/>
      <c r="K2968" s="14"/>
      <c r="L2968" s="14"/>
      <c r="M2968" s="14"/>
      <c r="N2968" s="14"/>
      <c r="O2968" s="14"/>
      <c r="P2968" s="14"/>
      <c r="Q2968" s="14"/>
      <c r="R2968" s="14"/>
      <c r="S2968" s="14"/>
      <c r="T2968" s="14"/>
    </row>
    <row r="2969" spans="2:20" x14ac:dyDescent="0.35">
      <c r="B2969" s="17"/>
      <c r="C2969" s="13"/>
      <c r="D2969" s="13"/>
      <c r="E2969" s="13"/>
      <c r="F2969" s="14"/>
      <c r="G2969" s="14"/>
      <c r="H2969" s="14"/>
      <c r="I2969" s="14"/>
      <c r="J2969" s="14"/>
      <c r="K2969" s="14"/>
      <c r="L2969" s="14"/>
      <c r="M2969" s="14"/>
      <c r="N2969" s="14"/>
      <c r="O2969" s="14"/>
      <c r="P2969" s="14"/>
      <c r="Q2969" s="14"/>
      <c r="R2969" s="14"/>
      <c r="S2969" s="14"/>
      <c r="T2969" s="14"/>
    </row>
    <row r="2970" spans="2:20" x14ac:dyDescent="0.35">
      <c r="B2970" s="17"/>
      <c r="C2970" s="13"/>
      <c r="D2970" s="13"/>
      <c r="E2970" s="13"/>
      <c r="F2970" s="14"/>
      <c r="G2970" s="14"/>
      <c r="H2970" s="14"/>
      <c r="I2970" s="14"/>
      <c r="J2970" s="14"/>
      <c r="K2970" s="14"/>
      <c r="L2970" s="14"/>
      <c r="M2970" s="14"/>
      <c r="N2970" s="14"/>
      <c r="O2970" s="14"/>
      <c r="P2970" s="14"/>
      <c r="Q2970" s="14"/>
      <c r="R2970" s="14"/>
      <c r="S2970" s="14"/>
      <c r="T2970" s="14"/>
    </row>
    <row r="2971" spans="2:20" x14ac:dyDescent="0.35">
      <c r="B2971" s="17"/>
      <c r="C2971" s="13"/>
      <c r="D2971" s="13"/>
      <c r="E2971" s="13"/>
      <c r="F2971" s="14"/>
      <c r="G2971" s="14"/>
      <c r="H2971" s="14"/>
      <c r="I2971" s="14"/>
      <c r="J2971" s="14"/>
      <c r="K2971" s="14"/>
      <c r="L2971" s="14"/>
      <c r="M2971" s="14"/>
      <c r="N2971" s="14"/>
      <c r="O2971" s="14"/>
      <c r="P2971" s="14"/>
      <c r="Q2971" s="14"/>
      <c r="R2971" s="14"/>
      <c r="S2971" s="14"/>
      <c r="T2971" s="14"/>
    </row>
    <row r="2972" spans="2:20" x14ac:dyDescent="0.35">
      <c r="B2972" s="17"/>
      <c r="C2972" s="13"/>
      <c r="D2972" s="13"/>
      <c r="E2972" s="13"/>
      <c r="F2972" s="14"/>
      <c r="G2972" s="14"/>
      <c r="H2972" s="14"/>
      <c r="I2972" s="14"/>
      <c r="J2972" s="14"/>
      <c r="K2972" s="14"/>
      <c r="L2972" s="14"/>
      <c r="M2972" s="14"/>
      <c r="N2972" s="14"/>
      <c r="O2972" s="14"/>
      <c r="P2972" s="14"/>
      <c r="Q2972" s="14"/>
      <c r="R2972" s="14"/>
      <c r="S2972" s="14"/>
      <c r="T2972" s="14"/>
    </row>
    <row r="2973" spans="2:20" x14ac:dyDescent="0.35">
      <c r="B2973" s="17"/>
      <c r="C2973" s="18"/>
      <c r="D2973" s="19"/>
      <c r="E2973" s="19"/>
      <c r="F2973" s="22"/>
      <c r="G2973" s="22"/>
      <c r="H2973" s="22"/>
      <c r="I2973" s="22"/>
      <c r="J2973" s="22"/>
      <c r="K2973" s="22"/>
      <c r="L2973" s="22"/>
      <c r="M2973" s="22"/>
      <c r="N2973" s="22"/>
      <c r="O2973" s="22"/>
      <c r="P2973" s="22"/>
      <c r="Q2973" s="22"/>
      <c r="R2973" s="22"/>
      <c r="S2973" s="22"/>
      <c r="T2973" s="22"/>
    </row>
    <row r="2974" spans="2:20" x14ac:dyDescent="0.35">
      <c r="B2974" s="17"/>
      <c r="C2974" s="18"/>
      <c r="D2974" s="19"/>
      <c r="E2974" s="19"/>
      <c r="F2974" s="22"/>
      <c r="G2974" s="22"/>
      <c r="H2974" s="22"/>
      <c r="I2974" s="22"/>
      <c r="J2974" s="22"/>
      <c r="K2974" s="22"/>
      <c r="L2974" s="22"/>
      <c r="M2974" s="22"/>
      <c r="N2974" s="22"/>
      <c r="O2974" s="22"/>
      <c r="P2974" s="22"/>
      <c r="Q2974" s="22"/>
      <c r="R2974" s="22"/>
      <c r="S2974" s="22"/>
      <c r="T2974" s="22"/>
    </row>
    <row r="2975" spans="2:20" x14ac:dyDescent="0.35">
      <c r="B2975" s="17"/>
      <c r="C2975" s="18"/>
      <c r="D2975" s="19"/>
      <c r="E2975" s="19"/>
      <c r="F2975" s="22"/>
      <c r="G2975" s="22"/>
      <c r="H2975" s="22"/>
      <c r="I2975" s="22"/>
      <c r="J2975" s="22"/>
      <c r="K2975" s="22"/>
      <c r="L2975" s="22"/>
      <c r="M2975" s="22"/>
      <c r="N2975" s="22"/>
      <c r="O2975" s="22"/>
      <c r="P2975" s="22"/>
      <c r="Q2975" s="22"/>
      <c r="R2975" s="22"/>
      <c r="S2975" s="22"/>
      <c r="T2975" s="22"/>
    </row>
    <row r="2976" spans="2:20" x14ac:dyDescent="0.35">
      <c r="B2976" s="17"/>
      <c r="C2976" s="18"/>
      <c r="D2976" s="19"/>
      <c r="E2976" s="19"/>
      <c r="F2976" s="22"/>
      <c r="G2976" s="22"/>
      <c r="H2976" s="22"/>
      <c r="I2976" s="22"/>
      <c r="J2976" s="22"/>
      <c r="K2976" s="22"/>
      <c r="L2976" s="22"/>
      <c r="M2976" s="22"/>
      <c r="N2976" s="22"/>
      <c r="O2976" s="22"/>
      <c r="P2976" s="22"/>
      <c r="Q2976" s="22"/>
      <c r="R2976" s="22"/>
      <c r="S2976" s="22"/>
      <c r="T2976" s="22"/>
    </row>
    <row r="2977" spans="2:20" x14ac:dyDescent="0.35">
      <c r="B2977" s="17"/>
      <c r="C2977" s="18"/>
      <c r="D2977" s="19"/>
      <c r="E2977" s="19"/>
      <c r="F2977" s="22"/>
      <c r="G2977" s="22"/>
      <c r="H2977" s="22"/>
      <c r="I2977" s="22"/>
      <c r="J2977" s="22"/>
      <c r="K2977" s="22"/>
      <c r="L2977" s="22"/>
      <c r="M2977" s="22"/>
      <c r="N2977" s="22"/>
      <c r="O2977" s="22"/>
      <c r="P2977" s="22"/>
      <c r="Q2977" s="22"/>
      <c r="R2977" s="22"/>
      <c r="S2977" s="22"/>
      <c r="T2977" s="22"/>
    </row>
    <row r="2978" spans="2:20" x14ac:dyDescent="0.35">
      <c r="B2978" s="17"/>
      <c r="C2978" s="18"/>
      <c r="D2978" s="19"/>
      <c r="E2978" s="19"/>
      <c r="F2978" s="22"/>
      <c r="G2978" s="22"/>
      <c r="H2978" s="22"/>
      <c r="I2978" s="22"/>
      <c r="J2978" s="22"/>
      <c r="K2978" s="22"/>
      <c r="L2978" s="22"/>
      <c r="M2978" s="22"/>
      <c r="N2978" s="22"/>
      <c r="O2978" s="22"/>
      <c r="P2978" s="22"/>
      <c r="Q2978" s="22"/>
      <c r="R2978" s="22"/>
      <c r="S2978" s="22"/>
      <c r="T2978" s="22"/>
    </row>
    <row r="2979" spans="2:20" x14ac:dyDescent="0.35">
      <c r="B2979" s="17"/>
      <c r="C2979" s="18"/>
      <c r="D2979" s="19"/>
      <c r="E2979" s="19"/>
      <c r="F2979" s="22"/>
      <c r="G2979" s="22"/>
      <c r="H2979" s="22"/>
      <c r="I2979" s="22"/>
      <c r="J2979" s="22"/>
      <c r="K2979" s="22"/>
      <c r="L2979" s="22"/>
      <c r="M2979" s="22"/>
      <c r="N2979" s="22"/>
      <c r="O2979" s="22"/>
      <c r="P2979" s="22"/>
      <c r="Q2979" s="22"/>
      <c r="R2979" s="22"/>
      <c r="S2979" s="22"/>
      <c r="T2979" s="22"/>
    </row>
    <row r="2980" spans="2:20" x14ac:dyDescent="0.35">
      <c r="B2980" s="17"/>
      <c r="C2980" s="18"/>
      <c r="D2980" s="19"/>
      <c r="E2980" s="19"/>
      <c r="F2980" s="22"/>
      <c r="G2980" s="22"/>
      <c r="H2980" s="22"/>
      <c r="I2980" s="22"/>
      <c r="J2980" s="22"/>
      <c r="K2980" s="22"/>
      <c r="L2980" s="22"/>
      <c r="M2980" s="22"/>
      <c r="N2980" s="22"/>
      <c r="O2980" s="22"/>
      <c r="P2980" s="22"/>
      <c r="Q2980" s="22"/>
      <c r="R2980" s="22"/>
      <c r="S2980" s="22"/>
      <c r="T2980" s="22"/>
    </row>
    <row r="2981" spans="2:20" x14ac:dyDescent="0.35">
      <c r="B2981" s="17"/>
      <c r="C2981" s="18"/>
      <c r="D2981" s="19"/>
      <c r="E2981" s="19"/>
      <c r="F2981" s="22"/>
      <c r="G2981" s="22"/>
      <c r="H2981" s="22"/>
      <c r="I2981" s="22"/>
      <c r="J2981" s="22"/>
      <c r="K2981" s="22"/>
      <c r="L2981" s="22"/>
      <c r="M2981" s="22"/>
      <c r="N2981" s="22"/>
      <c r="O2981" s="22"/>
      <c r="P2981" s="22"/>
      <c r="Q2981" s="22"/>
      <c r="R2981" s="22"/>
      <c r="S2981" s="22"/>
      <c r="T2981" s="22"/>
    </row>
    <row r="2982" spans="2:20" x14ac:dyDescent="0.35">
      <c r="B2982" s="17"/>
      <c r="C2982" s="18"/>
      <c r="D2982" s="19"/>
      <c r="E2982" s="19"/>
      <c r="F2982" s="22"/>
      <c r="G2982" s="22"/>
      <c r="H2982" s="22"/>
      <c r="I2982" s="22"/>
      <c r="J2982" s="22"/>
      <c r="K2982" s="22"/>
      <c r="L2982" s="22"/>
      <c r="M2982" s="22"/>
      <c r="N2982" s="22"/>
      <c r="O2982" s="22"/>
      <c r="P2982" s="22"/>
      <c r="Q2982" s="22"/>
      <c r="R2982" s="22"/>
      <c r="S2982" s="22"/>
      <c r="T2982" s="22"/>
    </row>
    <row r="2983" spans="2:20" x14ac:dyDescent="0.35">
      <c r="B2983" s="17"/>
      <c r="C2983" s="18"/>
      <c r="D2983" s="19"/>
      <c r="E2983" s="19"/>
      <c r="F2983" s="22"/>
      <c r="G2983" s="22"/>
      <c r="H2983" s="22"/>
      <c r="I2983" s="22"/>
      <c r="J2983" s="22"/>
      <c r="K2983" s="22"/>
      <c r="L2983" s="22"/>
      <c r="M2983" s="22"/>
      <c r="N2983" s="22"/>
      <c r="O2983" s="22"/>
      <c r="P2983" s="22"/>
      <c r="Q2983" s="22"/>
      <c r="R2983" s="22"/>
      <c r="S2983" s="22"/>
      <c r="T2983" s="22"/>
    </row>
    <row r="2984" spans="2:20" x14ac:dyDescent="0.35">
      <c r="B2984" s="17"/>
      <c r="C2984" s="18"/>
      <c r="D2984" s="19"/>
      <c r="E2984" s="19"/>
      <c r="F2984" s="22"/>
      <c r="G2984" s="22"/>
      <c r="H2984" s="22"/>
      <c r="I2984" s="22"/>
      <c r="J2984" s="22"/>
      <c r="K2984" s="22"/>
      <c r="L2984" s="22"/>
      <c r="M2984" s="22"/>
      <c r="N2984" s="22"/>
      <c r="O2984" s="22"/>
      <c r="P2984" s="22"/>
      <c r="Q2984" s="22"/>
      <c r="R2984" s="22"/>
      <c r="S2984" s="22"/>
      <c r="T2984" s="22"/>
    </row>
    <row r="2985" spans="2:20" x14ac:dyDescent="0.35">
      <c r="B2985" s="17"/>
      <c r="C2985" s="18"/>
      <c r="D2985" s="19"/>
      <c r="E2985" s="19"/>
      <c r="F2985" s="22"/>
      <c r="G2985" s="22"/>
      <c r="H2985" s="22"/>
      <c r="I2985" s="22"/>
      <c r="J2985" s="22"/>
      <c r="K2985" s="22"/>
      <c r="L2985" s="22"/>
      <c r="M2985" s="22"/>
      <c r="N2985" s="22"/>
      <c r="O2985" s="22"/>
      <c r="P2985" s="22"/>
      <c r="Q2985" s="22"/>
      <c r="R2985" s="22"/>
      <c r="S2985" s="22"/>
      <c r="T2985" s="22"/>
    </row>
    <row r="2986" spans="2:20" x14ac:dyDescent="0.35">
      <c r="B2986" s="17"/>
      <c r="C2986" s="18"/>
      <c r="D2986" s="19"/>
      <c r="E2986" s="19"/>
      <c r="F2986" s="22"/>
      <c r="G2986" s="22"/>
      <c r="H2986" s="22"/>
      <c r="I2986" s="22"/>
      <c r="J2986" s="22"/>
      <c r="K2986" s="22"/>
      <c r="L2986" s="22"/>
      <c r="M2986" s="22"/>
      <c r="N2986" s="22"/>
      <c r="O2986" s="22"/>
      <c r="P2986" s="22"/>
      <c r="Q2986" s="22"/>
      <c r="R2986" s="22"/>
      <c r="S2986" s="22"/>
      <c r="T2986" s="22"/>
    </row>
    <row r="2987" spans="2:20" x14ac:dyDescent="0.35">
      <c r="B2987" s="17"/>
      <c r="C2987" s="18"/>
      <c r="D2987" s="19"/>
      <c r="E2987" s="19"/>
      <c r="F2987" s="22"/>
      <c r="G2987" s="22"/>
      <c r="H2987" s="22"/>
      <c r="I2987" s="22"/>
      <c r="J2987" s="22"/>
      <c r="K2987" s="22"/>
      <c r="L2987" s="22"/>
      <c r="M2987" s="22"/>
      <c r="N2987" s="22"/>
      <c r="O2987" s="22"/>
      <c r="P2987" s="22"/>
      <c r="Q2987" s="22"/>
      <c r="R2987" s="22"/>
      <c r="S2987" s="22"/>
      <c r="T2987" s="22"/>
    </row>
    <row r="2988" spans="2:20" x14ac:dyDescent="0.35">
      <c r="B2988" s="17"/>
      <c r="C2988" s="18"/>
      <c r="D2988" s="19"/>
      <c r="E2988" s="19"/>
      <c r="F2988" s="22"/>
      <c r="G2988" s="22"/>
      <c r="H2988" s="22"/>
      <c r="I2988" s="22"/>
      <c r="J2988" s="22"/>
      <c r="K2988" s="22"/>
      <c r="L2988" s="22"/>
      <c r="M2988" s="22"/>
      <c r="N2988" s="22"/>
      <c r="O2988" s="22"/>
      <c r="P2988" s="22"/>
      <c r="Q2988" s="22"/>
      <c r="R2988" s="22"/>
      <c r="S2988" s="22"/>
      <c r="T2988" s="22"/>
    </row>
    <row r="2989" spans="2:20" x14ac:dyDescent="0.35">
      <c r="B2989" s="17"/>
      <c r="C2989" s="13"/>
      <c r="D2989" s="13"/>
      <c r="E2989" s="13"/>
      <c r="F2989" s="14"/>
      <c r="G2989" s="14"/>
      <c r="H2989" s="14"/>
      <c r="I2989" s="14"/>
      <c r="J2989" s="14"/>
      <c r="K2989" s="14"/>
      <c r="L2989" s="14"/>
      <c r="M2989" s="14"/>
      <c r="N2989" s="14"/>
      <c r="O2989" s="14"/>
      <c r="P2989" s="14"/>
      <c r="Q2989" s="14"/>
      <c r="R2989" s="14"/>
      <c r="S2989" s="14"/>
      <c r="T2989" s="14"/>
    </row>
    <row r="2990" spans="2:20" x14ac:dyDescent="0.35">
      <c r="B2990" s="17"/>
      <c r="C2990" s="13"/>
      <c r="D2990" s="13"/>
      <c r="E2990" s="13"/>
      <c r="F2990" s="14"/>
      <c r="G2990" s="14"/>
      <c r="H2990" s="14"/>
      <c r="I2990" s="14"/>
      <c r="J2990" s="14"/>
      <c r="K2990" s="14"/>
      <c r="L2990" s="14"/>
      <c r="M2990" s="14"/>
      <c r="N2990" s="14"/>
      <c r="O2990" s="14"/>
      <c r="P2990" s="14"/>
      <c r="Q2990" s="14"/>
      <c r="R2990" s="14"/>
      <c r="S2990" s="14"/>
      <c r="T2990" s="14"/>
    </row>
    <row r="2991" spans="2:20" x14ac:dyDescent="0.35">
      <c r="B2991" s="17"/>
      <c r="C2991" s="13"/>
      <c r="D2991" s="13"/>
      <c r="E2991" s="13"/>
      <c r="F2991" s="14"/>
      <c r="G2991" s="14"/>
      <c r="H2991" s="14"/>
      <c r="I2991" s="14"/>
      <c r="J2991" s="14"/>
      <c r="K2991" s="14"/>
      <c r="L2991" s="14"/>
      <c r="M2991" s="14"/>
      <c r="N2991" s="14"/>
      <c r="O2991" s="14"/>
      <c r="P2991" s="14"/>
      <c r="Q2991" s="14"/>
      <c r="R2991" s="14"/>
      <c r="S2991" s="14"/>
      <c r="T2991" s="14"/>
    </row>
    <row r="2992" spans="2:20" x14ac:dyDescent="0.35">
      <c r="B2992" s="17"/>
      <c r="C2992" s="13"/>
      <c r="D2992" s="13"/>
      <c r="E2992" s="13"/>
      <c r="F2992" s="14"/>
      <c r="G2992" s="14"/>
      <c r="H2992" s="14"/>
      <c r="I2992" s="14"/>
      <c r="J2992" s="14"/>
      <c r="K2992" s="14"/>
      <c r="L2992" s="14"/>
      <c r="M2992" s="14"/>
      <c r="N2992" s="14"/>
      <c r="O2992" s="14"/>
      <c r="P2992" s="14"/>
      <c r="Q2992" s="14"/>
      <c r="R2992" s="14"/>
      <c r="S2992" s="14"/>
      <c r="T2992" s="14"/>
    </row>
    <row r="2993" spans="1:20" x14ac:dyDescent="0.35">
      <c r="B2993" s="17"/>
      <c r="C2993" s="13"/>
      <c r="D2993" s="13"/>
      <c r="E2993" s="13"/>
      <c r="F2993" s="14"/>
      <c r="G2993" s="14"/>
      <c r="H2993" s="14"/>
      <c r="I2993" s="14"/>
      <c r="J2993" s="14"/>
      <c r="K2993" s="14"/>
      <c r="L2993" s="14"/>
      <c r="M2993" s="14"/>
      <c r="N2993" s="14"/>
      <c r="O2993" s="14"/>
      <c r="P2993" s="14"/>
      <c r="Q2993" s="14"/>
      <c r="R2993" s="14"/>
      <c r="S2993" s="14"/>
      <c r="T2993" s="14"/>
    </row>
    <row r="2994" spans="1:20" x14ac:dyDescent="0.35">
      <c r="B2994" s="17"/>
      <c r="C2994" s="13"/>
      <c r="D2994" s="13"/>
      <c r="E2994" s="13"/>
      <c r="F2994" s="14"/>
      <c r="G2994" s="14"/>
      <c r="H2994" s="14"/>
      <c r="I2994" s="14"/>
      <c r="J2994" s="14"/>
      <c r="K2994" s="14"/>
      <c r="L2994" s="14"/>
      <c r="M2994" s="14"/>
      <c r="N2994" s="14"/>
      <c r="O2994" s="14"/>
      <c r="P2994" s="14"/>
      <c r="Q2994" s="14"/>
      <c r="R2994" s="14"/>
      <c r="S2994" s="14"/>
      <c r="T2994" s="14"/>
    </row>
    <row r="2995" spans="1:20" x14ac:dyDescent="0.35">
      <c r="B2995" s="17"/>
      <c r="C2995" s="13"/>
      <c r="D2995" s="13"/>
      <c r="E2995" s="13"/>
      <c r="F2995" s="14"/>
      <c r="G2995" s="14"/>
      <c r="H2995" s="14"/>
      <c r="I2995" s="14"/>
      <c r="J2995" s="14"/>
      <c r="K2995" s="14"/>
      <c r="L2995" s="14"/>
      <c r="M2995" s="14"/>
      <c r="N2995" s="14"/>
      <c r="O2995" s="14"/>
      <c r="P2995" s="14"/>
      <c r="Q2995" s="14"/>
      <c r="R2995" s="14"/>
      <c r="S2995" s="14"/>
      <c r="T2995" s="14"/>
    </row>
    <row r="2996" spans="1:20" x14ac:dyDescent="0.35">
      <c r="A2996" s="21"/>
      <c r="B2996" s="17"/>
      <c r="C2996" s="18"/>
      <c r="D2996" s="19"/>
      <c r="E2996" s="19"/>
      <c r="F2996" s="22"/>
      <c r="G2996" s="22"/>
      <c r="H2996" s="22"/>
      <c r="I2996" s="22"/>
      <c r="J2996" s="22"/>
      <c r="K2996" s="22"/>
      <c r="L2996" s="22"/>
      <c r="M2996" s="22"/>
      <c r="N2996" s="22"/>
      <c r="O2996" s="22"/>
      <c r="P2996" s="22"/>
      <c r="Q2996" s="22"/>
      <c r="R2996" s="22"/>
      <c r="S2996" s="22"/>
      <c r="T2996" s="22"/>
    </row>
    <row r="2997" spans="1:20" x14ac:dyDescent="0.35">
      <c r="A2997" s="21"/>
      <c r="B2997" s="17"/>
      <c r="C2997" s="18"/>
      <c r="D2997" s="19"/>
      <c r="E2997" s="19"/>
      <c r="F2997" s="22"/>
      <c r="G2997" s="22"/>
      <c r="H2997" s="22"/>
      <c r="I2997" s="22"/>
      <c r="J2997" s="22"/>
      <c r="K2997" s="22"/>
      <c r="L2997" s="22"/>
      <c r="M2997" s="22"/>
      <c r="N2997" s="22"/>
      <c r="O2997" s="22"/>
      <c r="P2997" s="22"/>
      <c r="Q2997" s="22"/>
      <c r="R2997" s="22"/>
      <c r="S2997" s="22"/>
      <c r="T2997" s="22"/>
    </row>
    <row r="2998" spans="1:20" x14ac:dyDescent="0.35">
      <c r="A2998" s="21"/>
      <c r="B2998" s="17"/>
      <c r="C2998" s="18"/>
      <c r="D2998" s="19"/>
      <c r="E2998" s="19"/>
      <c r="F2998" s="22"/>
      <c r="G2998" s="22"/>
      <c r="H2998" s="22"/>
      <c r="I2998" s="22"/>
      <c r="J2998" s="22"/>
      <c r="K2998" s="22"/>
      <c r="L2998" s="22"/>
      <c r="M2998" s="22"/>
      <c r="N2998" s="22"/>
      <c r="O2998" s="22"/>
      <c r="P2998" s="22"/>
      <c r="Q2998" s="22"/>
      <c r="R2998" s="22"/>
      <c r="S2998" s="22"/>
      <c r="T2998" s="22"/>
    </row>
    <row r="2999" spans="1:20" x14ac:dyDescent="0.35">
      <c r="A2999" s="21"/>
      <c r="B2999" s="17"/>
      <c r="C2999" s="18"/>
      <c r="D2999" s="19"/>
      <c r="E2999" s="19"/>
      <c r="F2999" s="22"/>
      <c r="G2999" s="22"/>
      <c r="H2999" s="22"/>
      <c r="I2999" s="22"/>
      <c r="J2999" s="22"/>
      <c r="K2999" s="22"/>
      <c r="L2999" s="22"/>
      <c r="M2999" s="22"/>
      <c r="N2999" s="22"/>
      <c r="O2999" s="22"/>
      <c r="P2999" s="22"/>
      <c r="Q2999" s="22"/>
      <c r="R2999" s="22"/>
      <c r="S2999" s="22"/>
      <c r="T2999" s="22"/>
    </row>
    <row r="3000" spans="1:20" x14ac:dyDescent="0.35">
      <c r="A3000" s="21"/>
      <c r="B3000" s="17"/>
      <c r="C3000" s="18"/>
      <c r="D3000" s="19"/>
      <c r="E3000" s="19"/>
      <c r="F3000" s="22"/>
      <c r="G3000" s="22"/>
      <c r="H3000" s="22"/>
      <c r="I3000" s="22"/>
      <c r="J3000" s="22"/>
      <c r="K3000" s="22"/>
      <c r="L3000" s="22"/>
      <c r="M3000" s="22"/>
      <c r="N3000" s="22"/>
      <c r="O3000" s="22"/>
      <c r="P3000" s="22"/>
      <c r="Q3000" s="22"/>
      <c r="R3000" s="22"/>
      <c r="S3000" s="22"/>
      <c r="T3000" s="22"/>
    </row>
    <row r="3001" spans="1:20" x14ac:dyDescent="0.35">
      <c r="A3001" s="21"/>
      <c r="B3001" s="17"/>
      <c r="C3001" s="20"/>
      <c r="D3001" s="19"/>
      <c r="E3001" s="19"/>
      <c r="F3001" s="22"/>
      <c r="G3001" s="22"/>
      <c r="H3001" s="22"/>
      <c r="I3001" s="22"/>
      <c r="J3001" s="22"/>
      <c r="K3001" s="22"/>
      <c r="L3001" s="22"/>
      <c r="M3001" s="22"/>
      <c r="N3001" s="22"/>
      <c r="O3001" s="22"/>
      <c r="P3001" s="22"/>
      <c r="Q3001" s="22"/>
      <c r="R3001" s="22"/>
      <c r="S3001" s="22"/>
      <c r="T3001" s="22"/>
    </row>
    <row r="3002" spans="1:20" x14ac:dyDescent="0.35">
      <c r="A3002" s="21"/>
      <c r="B3002" s="17"/>
      <c r="C3002" s="20"/>
      <c r="D3002" s="19"/>
      <c r="E3002" s="19"/>
      <c r="F3002" s="22"/>
      <c r="G3002" s="22"/>
      <c r="H3002" s="22"/>
      <c r="I3002" s="22"/>
      <c r="J3002" s="22"/>
      <c r="K3002" s="22"/>
      <c r="L3002" s="22"/>
      <c r="M3002" s="22"/>
      <c r="N3002" s="22"/>
      <c r="O3002" s="22"/>
      <c r="P3002" s="22"/>
      <c r="Q3002" s="22"/>
      <c r="R3002" s="22"/>
      <c r="S3002" s="22"/>
      <c r="T3002" s="22"/>
    </row>
    <row r="3003" spans="1:20" x14ac:dyDescent="0.35">
      <c r="A3003" s="21"/>
      <c r="B3003" s="17"/>
      <c r="C3003" s="20"/>
      <c r="D3003" s="19"/>
      <c r="E3003" s="19"/>
      <c r="F3003" s="22"/>
      <c r="G3003" s="22"/>
      <c r="H3003" s="22"/>
      <c r="I3003" s="22"/>
      <c r="J3003" s="22"/>
      <c r="K3003" s="22"/>
      <c r="L3003" s="22"/>
      <c r="M3003" s="22"/>
      <c r="N3003" s="22"/>
      <c r="O3003" s="22"/>
      <c r="P3003" s="22"/>
      <c r="Q3003" s="22"/>
      <c r="R3003" s="22"/>
      <c r="S3003" s="22"/>
      <c r="T3003" s="22"/>
    </row>
    <row r="3004" spans="1:20" x14ac:dyDescent="0.35">
      <c r="A3004" s="21"/>
      <c r="B3004" s="17"/>
      <c r="C3004" s="20"/>
      <c r="D3004" s="19"/>
      <c r="E3004" s="19"/>
      <c r="F3004" s="22"/>
      <c r="G3004" s="22"/>
      <c r="H3004" s="22"/>
      <c r="I3004" s="22"/>
      <c r="J3004" s="22"/>
      <c r="K3004" s="22"/>
      <c r="L3004" s="22"/>
      <c r="M3004" s="22"/>
      <c r="N3004" s="22"/>
      <c r="O3004" s="22"/>
      <c r="P3004" s="22"/>
      <c r="Q3004" s="22"/>
      <c r="R3004" s="22"/>
      <c r="S3004" s="22"/>
      <c r="T3004" s="22"/>
    </row>
    <row r="3005" spans="1:20" x14ac:dyDescent="0.35">
      <c r="A3005" s="21"/>
      <c r="B3005" s="17"/>
      <c r="C3005" s="13"/>
      <c r="D3005" s="13"/>
      <c r="E3005" s="13"/>
      <c r="F3005" s="14"/>
      <c r="G3005" s="14"/>
      <c r="H3005" s="14"/>
      <c r="I3005" s="14"/>
      <c r="J3005" s="14"/>
      <c r="K3005" s="14"/>
      <c r="L3005" s="14"/>
      <c r="M3005" s="14"/>
      <c r="N3005" s="14"/>
      <c r="O3005" s="14"/>
      <c r="P3005" s="14"/>
      <c r="Q3005" s="14"/>
      <c r="R3005" s="14"/>
      <c r="S3005" s="14"/>
      <c r="T3005" s="14"/>
    </row>
    <row r="3006" spans="1:20" x14ac:dyDescent="0.35">
      <c r="A3006" s="21"/>
      <c r="B3006" s="17"/>
      <c r="C3006" s="13"/>
      <c r="D3006" s="13"/>
      <c r="E3006" s="13"/>
      <c r="F3006" s="14"/>
      <c r="G3006" s="14"/>
      <c r="H3006" s="14"/>
      <c r="I3006" s="14"/>
      <c r="J3006" s="14"/>
      <c r="K3006" s="14"/>
      <c r="L3006" s="14"/>
      <c r="M3006" s="14"/>
      <c r="N3006" s="14"/>
      <c r="O3006" s="14"/>
      <c r="P3006" s="14"/>
      <c r="Q3006" s="14"/>
      <c r="R3006" s="14"/>
      <c r="S3006" s="14"/>
      <c r="T3006" s="14"/>
    </row>
    <row r="3007" spans="1:20" x14ac:dyDescent="0.35">
      <c r="A3007" s="21"/>
      <c r="B3007" s="17"/>
      <c r="C3007" s="13"/>
      <c r="D3007" s="13"/>
      <c r="E3007" s="13"/>
      <c r="F3007" s="14"/>
      <c r="G3007" s="14"/>
      <c r="H3007" s="14"/>
      <c r="I3007" s="14"/>
      <c r="J3007" s="14"/>
      <c r="K3007" s="14"/>
      <c r="L3007" s="14"/>
      <c r="M3007" s="14"/>
      <c r="N3007" s="14"/>
      <c r="O3007" s="14"/>
      <c r="P3007" s="14"/>
      <c r="Q3007" s="14"/>
      <c r="R3007" s="14"/>
      <c r="S3007" s="14"/>
      <c r="T3007" s="14"/>
    </row>
    <row r="3008" spans="1:20" x14ac:dyDescent="0.35">
      <c r="A3008" s="21"/>
      <c r="B3008" s="17"/>
      <c r="C3008" s="13"/>
      <c r="D3008" s="13"/>
      <c r="E3008" s="13"/>
      <c r="F3008" s="14"/>
      <c r="G3008" s="14"/>
      <c r="H3008" s="14"/>
      <c r="I3008" s="14"/>
      <c r="J3008" s="14"/>
      <c r="K3008" s="14"/>
      <c r="L3008" s="14"/>
      <c r="M3008" s="14"/>
      <c r="N3008" s="14"/>
      <c r="O3008" s="14"/>
      <c r="P3008" s="14"/>
      <c r="Q3008" s="14"/>
      <c r="R3008" s="14"/>
      <c r="S3008" s="14"/>
      <c r="T3008" s="14"/>
    </row>
    <row r="3009" spans="1:20" x14ac:dyDescent="0.35">
      <c r="A3009" s="21"/>
      <c r="B3009" s="17"/>
      <c r="C3009" s="13"/>
      <c r="D3009" s="13"/>
      <c r="E3009" s="13"/>
      <c r="F3009" s="14"/>
      <c r="G3009" s="14"/>
      <c r="H3009" s="14"/>
      <c r="I3009" s="14"/>
      <c r="J3009" s="14"/>
      <c r="K3009" s="14"/>
      <c r="L3009" s="14"/>
      <c r="M3009" s="14"/>
      <c r="N3009" s="14"/>
      <c r="O3009" s="14"/>
      <c r="P3009" s="14"/>
      <c r="Q3009" s="14"/>
      <c r="R3009" s="14"/>
      <c r="S3009" s="14"/>
      <c r="T3009" s="14"/>
    </row>
    <row r="3010" spans="1:20" x14ac:dyDescent="0.35">
      <c r="A3010" s="21"/>
      <c r="B3010" s="17"/>
      <c r="C3010" s="13"/>
      <c r="D3010" s="13"/>
      <c r="E3010" s="13"/>
      <c r="F3010" s="14"/>
      <c r="G3010" s="14"/>
      <c r="H3010" s="14"/>
      <c r="I3010" s="14"/>
      <c r="J3010" s="14"/>
      <c r="K3010" s="14"/>
      <c r="L3010" s="14"/>
      <c r="M3010" s="14"/>
      <c r="N3010" s="14"/>
      <c r="O3010" s="14"/>
      <c r="P3010" s="14"/>
      <c r="Q3010" s="14"/>
      <c r="R3010" s="14"/>
      <c r="S3010" s="14"/>
      <c r="T3010" s="14"/>
    </row>
    <row r="3011" spans="1:20" x14ac:dyDescent="0.35">
      <c r="A3011" s="21"/>
      <c r="B3011" s="17"/>
      <c r="C3011" s="13"/>
      <c r="D3011" s="13"/>
      <c r="E3011" s="13"/>
      <c r="F3011" s="14"/>
      <c r="G3011" s="14"/>
      <c r="H3011" s="14"/>
      <c r="I3011" s="14"/>
      <c r="J3011" s="14"/>
      <c r="K3011" s="14"/>
      <c r="L3011" s="14"/>
      <c r="M3011" s="14"/>
      <c r="N3011" s="14"/>
      <c r="O3011" s="14"/>
      <c r="P3011" s="14"/>
      <c r="Q3011" s="14"/>
      <c r="R3011" s="14"/>
      <c r="S3011" s="14"/>
      <c r="T3011" s="14"/>
    </row>
    <row r="3012" spans="1:20" x14ac:dyDescent="0.35">
      <c r="A3012" s="21"/>
      <c r="B3012" s="17"/>
      <c r="C3012" s="13"/>
      <c r="D3012" s="13"/>
      <c r="E3012" s="13"/>
      <c r="F3012" s="14"/>
      <c r="G3012" s="14"/>
      <c r="H3012" s="14"/>
      <c r="I3012" s="14"/>
      <c r="J3012" s="14"/>
      <c r="K3012" s="14"/>
      <c r="L3012" s="14"/>
      <c r="M3012" s="14"/>
      <c r="N3012" s="14"/>
      <c r="O3012" s="14"/>
      <c r="P3012" s="14"/>
      <c r="Q3012" s="14"/>
      <c r="R3012" s="14"/>
      <c r="S3012" s="14"/>
      <c r="T3012" s="14"/>
    </row>
    <row r="3013" spans="1:20" x14ac:dyDescent="0.35">
      <c r="A3013" s="21"/>
      <c r="B3013" s="17"/>
      <c r="C3013" s="13"/>
      <c r="D3013" s="13"/>
      <c r="E3013" s="13"/>
      <c r="F3013" s="14"/>
      <c r="G3013" s="14"/>
      <c r="H3013" s="14"/>
      <c r="I3013" s="14"/>
      <c r="J3013" s="14"/>
      <c r="K3013" s="14"/>
      <c r="L3013" s="14"/>
      <c r="M3013" s="14"/>
      <c r="N3013" s="14"/>
      <c r="O3013" s="14"/>
      <c r="P3013" s="14"/>
      <c r="Q3013" s="14"/>
      <c r="R3013" s="14"/>
      <c r="S3013" s="14"/>
      <c r="T3013" s="14"/>
    </row>
    <row r="3014" spans="1:20" x14ac:dyDescent="0.35">
      <c r="A3014" s="21"/>
      <c r="B3014" s="17"/>
      <c r="C3014" s="13"/>
      <c r="D3014" s="13"/>
      <c r="E3014" s="13"/>
      <c r="F3014" s="14"/>
      <c r="G3014" s="14"/>
      <c r="H3014" s="14"/>
      <c r="I3014" s="14"/>
      <c r="J3014" s="14"/>
      <c r="K3014" s="14"/>
      <c r="L3014" s="14"/>
      <c r="M3014" s="14"/>
      <c r="N3014" s="14"/>
      <c r="O3014" s="14"/>
      <c r="P3014" s="14"/>
      <c r="Q3014" s="14"/>
      <c r="R3014" s="14"/>
      <c r="S3014" s="14"/>
      <c r="T3014" s="14"/>
    </row>
    <row r="3015" spans="1:20" x14ac:dyDescent="0.35">
      <c r="A3015" s="21"/>
      <c r="B3015" s="17"/>
      <c r="C3015" s="13"/>
      <c r="D3015" s="13"/>
      <c r="E3015" s="13"/>
      <c r="F3015" s="14"/>
      <c r="G3015" s="14"/>
      <c r="H3015" s="14"/>
      <c r="I3015" s="14"/>
      <c r="J3015" s="14"/>
      <c r="K3015" s="14"/>
      <c r="L3015" s="14"/>
      <c r="M3015" s="14"/>
      <c r="N3015" s="14"/>
      <c r="O3015" s="14"/>
      <c r="P3015" s="14"/>
      <c r="Q3015" s="14"/>
      <c r="R3015" s="14"/>
      <c r="S3015" s="14"/>
      <c r="T3015" s="14"/>
    </row>
    <row r="3016" spans="1:20" x14ac:dyDescent="0.35">
      <c r="A3016" s="21"/>
      <c r="B3016" s="17"/>
      <c r="C3016" s="13"/>
      <c r="D3016" s="13"/>
      <c r="E3016" s="13"/>
      <c r="F3016" s="14"/>
      <c r="G3016" s="14"/>
      <c r="H3016" s="14"/>
      <c r="I3016" s="14"/>
      <c r="J3016" s="14"/>
      <c r="K3016" s="14"/>
      <c r="L3016" s="14"/>
      <c r="M3016" s="14"/>
      <c r="N3016" s="14"/>
      <c r="O3016" s="14"/>
      <c r="P3016" s="14"/>
      <c r="Q3016" s="14"/>
      <c r="R3016" s="14"/>
      <c r="S3016" s="14"/>
      <c r="T3016" s="14"/>
    </row>
    <row r="3017" spans="1:20" x14ac:dyDescent="0.35">
      <c r="A3017" s="21"/>
      <c r="B3017" s="17"/>
      <c r="C3017" s="13"/>
      <c r="D3017" s="13"/>
      <c r="E3017" s="13"/>
      <c r="F3017" s="14"/>
      <c r="G3017" s="14"/>
      <c r="H3017" s="14"/>
      <c r="I3017" s="14"/>
      <c r="J3017" s="14"/>
      <c r="K3017" s="14"/>
      <c r="L3017" s="14"/>
      <c r="M3017" s="14"/>
      <c r="N3017" s="14"/>
      <c r="O3017" s="14"/>
      <c r="P3017" s="14"/>
      <c r="Q3017" s="14"/>
      <c r="R3017" s="14"/>
      <c r="S3017" s="14"/>
      <c r="T3017" s="14"/>
    </row>
    <row r="3018" spans="1:20" x14ac:dyDescent="0.35">
      <c r="A3018" s="21"/>
      <c r="B3018" s="17"/>
      <c r="C3018" s="13"/>
      <c r="D3018" s="13"/>
      <c r="E3018" s="13"/>
      <c r="F3018" s="14"/>
      <c r="G3018" s="14"/>
      <c r="H3018" s="14"/>
      <c r="I3018" s="14"/>
      <c r="J3018" s="14"/>
      <c r="K3018" s="14"/>
      <c r="L3018" s="14"/>
      <c r="M3018" s="14"/>
      <c r="N3018" s="14"/>
      <c r="O3018" s="14"/>
      <c r="P3018" s="14"/>
      <c r="Q3018" s="14"/>
      <c r="R3018" s="14"/>
      <c r="S3018" s="14"/>
      <c r="T3018" s="14"/>
    </row>
    <row r="3019" spans="1:20" x14ac:dyDescent="0.35">
      <c r="A3019" s="21"/>
      <c r="B3019" s="17"/>
      <c r="C3019" s="13"/>
      <c r="D3019" s="13"/>
      <c r="E3019" s="13"/>
      <c r="F3019" s="14"/>
      <c r="G3019" s="14"/>
      <c r="H3019" s="14"/>
      <c r="I3019" s="14"/>
      <c r="J3019" s="14"/>
      <c r="K3019" s="14"/>
      <c r="L3019" s="14"/>
      <c r="M3019" s="14"/>
      <c r="N3019" s="14"/>
      <c r="O3019" s="14"/>
      <c r="P3019" s="14"/>
      <c r="Q3019" s="14"/>
      <c r="R3019" s="14"/>
      <c r="S3019" s="14"/>
      <c r="T3019" s="14"/>
    </row>
    <row r="3020" spans="1:20" x14ac:dyDescent="0.35">
      <c r="A3020" s="21"/>
      <c r="B3020" s="17"/>
      <c r="C3020" s="18"/>
      <c r="D3020" s="19"/>
      <c r="E3020" s="19"/>
      <c r="F3020" s="22"/>
      <c r="G3020" s="22"/>
      <c r="H3020" s="22"/>
      <c r="I3020" s="22"/>
      <c r="J3020" s="22"/>
      <c r="K3020" s="22"/>
      <c r="L3020" s="22"/>
      <c r="M3020" s="22"/>
      <c r="N3020" s="22"/>
      <c r="O3020" s="22"/>
      <c r="P3020" s="22"/>
      <c r="Q3020" s="22"/>
      <c r="R3020" s="22"/>
      <c r="S3020" s="22"/>
      <c r="T3020" s="22"/>
    </row>
    <row r="3021" spans="1:20" x14ac:dyDescent="0.35">
      <c r="A3021" s="21"/>
      <c r="B3021" s="17"/>
      <c r="C3021" s="18"/>
      <c r="D3021" s="19"/>
      <c r="E3021" s="19"/>
      <c r="F3021" s="22"/>
      <c r="G3021" s="22"/>
      <c r="H3021" s="22"/>
      <c r="I3021" s="22"/>
      <c r="J3021" s="22"/>
      <c r="K3021" s="22"/>
      <c r="L3021" s="22"/>
      <c r="M3021" s="22"/>
      <c r="N3021" s="22"/>
      <c r="O3021" s="22"/>
      <c r="P3021" s="22"/>
      <c r="Q3021" s="22"/>
      <c r="R3021" s="22"/>
      <c r="S3021" s="22"/>
      <c r="T3021" s="22"/>
    </row>
    <row r="3022" spans="1:20" x14ac:dyDescent="0.35">
      <c r="A3022" s="21"/>
      <c r="B3022" s="17"/>
      <c r="C3022" s="18"/>
      <c r="D3022" s="19"/>
      <c r="E3022" s="19"/>
      <c r="F3022" s="22"/>
      <c r="G3022" s="22"/>
      <c r="H3022" s="22"/>
      <c r="I3022" s="22"/>
      <c r="J3022" s="22"/>
      <c r="K3022" s="22"/>
      <c r="L3022" s="22"/>
      <c r="M3022" s="22"/>
      <c r="N3022" s="22"/>
      <c r="O3022" s="22"/>
      <c r="P3022" s="22"/>
      <c r="Q3022" s="22"/>
      <c r="R3022" s="22"/>
      <c r="S3022" s="22"/>
      <c r="T3022" s="22"/>
    </row>
    <row r="3023" spans="1:20" x14ac:dyDescent="0.35">
      <c r="A3023" s="21"/>
      <c r="B3023" s="17"/>
      <c r="C3023" s="18"/>
      <c r="D3023" s="19"/>
      <c r="E3023" s="19"/>
      <c r="F3023" s="22"/>
      <c r="G3023" s="22"/>
      <c r="H3023" s="22"/>
      <c r="I3023" s="22"/>
      <c r="J3023" s="22"/>
      <c r="K3023" s="22"/>
      <c r="L3023" s="22"/>
      <c r="M3023" s="22"/>
      <c r="N3023" s="22"/>
      <c r="O3023" s="22"/>
      <c r="P3023" s="22"/>
      <c r="Q3023" s="22"/>
      <c r="R3023" s="22"/>
      <c r="S3023" s="22"/>
      <c r="T3023" s="22"/>
    </row>
    <row r="3024" spans="1:20" x14ac:dyDescent="0.35">
      <c r="A3024" s="21"/>
      <c r="B3024" s="17"/>
      <c r="C3024" s="18"/>
      <c r="D3024" s="19"/>
      <c r="E3024" s="19"/>
      <c r="F3024" s="22"/>
      <c r="G3024" s="22"/>
      <c r="H3024" s="22"/>
      <c r="I3024" s="22"/>
      <c r="J3024" s="22"/>
      <c r="K3024" s="22"/>
      <c r="L3024" s="22"/>
      <c r="M3024" s="22"/>
      <c r="N3024" s="22"/>
      <c r="O3024" s="22"/>
      <c r="P3024" s="22"/>
      <c r="Q3024" s="22"/>
      <c r="R3024" s="22"/>
      <c r="S3024" s="22"/>
      <c r="T3024" s="22"/>
    </row>
    <row r="3025" spans="1:20" x14ac:dyDescent="0.35">
      <c r="A3025" s="21"/>
      <c r="B3025" s="17"/>
      <c r="C3025" s="18"/>
      <c r="D3025" s="19"/>
      <c r="E3025" s="19"/>
      <c r="F3025" s="22"/>
      <c r="G3025" s="22"/>
      <c r="H3025" s="22"/>
      <c r="I3025" s="22"/>
      <c r="J3025" s="22"/>
      <c r="K3025" s="22"/>
      <c r="L3025" s="22"/>
      <c r="M3025" s="22"/>
      <c r="N3025" s="22"/>
      <c r="O3025" s="22"/>
      <c r="P3025" s="22"/>
      <c r="Q3025" s="22"/>
      <c r="R3025" s="22"/>
      <c r="S3025" s="22"/>
      <c r="T3025" s="22"/>
    </row>
    <row r="3026" spans="1:20" x14ac:dyDescent="0.35">
      <c r="A3026" s="21"/>
      <c r="B3026" s="17"/>
      <c r="C3026" s="18"/>
      <c r="D3026" s="19"/>
      <c r="E3026" s="19"/>
      <c r="F3026" s="22"/>
      <c r="G3026" s="22"/>
      <c r="H3026" s="22"/>
      <c r="I3026" s="22"/>
      <c r="J3026" s="22"/>
      <c r="K3026" s="22"/>
      <c r="L3026" s="22"/>
      <c r="M3026" s="22"/>
      <c r="N3026" s="22"/>
      <c r="O3026" s="22"/>
      <c r="P3026" s="22"/>
      <c r="Q3026" s="22"/>
      <c r="R3026" s="22"/>
      <c r="S3026" s="22"/>
      <c r="T3026" s="22"/>
    </row>
    <row r="3027" spans="1:20" x14ac:dyDescent="0.35">
      <c r="A3027" s="21"/>
      <c r="B3027" s="17"/>
      <c r="C3027" s="18"/>
      <c r="D3027" s="19"/>
      <c r="E3027" s="19"/>
      <c r="F3027" s="22"/>
      <c r="G3027" s="22"/>
      <c r="H3027" s="22"/>
      <c r="I3027" s="22"/>
      <c r="J3027" s="22"/>
      <c r="K3027" s="22"/>
      <c r="L3027" s="22"/>
      <c r="M3027" s="22"/>
      <c r="N3027" s="22"/>
      <c r="O3027" s="22"/>
      <c r="P3027" s="22"/>
      <c r="Q3027" s="22"/>
      <c r="R3027" s="22"/>
      <c r="S3027" s="22"/>
      <c r="T3027" s="22"/>
    </row>
    <row r="3028" spans="1:20" x14ac:dyDescent="0.35">
      <c r="A3028" s="21"/>
      <c r="B3028" s="17"/>
      <c r="C3028" s="18"/>
      <c r="D3028" s="19"/>
      <c r="E3028" s="19"/>
      <c r="F3028" s="22"/>
      <c r="G3028" s="22"/>
      <c r="H3028" s="22"/>
      <c r="I3028" s="22"/>
      <c r="J3028" s="22"/>
      <c r="K3028" s="22"/>
      <c r="L3028" s="22"/>
      <c r="M3028" s="22"/>
      <c r="N3028" s="22"/>
      <c r="O3028" s="22"/>
      <c r="P3028" s="22"/>
      <c r="Q3028" s="22"/>
      <c r="R3028" s="22"/>
      <c r="S3028" s="22"/>
      <c r="T3028" s="22"/>
    </row>
    <row r="3029" spans="1:20" x14ac:dyDescent="0.35">
      <c r="A3029" s="21"/>
      <c r="B3029" s="17"/>
      <c r="C3029" s="18"/>
      <c r="D3029" s="19"/>
      <c r="E3029" s="19"/>
      <c r="F3029" s="22"/>
      <c r="G3029" s="22"/>
      <c r="H3029" s="22"/>
      <c r="I3029" s="22"/>
      <c r="J3029" s="22"/>
      <c r="K3029" s="22"/>
      <c r="L3029" s="22"/>
      <c r="M3029" s="22"/>
      <c r="N3029" s="22"/>
      <c r="O3029" s="22"/>
      <c r="P3029" s="22"/>
      <c r="Q3029" s="22"/>
      <c r="R3029" s="22"/>
      <c r="S3029" s="22"/>
      <c r="T3029" s="22"/>
    </row>
    <row r="3030" spans="1:20" x14ac:dyDescent="0.35">
      <c r="A3030" s="21"/>
      <c r="B3030" s="17"/>
      <c r="C3030" s="18"/>
      <c r="D3030" s="19"/>
      <c r="E3030" s="19"/>
      <c r="F3030" s="22"/>
      <c r="G3030" s="22"/>
      <c r="H3030" s="22"/>
      <c r="I3030" s="22"/>
      <c r="J3030" s="22"/>
      <c r="K3030" s="22"/>
      <c r="L3030" s="22"/>
      <c r="M3030" s="22"/>
      <c r="N3030" s="22"/>
      <c r="O3030" s="22"/>
      <c r="P3030" s="22"/>
      <c r="Q3030" s="22"/>
      <c r="R3030" s="22"/>
      <c r="S3030" s="22"/>
      <c r="T3030" s="22"/>
    </row>
    <row r="3031" spans="1:20" x14ac:dyDescent="0.35">
      <c r="A3031" s="21"/>
      <c r="B3031" s="17"/>
      <c r="C3031" s="18"/>
      <c r="D3031" s="19"/>
      <c r="E3031" s="19"/>
      <c r="F3031" s="22"/>
      <c r="G3031" s="22"/>
      <c r="H3031" s="22"/>
      <c r="I3031" s="22"/>
      <c r="J3031" s="22"/>
      <c r="K3031" s="22"/>
      <c r="L3031" s="22"/>
      <c r="M3031" s="22"/>
      <c r="N3031" s="22"/>
      <c r="O3031" s="22"/>
      <c r="P3031" s="22"/>
      <c r="Q3031" s="22"/>
      <c r="R3031" s="22"/>
      <c r="S3031" s="22"/>
      <c r="T3031" s="22"/>
    </row>
    <row r="3032" spans="1:20" x14ac:dyDescent="0.35">
      <c r="A3032" s="21"/>
      <c r="B3032" s="17"/>
      <c r="C3032" s="18"/>
      <c r="D3032" s="19"/>
      <c r="E3032" s="19"/>
      <c r="F3032" s="22"/>
      <c r="G3032" s="22"/>
      <c r="H3032" s="22"/>
      <c r="I3032" s="22"/>
      <c r="J3032" s="22"/>
      <c r="K3032" s="22"/>
      <c r="L3032" s="22"/>
      <c r="M3032" s="22"/>
      <c r="N3032" s="22"/>
      <c r="O3032" s="22"/>
      <c r="P3032" s="22"/>
      <c r="Q3032" s="22"/>
      <c r="R3032" s="22"/>
      <c r="S3032" s="22"/>
      <c r="T3032" s="22"/>
    </row>
    <row r="3033" spans="1:20" x14ac:dyDescent="0.35">
      <c r="A3033" s="21"/>
      <c r="B3033" s="17"/>
      <c r="C3033" s="18"/>
      <c r="D3033" s="19"/>
      <c r="E3033" s="19"/>
      <c r="F3033" s="22"/>
      <c r="G3033" s="22"/>
      <c r="H3033" s="22"/>
      <c r="I3033" s="22"/>
      <c r="J3033" s="22"/>
      <c r="K3033" s="22"/>
      <c r="L3033" s="22"/>
      <c r="M3033" s="22"/>
      <c r="N3033" s="22"/>
      <c r="O3033" s="22"/>
      <c r="P3033" s="22"/>
      <c r="Q3033" s="22"/>
      <c r="R3033" s="22"/>
      <c r="S3033" s="22"/>
      <c r="T3033" s="22"/>
    </row>
    <row r="3034" spans="1:20" x14ac:dyDescent="0.35">
      <c r="A3034" s="21"/>
      <c r="B3034" s="17"/>
      <c r="C3034" s="18"/>
      <c r="D3034" s="19"/>
      <c r="E3034" s="19"/>
      <c r="F3034" s="22"/>
      <c r="G3034" s="22"/>
      <c r="H3034" s="22"/>
      <c r="I3034" s="22"/>
      <c r="J3034" s="22"/>
      <c r="K3034" s="22"/>
      <c r="L3034" s="22"/>
      <c r="M3034" s="22"/>
      <c r="N3034" s="22"/>
      <c r="O3034" s="22"/>
      <c r="P3034" s="22"/>
      <c r="Q3034" s="22"/>
      <c r="R3034" s="22"/>
      <c r="S3034" s="22"/>
      <c r="T3034" s="22"/>
    </row>
    <row r="3035" spans="1:20" x14ac:dyDescent="0.35">
      <c r="A3035" s="21"/>
      <c r="B3035" s="17"/>
      <c r="C3035" s="18"/>
      <c r="D3035" s="19"/>
      <c r="E3035" s="19"/>
      <c r="F3035" s="22"/>
      <c r="G3035" s="22"/>
      <c r="H3035" s="22"/>
      <c r="I3035" s="22"/>
      <c r="J3035" s="22"/>
      <c r="K3035" s="22"/>
      <c r="L3035" s="22"/>
      <c r="M3035" s="22"/>
      <c r="N3035" s="22"/>
      <c r="O3035" s="22"/>
      <c r="P3035" s="22"/>
      <c r="Q3035" s="22"/>
      <c r="R3035" s="22"/>
      <c r="S3035" s="22"/>
      <c r="T3035" s="22"/>
    </row>
    <row r="3036" spans="1:20" x14ac:dyDescent="0.35">
      <c r="A3036" s="21"/>
      <c r="B3036" s="17"/>
      <c r="C3036" s="13"/>
      <c r="D3036" s="13"/>
      <c r="E3036" s="13"/>
      <c r="F3036" s="14"/>
      <c r="G3036" s="14"/>
      <c r="H3036" s="14"/>
      <c r="I3036" s="14"/>
      <c r="J3036" s="14"/>
      <c r="K3036" s="14"/>
      <c r="L3036" s="14"/>
      <c r="M3036" s="14"/>
      <c r="N3036" s="14"/>
      <c r="O3036" s="14"/>
      <c r="P3036" s="14"/>
      <c r="Q3036" s="14"/>
      <c r="R3036" s="14"/>
      <c r="S3036" s="14"/>
      <c r="T3036" s="14"/>
    </row>
    <row r="3037" spans="1:20" x14ac:dyDescent="0.35">
      <c r="A3037" s="21"/>
      <c r="B3037" s="17"/>
      <c r="C3037" s="13"/>
      <c r="D3037" s="13"/>
      <c r="E3037" s="13"/>
      <c r="F3037" s="14"/>
      <c r="G3037" s="14"/>
      <c r="H3037" s="14"/>
      <c r="I3037" s="14"/>
      <c r="J3037" s="14"/>
      <c r="K3037" s="14"/>
      <c r="L3037" s="14"/>
      <c r="M3037" s="14"/>
      <c r="N3037" s="14"/>
      <c r="O3037" s="14"/>
      <c r="P3037" s="14"/>
      <c r="Q3037" s="14"/>
      <c r="R3037" s="14"/>
      <c r="S3037" s="14"/>
      <c r="T3037" s="14"/>
    </row>
    <row r="3038" spans="1:20" x14ac:dyDescent="0.35">
      <c r="A3038" s="21"/>
      <c r="B3038" s="17"/>
      <c r="C3038" s="13"/>
      <c r="D3038" s="13"/>
      <c r="E3038" s="13"/>
      <c r="F3038" s="14"/>
      <c r="G3038" s="14"/>
      <c r="H3038" s="14"/>
      <c r="I3038" s="14"/>
      <c r="J3038" s="14"/>
      <c r="K3038" s="14"/>
      <c r="L3038" s="14"/>
      <c r="M3038" s="14"/>
      <c r="N3038" s="14"/>
      <c r="O3038" s="14"/>
      <c r="P3038" s="14"/>
      <c r="Q3038" s="14"/>
      <c r="R3038" s="14"/>
      <c r="S3038" s="14"/>
      <c r="T3038" s="14"/>
    </row>
    <row r="3039" spans="1:20" x14ac:dyDescent="0.35">
      <c r="A3039" s="21"/>
      <c r="B3039" s="17"/>
      <c r="C3039" s="13"/>
      <c r="D3039" s="13"/>
      <c r="E3039" s="13"/>
      <c r="F3039" s="14"/>
      <c r="G3039" s="14"/>
      <c r="H3039" s="14"/>
      <c r="I3039" s="14"/>
      <c r="J3039" s="14"/>
      <c r="K3039" s="14"/>
      <c r="L3039" s="14"/>
      <c r="M3039" s="14"/>
      <c r="N3039" s="14"/>
      <c r="O3039" s="14"/>
      <c r="P3039" s="14"/>
      <c r="Q3039" s="14"/>
      <c r="R3039" s="14"/>
      <c r="S3039" s="14"/>
      <c r="T3039" s="14"/>
    </row>
    <row r="3040" spans="1:20" x14ac:dyDescent="0.35">
      <c r="A3040" s="21"/>
      <c r="B3040" s="17"/>
      <c r="C3040" s="13"/>
      <c r="D3040" s="13"/>
      <c r="E3040" s="13"/>
      <c r="F3040" s="14"/>
      <c r="G3040" s="14"/>
      <c r="H3040" s="14"/>
      <c r="I3040" s="14"/>
      <c r="J3040" s="14"/>
      <c r="K3040" s="14"/>
      <c r="L3040" s="14"/>
      <c r="M3040" s="14"/>
      <c r="N3040" s="14"/>
      <c r="O3040" s="14"/>
      <c r="P3040" s="14"/>
      <c r="Q3040" s="14"/>
      <c r="R3040" s="14"/>
      <c r="S3040" s="14"/>
      <c r="T3040" s="14"/>
    </row>
    <row r="3041" spans="1:20" x14ac:dyDescent="0.35">
      <c r="A3041" s="21"/>
      <c r="B3041" s="17"/>
      <c r="C3041" s="13"/>
      <c r="D3041" s="13"/>
      <c r="E3041" s="13"/>
      <c r="F3041" s="14"/>
      <c r="G3041" s="14"/>
      <c r="H3041" s="14"/>
      <c r="I3041" s="14"/>
      <c r="J3041" s="14"/>
      <c r="K3041" s="14"/>
      <c r="L3041" s="14"/>
      <c r="M3041" s="14"/>
      <c r="N3041" s="14"/>
      <c r="O3041" s="14"/>
      <c r="P3041" s="14"/>
      <c r="Q3041" s="14"/>
      <c r="R3041" s="14"/>
      <c r="S3041" s="14"/>
      <c r="T3041" s="14"/>
    </row>
    <row r="3042" spans="1:20" x14ac:dyDescent="0.35">
      <c r="A3042" s="21"/>
      <c r="B3042" s="17"/>
      <c r="C3042" s="13"/>
      <c r="D3042" s="13"/>
      <c r="E3042" s="13"/>
      <c r="F3042" s="14"/>
      <c r="G3042" s="14"/>
      <c r="H3042" s="14"/>
      <c r="I3042" s="14"/>
      <c r="J3042" s="14"/>
      <c r="K3042" s="14"/>
      <c r="L3042" s="14"/>
      <c r="M3042" s="14"/>
      <c r="N3042" s="14"/>
      <c r="O3042" s="14"/>
      <c r="P3042" s="14"/>
      <c r="Q3042" s="14"/>
      <c r="R3042" s="14"/>
      <c r="S3042" s="14"/>
      <c r="T3042" s="14"/>
    </row>
    <row r="3043" spans="1:20" x14ac:dyDescent="0.35">
      <c r="A3043" s="21"/>
      <c r="B3043" s="17"/>
      <c r="F3043" s="14"/>
      <c r="G3043" s="14"/>
      <c r="H3043" s="14"/>
      <c r="I3043" s="14"/>
      <c r="J3043" s="14"/>
      <c r="K3043" s="14"/>
      <c r="L3043" s="14"/>
      <c r="M3043" s="14"/>
      <c r="N3043" s="14"/>
      <c r="O3043" s="14"/>
      <c r="P3043" s="14"/>
      <c r="Q3043" s="14"/>
      <c r="R3043" s="14"/>
      <c r="S3043" s="14"/>
      <c r="T3043" s="14"/>
    </row>
    <row r="3044" spans="1:20" x14ac:dyDescent="0.35">
      <c r="A3044" s="21"/>
      <c r="B3044" s="17"/>
      <c r="F3044" s="14"/>
      <c r="G3044" s="14"/>
      <c r="H3044" s="14"/>
      <c r="I3044" s="14"/>
      <c r="J3044" s="14"/>
      <c r="K3044" s="14"/>
      <c r="L3044" s="14"/>
      <c r="M3044" s="14"/>
      <c r="N3044" s="14"/>
      <c r="O3044" s="14"/>
      <c r="P3044" s="14"/>
      <c r="Q3044" s="14"/>
      <c r="R3044" s="14"/>
      <c r="S3044" s="14"/>
      <c r="T3044" s="14"/>
    </row>
    <row r="3045" spans="1:20" x14ac:dyDescent="0.35">
      <c r="A3045" s="21"/>
      <c r="B3045" s="17"/>
      <c r="F3045" s="14"/>
      <c r="G3045" s="14"/>
      <c r="H3045" s="14"/>
      <c r="I3045" s="14"/>
      <c r="J3045" s="14"/>
      <c r="K3045" s="14"/>
      <c r="L3045" s="14"/>
      <c r="M3045" s="14"/>
      <c r="N3045" s="14"/>
      <c r="O3045" s="14"/>
      <c r="P3045" s="14"/>
      <c r="Q3045" s="14"/>
      <c r="R3045" s="14"/>
      <c r="S3045" s="14"/>
      <c r="T3045" s="14"/>
    </row>
    <row r="3046" spans="1:20" x14ac:dyDescent="0.35">
      <c r="B3046" s="17"/>
      <c r="C3046" s="18"/>
      <c r="D3046" s="19"/>
      <c r="E3046" s="19"/>
      <c r="F3046" s="22"/>
      <c r="G3046" s="22"/>
      <c r="H3046" s="22"/>
      <c r="I3046" s="22"/>
      <c r="J3046" s="22"/>
      <c r="K3046" s="22"/>
      <c r="L3046" s="22"/>
      <c r="M3046" s="22"/>
      <c r="N3046" s="22"/>
      <c r="O3046" s="22"/>
      <c r="P3046" s="22"/>
      <c r="Q3046" s="22"/>
      <c r="R3046" s="22"/>
      <c r="S3046" s="22"/>
      <c r="T3046" s="22"/>
    </row>
    <row r="3047" spans="1:20" x14ac:dyDescent="0.35">
      <c r="B3047" s="17"/>
      <c r="C3047" s="18"/>
      <c r="D3047" s="19"/>
      <c r="E3047" s="19"/>
      <c r="F3047" s="22"/>
      <c r="G3047" s="22"/>
      <c r="H3047" s="22"/>
      <c r="I3047" s="22"/>
      <c r="J3047" s="22"/>
      <c r="K3047" s="22"/>
      <c r="L3047" s="22"/>
      <c r="M3047" s="22"/>
      <c r="N3047" s="22"/>
      <c r="O3047" s="22"/>
      <c r="P3047" s="22"/>
      <c r="Q3047" s="22"/>
      <c r="R3047" s="22"/>
      <c r="S3047" s="22"/>
      <c r="T3047" s="22"/>
    </row>
    <row r="3048" spans="1:20" x14ac:dyDescent="0.35">
      <c r="B3048" s="17"/>
      <c r="C3048" s="18"/>
      <c r="D3048" s="19"/>
      <c r="E3048" s="19"/>
      <c r="F3048" s="22"/>
      <c r="G3048" s="22"/>
      <c r="H3048" s="22"/>
      <c r="I3048" s="22"/>
      <c r="J3048" s="22"/>
      <c r="K3048" s="22"/>
      <c r="L3048" s="22"/>
      <c r="M3048" s="22"/>
      <c r="N3048" s="22"/>
      <c r="O3048" s="22"/>
      <c r="P3048" s="22"/>
      <c r="Q3048" s="22"/>
      <c r="R3048" s="22"/>
      <c r="S3048" s="22"/>
      <c r="T3048" s="22"/>
    </row>
    <row r="3049" spans="1:20" x14ac:dyDescent="0.35">
      <c r="B3049" s="17"/>
      <c r="C3049" s="18"/>
      <c r="D3049" s="19"/>
      <c r="E3049" s="19"/>
      <c r="F3049" s="22"/>
      <c r="G3049" s="22"/>
      <c r="H3049" s="22"/>
      <c r="I3049" s="22"/>
      <c r="J3049" s="22"/>
      <c r="K3049" s="22"/>
      <c r="L3049" s="22"/>
      <c r="M3049" s="22"/>
      <c r="N3049" s="22"/>
      <c r="O3049" s="22"/>
      <c r="P3049" s="22"/>
      <c r="Q3049" s="22"/>
      <c r="R3049" s="22"/>
      <c r="S3049" s="22"/>
      <c r="T3049" s="22"/>
    </row>
    <row r="3050" spans="1:20" x14ac:dyDescent="0.35">
      <c r="B3050" s="17"/>
      <c r="C3050" s="18"/>
      <c r="D3050" s="19"/>
      <c r="E3050" s="19"/>
      <c r="F3050" s="22"/>
      <c r="G3050" s="22"/>
      <c r="H3050" s="22"/>
      <c r="I3050" s="22"/>
      <c r="J3050" s="22"/>
      <c r="K3050" s="22"/>
      <c r="L3050" s="22"/>
      <c r="M3050" s="22"/>
      <c r="N3050" s="22"/>
      <c r="O3050" s="22"/>
      <c r="P3050" s="22"/>
      <c r="Q3050" s="22"/>
      <c r="R3050" s="22"/>
      <c r="S3050" s="22"/>
      <c r="T3050" s="22"/>
    </row>
    <row r="3051" spans="1:20" x14ac:dyDescent="0.35">
      <c r="B3051" s="17"/>
      <c r="C3051" s="20"/>
      <c r="D3051" s="19"/>
      <c r="E3051" s="19"/>
      <c r="F3051" s="22"/>
      <c r="G3051" s="22"/>
      <c r="H3051" s="22"/>
      <c r="I3051" s="22"/>
      <c r="J3051" s="22"/>
      <c r="K3051" s="22"/>
      <c r="L3051" s="22"/>
      <c r="M3051" s="22"/>
      <c r="N3051" s="22"/>
      <c r="O3051" s="22"/>
      <c r="P3051" s="22"/>
      <c r="Q3051" s="22"/>
      <c r="R3051" s="22"/>
      <c r="S3051" s="22"/>
      <c r="T3051" s="22"/>
    </row>
    <row r="3052" spans="1:20" x14ac:dyDescent="0.35">
      <c r="B3052" s="17"/>
      <c r="C3052" s="20"/>
      <c r="D3052" s="19"/>
      <c r="E3052" s="19"/>
      <c r="F3052" s="22"/>
      <c r="G3052" s="22"/>
      <c r="H3052" s="22"/>
      <c r="I3052" s="22"/>
      <c r="J3052" s="22"/>
      <c r="K3052" s="22"/>
      <c r="L3052" s="22"/>
      <c r="M3052" s="22"/>
      <c r="N3052" s="22"/>
      <c r="O3052" s="22"/>
      <c r="P3052" s="22"/>
      <c r="Q3052" s="22"/>
      <c r="R3052" s="22"/>
      <c r="S3052" s="22"/>
      <c r="T3052" s="22"/>
    </row>
    <row r="3053" spans="1:20" x14ac:dyDescent="0.35">
      <c r="B3053" s="17"/>
      <c r="C3053" s="20"/>
      <c r="D3053" s="19"/>
      <c r="E3053" s="19"/>
      <c r="F3053" s="22"/>
      <c r="G3053" s="22"/>
      <c r="H3053" s="22"/>
      <c r="I3053" s="22"/>
      <c r="J3053" s="22"/>
      <c r="K3053" s="22"/>
      <c r="L3053" s="22"/>
      <c r="M3053" s="22"/>
      <c r="N3053" s="22"/>
      <c r="O3053" s="22"/>
      <c r="P3053" s="22"/>
      <c r="Q3053" s="22"/>
      <c r="R3053" s="22"/>
      <c r="S3053" s="22"/>
      <c r="T3053" s="22"/>
    </row>
    <row r="3054" spans="1:20" x14ac:dyDescent="0.35">
      <c r="B3054" s="17"/>
      <c r="C3054" s="20"/>
      <c r="D3054" s="19"/>
      <c r="E3054" s="19"/>
      <c r="F3054" s="22"/>
      <c r="G3054" s="22"/>
      <c r="H3054" s="22"/>
      <c r="I3054" s="22"/>
      <c r="J3054" s="22"/>
      <c r="K3054" s="22"/>
      <c r="L3054" s="22"/>
      <c r="M3054" s="22"/>
      <c r="N3054" s="22"/>
      <c r="O3054" s="22"/>
      <c r="P3054" s="22"/>
      <c r="Q3054" s="22"/>
      <c r="R3054" s="22"/>
      <c r="S3054" s="22"/>
      <c r="T3054" s="22"/>
    </row>
    <row r="3055" spans="1:20" x14ac:dyDescent="0.35">
      <c r="B3055" s="17"/>
      <c r="C3055" s="13"/>
      <c r="D3055" s="13"/>
      <c r="E3055" s="13"/>
      <c r="F3055" s="14"/>
      <c r="G3055" s="14"/>
      <c r="H3055" s="14"/>
      <c r="I3055" s="14"/>
      <c r="J3055" s="14"/>
      <c r="K3055" s="14"/>
      <c r="L3055" s="14"/>
      <c r="M3055" s="14"/>
      <c r="N3055" s="14"/>
      <c r="O3055" s="14"/>
      <c r="P3055" s="14"/>
      <c r="Q3055" s="14"/>
      <c r="R3055" s="14"/>
      <c r="S3055" s="14"/>
      <c r="T3055" s="14"/>
    </row>
    <row r="3056" spans="1:20" x14ac:dyDescent="0.35">
      <c r="B3056" s="17"/>
      <c r="C3056" s="13"/>
      <c r="D3056" s="13"/>
      <c r="E3056" s="13"/>
      <c r="F3056" s="14"/>
      <c r="G3056" s="14"/>
      <c r="H3056" s="14"/>
      <c r="I3056" s="14"/>
      <c r="J3056" s="14"/>
      <c r="K3056" s="14"/>
      <c r="L3056" s="14"/>
      <c r="M3056" s="14"/>
      <c r="N3056" s="14"/>
      <c r="O3056" s="14"/>
      <c r="P3056" s="14"/>
      <c r="Q3056" s="14"/>
      <c r="R3056" s="14"/>
      <c r="S3056" s="14"/>
      <c r="T3056" s="14"/>
    </row>
    <row r="3057" spans="2:20" x14ac:dyDescent="0.35">
      <c r="B3057" s="17"/>
      <c r="C3057" s="13"/>
      <c r="D3057" s="13"/>
      <c r="E3057" s="13"/>
      <c r="F3057" s="14"/>
      <c r="G3057" s="14"/>
      <c r="H3057" s="14"/>
      <c r="I3057" s="14"/>
      <c r="J3057" s="14"/>
      <c r="K3057" s="14"/>
      <c r="L3057" s="14"/>
      <c r="M3057" s="14"/>
      <c r="N3057" s="14"/>
      <c r="O3057" s="14"/>
      <c r="P3057" s="14"/>
      <c r="Q3057" s="14"/>
      <c r="R3057" s="14"/>
      <c r="S3057" s="14"/>
      <c r="T3057" s="14"/>
    </row>
    <row r="3058" spans="2:20" x14ac:dyDescent="0.35">
      <c r="B3058" s="17"/>
      <c r="C3058" s="13"/>
      <c r="D3058" s="13"/>
      <c r="E3058" s="13"/>
      <c r="F3058" s="14"/>
      <c r="G3058" s="14"/>
      <c r="H3058" s="14"/>
      <c r="I3058" s="14"/>
      <c r="J3058" s="14"/>
      <c r="K3058" s="14"/>
      <c r="L3058" s="14"/>
      <c r="M3058" s="14"/>
      <c r="N3058" s="14"/>
      <c r="O3058" s="14"/>
      <c r="P3058" s="14"/>
      <c r="Q3058" s="14"/>
      <c r="R3058" s="14"/>
      <c r="S3058" s="14"/>
      <c r="T3058" s="14"/>
    </row>
    <row r="3059" spans="2:20" x14ac:dyDescent="0.35">
      <c r="B3059" s="17"/>
      <c r="C3059" s="13"/>
      <c r="D3059" s="13"/>
      <c r="E3059" s="13"/>
      <c r="F3059" s="14"/>
      <c r="G3059" s="14"/>
      <c r="H3059" s="14"/>
      <c r="I3059" s="14"/>
      <c r="J3059" s="14"/>
      <c r="K3059" s="14"/>
      <c r="L3059" s="14"/>
      <c r="M3059" s="14"/>
      <c r="N3059" s="14"/>
      <c r="O3059" s="14"/>
      <c r="P3059" s="14"/>
      <c r="Q3059" s="14"/>
      <c r="R3059" s="14"/>
      <c r="S3059" s="14"/>
      <c r="T3059" s="14"/>
    </row>
    <row r="3060" spans="2:20" x14ac:dyDescent="0.35">
      <c r="B3060" s="17"/>
      <c r="C3060" s="13"/>
      <c r="D3060" s="13"/>
      <c r="E3060" s="13"/>
      <c r="F3060" s="14"/>
      <c r="G3060" s="14"/>
      <c r="H3060" s="14"/>
      <c r="I3060" s="14"/>
      <c r="J3060" s="14"/>
      <c r="K3060" s="14"/>
      <c r="L3060" s="14"/>
      <c r="M3060" s="14"/>
      <c r="N3060" s="14"/>
      <c r="O3060" s="14"/>
      <c r="P3060" s="14"/>
      <c r="Q3060" s="14"/>
      <c r="R3060" s="14"/>
      <c r="S3060" s="14"/>
      <c r="T3060" s="14"/>
    </row>
    <row r="3061" spans="2:20" x14ac:dyDescent="0.35">
      <c r="B3061" s="17"/>
      <c r="C3061" s="13"/>
      <c r="D3061" s="13"/>
      <c r="E3061" s="13"/>
      <c r="F3061" s="14"/>
      <c r="G3061" s="14"/>
      <c r="H3061" s="14"/>
      <c r="I3061" s="14"/>
      <c r="J3061" s="14"/>
      <c r="K3061" s="14"/>
      <c r="L3061" s="14"/>
      <c r="M3061" s="14"/>
      <c r="N3061" s="14"/>
      <c r="O3061" s="14"/>
      <c r="P3061" s="14"/>
      <c r="Q3061" s="14"/>
      <c r="R3061" s="14"/>
      <c r="S3061" s="14"/>
      <c r="T3061" s="14"/>
    </row>
    <row r="3062" spans="2:20" x14ac:dyDescent="0.35">
      <c r="B3062" s="17"/>
      <c r="C3062" s="13"/>
      <c r="D3062" s="13"/>
      <c r="E3062" s="13"/>
      <c r="F3062" s="14"/>
      <c r="G3062" s="14"/>
      <c r="H3062" s="14"/>
      <c r="I3062" s="14"/>
      <c r="J3062" s="14"/>
      <c r="K3062" s="14"/>
      <c r="L3062" s="14"/>
      <c r="M3062" s="14"/>
      <c r="N3062" s="14"/>
      <c r="O3062" s="14"/>
      <c r="P3062" s="14"/>
      <c r="Q3062" s="14"/>
      <c r="R3062" s="14"/>
      <c r="S3062" s="14"/>
      <c r="T3062" s="14"/>
    </row>
    <row r="3063" spans="2:20" x14ac:dyDescent="0.35">
      <c r="B3063" s="17"/>
      <c r="C3063" s="13"/>
      <c r="D3063" s="13"/>
      <c r="E3063" s="13"/>
      <c r="F3063" s="14"/>
      <c r="G3063" s="14"/>
      <c r="H3063" s="14"/>
      <c r="I3063" s="14"/>
      <c r="J3063" s="14"/>
      <c r="K3063" s="14"/>
      <c r="L3063" s="14"/>
      <c r="M3063" s="14"/>
      <c r="N3063" s="14"/>
      <c r="O3063" s="14"/>
      <c r="P3063" s="14"/>
      <c r="Q3063" s="14"/>
      <c r="R3063" s="14"/>
      <c r="S3063" s="14"/>
      <c r="T3063" s="14"/>
    </row>
    <row r="3064" spans="2:20" x14ac:dyDescent="0.35">
      <c r="B3064" s="17"/>
      <c r="C3064" s="13"/>
      <c r="D3064" s="13"/>
      <c r="E3064" s="13"/>
      <c r="F3064" s="14"/>
      <c r="G3064" s="14"/>
      <c r="H3064" s="14"/>
      <c r="I3064" s="14"/>
      <c r="J3064" s="14"/>
      <c r="K3064" s="14"/>
      <c r="L3064" s="14"/>
      <c r="M3064" s="14"/>
      <c r="N3064" s="14"/>
      <c r="O3064" s="14"/>
      <c r="P3064" s="14"/>
      <c r="Q3064" s="14"/>
      <c r="R3064" s="14"/>
      <c r="S3064" s="14"/>
      <c r="T3064" s="14"/>
    </row>
    <row r="3065" spans="2:20" x14ac:dyDescent="0.35">
      <c r="B3065" s="17"/>
      <c r="C3065" s="13"/>
      <c r="D3065" s="13"/>
      <c r="E3065" s="13"/>
      <c r="F3065" s="14"/>
      <c r="G3065" s="14"/>
      <c r="H3065" s="14"/>
      <c r="I3065" s="14"/>
      <c r="J3065" s="14"/>
      <c r="K3065" s="14"/>
      <c r="L3065" s="14"/>
      <c r="M3065" s="14"/>
      <c r="N3065" s="14"/>
      <c r="O3065" s="14"/>
      <c r="P3065" s="14"/>
      <c r="Q3065" s="14"/>
      <c r="R3065" s="14"/>
      <c r="S3065" s="14"/>
      <c r="T3065" s="14"/>
    </row>
    <row r="3066" spans="2:20" x14ac:dyDescent="0.35">
      <c r="B3066" s="17"/>
      <c r="C3066" s="13"/>
      <c r="D3066" s="13"/>
      <c r="E3066" s="13"/>
      <c r="F3066" s="14"/>
      <c r="G3066" s="14"/>
      <c r="H3066" s="14"/>
      <c r="I3066" s="14"/>
      <c r="J3066" s="14"/>
      <c r="K3066" s="14"/>
      <c r="L3066" s="14"/>
      <c r="M3066" s="14"/>
      <c r="N3066" s="14"/>
      <c r="O3066" s="14"/>
      <c r="P3066" s="14"/>
      <c r="Q3066" s="14"/>
      <c r="R3066" s="14"/>
      <c r="S3066" s="14"/>
      <c r="T3066" s="14"/>
    </row>
    <row r="3067" spans="2:20" x14ac:dyDescent="0.35">
      <c r="B3067" s="17"/>
      <c r="C3067" s="13"/>
      <c r="D3067" s="13"/>
      <c r="E3067" s="13"/>
      <c r="F3067" s="14"/>
      <c r="G3067" s="14"/>
      <c r="H3067" s="14"/>
      <c r="I3067" s="14"/>
      <c r="J3067" s="14"/>
      <c r="K3067" s="14"/>
      <c r="L3067" s="14"/>
      <c r="M3067" s="14"/>
      <c r="N3067" s="14"/>
      <c r="O3067" s="14"/>
      <c r="P3067" s="14"/>
      <c r="Q3067" s="14"/>
      <c r="R3067" s="14"/>
      <c r="S3067" s="14"/>
      <c r="T3067" s="14"/>
    </row>
    <row r="3068" spans="2:20" x14ac:dyDescent="0.35">
      <c r="B3068" s="17"/>
      <c r="C3068" s="13"/>
      <c r="D3068" s="13"/>
      <c r="E3068" s="13"/>
      <c r="F3068" s="14"/>
      <c r="G3068" s="14"/>
      <c r="H3068" s="14"/>
      <c r="I3068" s="14"/>
      <c r="J3068" s="14"/>
      <c r="K3068" s="14"/>
      <c r="L3068" s="14"/>
      <c r="M3068" s="14"/>
      <c r="N3068" s="14"/>
      <c r="O3068" s="14"/>
      <c r="P3068" s="14"/>
      <c r="Q3068" s="14"/>
      <c r="R3068" s="14"/>
      <c r="S3068" s="14"/>
      <c r="T3068" s="14"/>
    </row>
    <row r="3069" spans="2:20" x14ac:dyDescent="0.35">
      <c r="B3069" s="17"/>
      <c r="C3069" s="13"/>
      <c r="D3069" s="13"/>
      <c r="E3069" s="13"/>
      <c r="F3069" s="14"/>
      <c r="G3069" s="14"/>
      <c r="H3069" s="14"/>
      <c r="I3069" s="14"/>
      <c r="J3069" s="14"/>
      <c r="K3069" s="14"/>
      <c r="L3069" s="14"/>
      <c r="M3069" s="14"/>
      <c r="N3069" s="14"/>
      <c r="O3069" s="14"/>
      <c r="P3069" s="14"/>
      <c r="Q3069" s="14"/>
      <c r="R3069" s="14"/>
      <c r="S3069" s="14"/>
      <c r="T3069" s="14"/>
    </row>
    <row r="3070" spans="2:20" x14ac:dyDescent="0.35">
      <c r="B3070" s="17"/>
      <c r="C3070" s="18"/>
      <c r="D3070" s="19"/>
      <c r="E3070" s="19"/>
      <c r="F3070" s="22"/>
      <c r="G3070" s="22"/>
      <c r="H3070" s="22"/>
      <c r="I3070" s="22"/>
      <c r="J3070" s="22"/>
      <c r="K3070" s="22"/>
      <c r="L3070" s="22"/>
      <c r="M3070" s="22"/>
      <c r="N3070" s="22"/>
      <c r="O3070" s="22"/>
      <c r="P3070" s="22"/>
      <c r="Q3070" s="22"/>
      <c r="R3070" s="22"/>
      <c r="S3070" s="22"/>
      <c r="T3070" s="22"/>
    </row>
    <row r="3071" spans="2:20" x14ac:dyDescent="0.35">
      <c r="B3071" s="17"/>
      <c r="C3071" s="18"/>
      <c r="D3071" s="19"/>
      <c r="E3071" s="19"/>
      <c r="F3071" s="22"/>
      <c r="G3071" s="22"/>
      <c r="H3071" s="22"/>
      <c r="I3071" s="22"/>
      <c r="J3071" s="22"/>
      <c r="K3071" s="22"/>
      <c r="L3071" s="22"/>
      <c r="M3071" s="22"/>
      <c r="N3071" s="22"/>
      <c r="O3071" s="22"/>
      <c r="P3071" s="22"/>
      <c r="Q3071" s="22"/>
      <c r="R3071" s="22"/>
      <c r="S3071" s="22"/>
      <c r="T3071" s="22"/>
    </row>
    <row r="3072" spans="2:20" x14ac:dyDescent="0.35">
      <c r="B3072" s="17"/>
      <c r="C3072" s="18"/>
      <c r="D3072" s="19"/>
      <c r="E3072" s="19"/>
      <c r="F3072" s="22"/>
      <c r="G3072" s="22"/>
      <c r="H3072" s="22"/>
      <c r="I3072" s="22"/>
      <c r="J3072" s="22"/>
      <c r="K3072" s="22"/>
      <c r="L3072" s="22"/>
      <c r="M3072" s="22"/>
      <c r="N3072" s="22"/>
      <c r="O3072" s="22"/>
      <c r="P3072" s="22"/>
      <c r="Q3072" s="22"/>
      <c r="R3072" s="22"/>
      <c r="S3072" s="22"/>
      <c r="T3072" s="22"/>
    </row>
    <row r="3073" spans="2:20" x14ac:dyDescent="0.35">
      <c r="B3073" s="17"/>
      <c r="C3073" s="18"/>
      <c r="D3073" s="19"/>
      <c r="E3073" s="19"/>
      <c r="F3073" s="22"/>
      <c r="G3073" s="22"/>
      <c r="H3073" s="22"/>
      <c r="I3073" s="22"/>
      <c r="J3073" s="22"/>
      <c r="K3073" s="22"/>
      <c r="L3073" s="22"/>
      <c r="M3073" s="22"/>
      <c r="N3073" s="22"/>
      <c r="O3073" s="22"/>
      <c r="P3073" s="22"/>
      <c r="Q3073" s="22"/>
      <c r="R3073" s="22"/>
      <c r="S3073" s="22"/>
      <c r="T3073" s="22"/>
    </row>
    <row r="3074" spans="2:20" x14ac:dyDescent="0.35">
      <c r="B3074" s="17"/>
      <c r="C3074" s="18"/>
      <c r="D3074" s="19"/>
      <c r="E3074" s="19"/>
      <c r="F3074" s="22"/>
      <c r="G3074" s="22"/>
      <c r="H3074" s="22"/>
      <c r="I3074" s="22"/>
      <c r="J3074" s="22"/>
      <c r="K3074" s="22"/>
      <c r="L3074" s="22"/>
      <c r="M3074" s="22"/>
      <c r="N3074" s="22"/>
      <c r="O3074" s="22"/>
      <c r="P3074" s="22"/>
      <c r="Q3074" s="22"/>
      <c r="R3074" s="22"/>
      <c r="S3074" s="22"/>
      <c r="T3074" s="22"/>
    </row>
    <row r="3075" spans="2:20" x14ac:dyDescent="0.35">
      <c r="B3075" s="17"/>
      <c r="C3075" s="18"/>
      <c r="D3075" s="19"/>
      <c r="E3075" s="19"/>
      <c r="F3075" s="22"/>
      <c r="G3075" s="22"/>
      <c r="H3075" s="22"/>
      <c r="I3075" s="22"/>
      <c r="J3075" s="22"/>
      <c r="K3075" s="22"/>
      <c r="L3075" s="22"/>
      <c r="M3075" s="22"/>
      <c r="N3075" s="22"/>
      <c r="O3075" s="22"/>
      <c r="P3075" s="22"/>
      <c r="Q3075" s="22"/>
      <c r="R3075" s="22"/>
      <c r="S3075" s="22"/>
      <c r="T3075" s="22"/>
    </row>
    <row r="3076" spans="2:20" x14ac:dyDescent="0.35">
      <c r="B3076" s="17"/>
      <c r="C3076" s="18"/>
      <c r="D3076" s="19"/>
      <c r="E3076" s="19"/>
      <c r="F3076" s="22"/>
      <c r="G3076" s="22"/>
      <c r="H3076" s="22"/>
      <c r="I3076" s="22"/>
      <c r="J3076" s="22"/>
      <c r="K3076" s="22"/>
      <c r="L3076" s="22"/>
      <c r="M3076" s="22"/>
      <c r="N3076" s="22"/>
      <c r="O3076" s="22"/>
      <c r="P3076" s="22"/>
      <c r="Q3076" s="22"/>
      <c r="R3076" s="22"/>
      <c r="S3076" s="22"/>
      <c r="T3076" s="22"/>
    </row>
    <row r="3077" spans="2:20" x14ac:dyDescent="0.35">
      <c r="B3077" s="17"/>
      <c r="C3077" s="18"/>
      <c r="D3077" s="19"/>
      <c r="E3077" s="19"/>
      <c r="F3077" s="22"/>
      <c r="G3077" s="22"/>
      <c r="H3077" s="22"/>
      <c r="I3077" s="22"/>
      <c r="J3077" s="22"/>
      <c r="K3077" s="22"/>
      <c r="L3077" s="22"/>
      <c r="M3077" s="22"/>
      <c r="N3077" s="22"/>
      <c r="O3077" s="22"/>
      <c r="P3077" s="22"/>
      <c r="Q3077" s="22"/>
      <c r="R3077" s="22"/>
      <c r="S3077" s="22"/>
      <c r="T3077" s="22"/>
    </row>
    <row r="3078" spans="2:20" x14ac:dyDescent="0.35">
      <c r="B3078" s="17"/>
      <c r="C3078" s="18"/>
      <c r="D3078" s="19"/>
      <c r="E3078" s="19"/>
      <c r="F3078" s="22"/>
      <c r="G3078" s="22"/>
      <c r="H3078" s="22"/>
      <c r="I3078" s="22"/>
      <c r="J3078" s="22"/>
      <c r="K3078" s="22"/>
      <c r="L3078" s="22"/>
      <c r="M3078" s="22"/>
      <c r="N3078" s="22"/>
      <c r="O3078" s="22"/>
      <c r="P3078" s="22"/>
      <c r="Q3078" s="22"/>
      <c r="R3078" s="22"/>
      <c r="S3078" s="22"/>
      <c r="T3078" s="22"/>
    </row>
    <row r="3079" spans="2:20" x14ac:dyDescent="0.35">
      <c r="B3079" s="17"/>
      <c r="C3079" s="18"/>
      <c r="D3079" s="19"/>
      <c r="E3079" s="19"/>
      <c r="F3079" s="22"/>
      <c r="G3079" s="22"/>
      <c r="H3079" s="22"/>
      <c r="I3079" s="22"/>
      <c r="J3079" s="22"/>
      <c r="K3079" s="22"/>
      <c r="L3079" s="22"/>
      <c r="M3079" s="22"/>
      <c r="N3079" s="22"/>
      <c r="O3079" s="22"/>
      <c r="P3079" s="22"/>
      <c r="Q3079" s="22"/>
      <c r="R3079" s="22"/>
      <c r="S3079" s="22"/>
      <c r="T3079" s="22"/>
    </row>
    <row r="3080" spans="2:20" x14ac:dyDescent="0.35">
      <c r="B3080" s="17"/>
      <c r="C3080" s="18"/>
      <c r="D3080" s="19"/>
      <c r="E3080" s="19"/>
      <c r="F3080" s="22"/>
      <c r="G3080" s="22"/>
      <c r="H3080" s="22"/>
      <c r="I3080" s="22"/>
      <c r="J3080" s="22"/>
      <c r="K3080" s="22"/>
      <c r="L3080" s="22"/>
      <c r="M3080" s="22"/>
      <c r="N3080" s="22"/>
      <c r="O3080" s="22"/>
      <c r="P3080" s="22"/>
      <c r="Q3080" s="22"/>
      <c r="R3080" s="22"/>
      <c r="S3080" s="22"/>
      <c r="T3080" s="22"/>
    </row>
    <row r="3081" spans="2:20" x14ac:dyDescent="0.35">
      <c r="B3081" s="17"/>
      <c r="C3081" s="18"/>
      <c r="D3081" s="19"/>
      <c r="E3081" s="19"/>
      <c r="F3081" s="22"/>
      <c r="G3081" s="22"/>
      <c r="H3081" s="22"/>
      <c r="I3081" s="22"/>
      <c r="J3081" s="22"/>
      <c r="K3081" s="22"/>
      <c r="L3081" s="22"/>
      <c r="M3081" s="22"/>
      <c r="N3081" s="22"/>
      <c r="O3081" s="22"/>
      <c r="P3081" s="22"/>
      <c r="Q3081" s="22"/>
      <c r="R3081" s="22"/>
      <c r="S3081" s="22"/>
      <c r="T3081" s="22"/>
    </row>
    <row r="3082" spans="2:20" x14ac:dyDescent="0.35">
      <c r="B3082" s="17"/>
      <c r="C3082" s="18"/>
      <c r="D3082" s="19"/>
      <c r="E3082" s="19"/>
      <c r="F3082" s="22"/>
      <c r="G3082" s="22"/>
      <c r="H3082" s="22"/>
      <c r="I3082" s="22"/>
      <c r="J3082" s="22"/>
      <c r="K3082" s="22"/>
      <c r="L3082" s="22"/>
      <c r="M3082" s="22"/>
      <c r="N3082" s="22"/>
      <c r="O3082" s="22"/>
      <c r="P3082" s="22"/>
      <c r="Q3082" s="22"/>
      <c r="R3082" s="22"/>
      <c r="S3082" s="22"/>
      <c r="T3082" s="22"/>
    </row>
    <row r="3083" spans="2:20" x14ac:dyDescent="0.35">
      <c r="B3083" s="17"/>
      <c r="C3083" s="18"/>
      <c r="D3083" s="19"/>
      <c r="E3083" s="19"/>
      <c r="F3083" s="22"/>
      <c r="G3083" s="22"/>
      <c r="H3083" s="22"/>
      <c r="I3083" s="22"/>
      <c r="J3083" s="22"/>
      <c r="K3083" s="22"/>
      <c r="L3083" s="22"/>
      <c r="M3083" s="22"/>
      <c r="N3083" s="22"/>
      <c r="O3083" s="22"/>
      <c r="P3083" s="22"/>
      <c r="Q3083" s="22"/>
      <c r="R3083" s="22"/>
      <c r="S3083" s="22"/>
      <c r="T3083" s="22"/>
    </row>
    <row r="3084" spans="2:20" x14ac:dyDescent="0.35">
      <c r="B3084" s="17"/>
      <c r="C3084" s="18"/>
      <c r="D3084" s="19"/>
      <c r="E3084" s="19"/>
      <c r="F3084" s="22"/>
      <c r="G3084" s="22"/>
      <c r="H3084" s="22"/>
      <c r="I3084" s="22"/>
      <c r="J3084" s="22"/>
      <c r="K3084" s="22"/>
      <c r="L3084" s="22"/>
      <c r="M3084" s="22"/>
      <c r="N3084" s="22"/>
      <c r="O3084" s="22"/>
      <c r="P3084" s="22"/>
      <c r="Q3084" s="22"/>
      <c r="R3084" s="22"/>
      <c r="S3084" s="22"/>
      <c r="T3084" s="22"/>
    </row>
    <row r="3085" spans="2:20" x14ac:dyDescent="0.35">
      <c r="B3085" s="17"/>
      <c r="C3085" s="18"/>
      <c r="D3085" s="19"/>
      <c r="E3085" s="19"/>
      <c r="F3085" s="22"/>
      <c r="G3085" s="22"/>
      <c r="H3085" s="22"/>
      <c r="I3085" s="22"/>
      <c r="J3085" s="22"/>
      <c r="K3085" s="22"/>
      <c r="L3085" s="22"/>
      <c r="M3085" s="22"/>
      <c r="N3085" s="22"/>
      <c r="O3085" s="22"/>
      <c r="P3085" s="22"/>
      <c r="Q3085" s="22"/>
      <c r="R3085" s="22"/>
      <c r="S3085" s="22"/>
      <c r="T3085" s="22"/>
    </row>
    <row r="3086" spans="2:20" x14ac:dyDescent="0.35">
      <c r="B3086" s="17"/>
      <c r="C3086" s="13"/>
      <c r="D3086" s="13"/>
      <c r="E3086" s="13"/>
      <c r="F3086" s="14"/>
      <c r="G3086" s="14"/>
      <c r="H3086" s="14"/>
      <c r="I3086" s="14"/>
      <c r="J3086" s="14"/>
      <c r="K3086" s="14"/>
      <c r="L3086" s="14"/>
      <c r="M3086" s="14"/>
      <c r="N3086" s="14"/>
      <c r="O3086" s="14"/>
      <c r="P3086" s="14"/>
      <c r="Q3086" s="14"/>
      <c r="R3086" s="14"/>
      <c r="S3086" s="14"/>
      <c r="T3086" s="14"/>
    </row>
    <row r="3087" spans="2:20" x14ac:dyDescent="0.35">
      <c r="B3087" s="17"/>
      <c r="C3087" s="13"/>
      <c r="D3087" s="13"/>
      <c r="E3087" s="13"/>
      <c r="F3087" s="14"/>
      <c r="G3087" s="14"/>
      <c r="H3087" s="14"/>
      <c r="I3087" s="14"/>
      <c r="J3087" s="14"/>
      <c r="K3087" s="14"/>
      <c r="L3087" s="14"/>
      <c r="M3087" s="14"/>
      <c r="N3087" s="14"/>
      <c r="O3087" s="14"/>
      <c r="P3087" s="14"/>
      <c r="Q3087" s="14"/>
      <c r="R3087" s="14"/>
      <c r="S3087" s="14"/>
      <c r="T3087" s="14"/>
    </row>
    <row r="3088" spans="2:20" x14ac:dyDescent="0.35">
      <c r="B3088" s="17"/>
      <c r="C3088" s="13"/>
      <c r="D3088" s="13"/>
      <c r="E3088" s="13"/>
      <c r="F3088" s="14"/>
      <c r="G3088" s="14"/>
      <c r="H3088" s="14"/>
      <c r="I3088" s="14"/>
      <c r="J3088" s="14"/>
      <c r="K3088" s="14"/>
      <c r="L3088" s="14"/>
      <c r="M3088" s="14"/>
      <c r="N3088" s="14"/>
      <c r="O3088" s="14"/>
      <c r="P3088" s="14"/>
      <c r="Q3088" s="14"/>
      <c r="R3088" s="14"/>
      <c r="S3088" s="14"/>
      <c r="T3088" s="14"/>
    </row>
    <row r="3089" spans="2:20" x14ac:dyDescent="0.35">
      <c r="B3089" s="17"/>
      <c r="C3089" s="13"/>
      <c r="D3089" s="13"/>
      <c r="E3089" s="13"/>
      <c r="F3089" s="14"/>
      <c r="G3089" s="14"/>
      <c r="H3089" s="14"/>
      <c r="I3089" s="14"/>
      <c r="J3089" s="14"/>
      <c r="K3089" s="14"/>
      <c r="L3089" s="14"/>
      <c r="M3089" s="14"/>
      <c r="N3089" s="14"/>
      <c r="O3089" s="14"/>
      <c r="P3089" s="14"/>
      <c r="Q3089" s="14"/>
      <c r="R3089" s="14"/>
      <c r="S3089" s="14"/>
      <c r="T3089" s="14"/>
    </row>
    <row r="3090" spans="2:20" x14ac:dyDescent="0.35">
      <c r="B3090" s="17"/>
      <c r="C3090" s="13"/>
      <c r="D3090" s="13"/>
      <c r="E3090" s="13"/>
      <c r="F3090" s="14"/>
      <c r="G3090" s="14"/>
      <c r="H3090" s="14"/>
      <c r="I3090" s="14"/>
      <c r="J3090" s="14"/>
      <c r="K3090" s="14"/>
      <c r="L3090" s="14"/>
      <c r="M3090" s="14"/>
      <c r="N3090" s="14"/>
      <c r="O3090" s="14"/>
      <c r="P3090" s="14"/>
      <c r="Q3090" s="14"/>
      <c r="R3090" s="14"/>
      <c r="S3090" s="14"/>
      <c r="T3090" s="14"/>
    </row>
    <row r="3091" spans="2:20" x14ac:dyDescent="0.35">
      <c r="B3091" s="17"/>
      <c r="C3091" s="13"/>
      <c r="D3091" s="13"/>
      <c r="E3091" s="13"/>
      <c r="F3091" s="14"/>
      <c r="G3091" s="14"/>
      <c r="H3091" s="14"/>
      <c r="I3091" s="14"/>
      <c r="J3091" s="14"/>
      <c r="K3091" s="14"/>
      <c r="L3091" s="14"/>
      <c r="M3091" s="14"/>
      <c r="N3091" s="14"/>
      <c r="O3091" s="14"/>
      <c r="P3091" s="14"/>
      <c r="Q3091" s="14"/>
      <c r="R3091" s="14"/>
      <c r="S3091" s="14"/>
      <c r="T3091" s="14"/>
    </row>
    <row r="3092" spans="2:20" x14ac:dyDescent="0.35">
      <c r="B3092" s="17"/>
      <c r="C3092" s="13"/>
      <c r="D3092" s="13"/>
      <c r="E3092" s="13"/>
      <c r="F3092" s="14"/>
      <c r="G3092" s="14"/>
      <c r="H3092" s="14"/>
      <c r="I3092" s="14"/>
      <c r="J3092" s="14"/>
      <c r="K3092" s="14"/>
      <c r="L3092" s="14"/>
      <c r="M3092" s="14"/>
      <c r="N3092" s="14"/>
      <c r="O3092" s="14"/>
      <c r="P3092" s="14"/>
      <c r="Q3092" s="14"/>
      <c r="R3092" s="14"/>
      <c r="S3092" s="14"/>
      <c r="T3092" s="14"/>
    </row>
    <row r="3093" spans="2:20" x14ac:dyDescent="0.35">
      <c r="B3093" s="17"/>
      <c r="C3093" s="18"/>
      <c r="D3093" s="19"/>
      <c r="E3093" s="19"/>
      <c r="F3093" s="22"/>
      <c r="G3093" s="22"/>
      <c r="H3093" s="22"/>
      <c r="I3093" s="22"/>
      <c r="J3093" s="22"/>
      <c r="K3093" s="22"/>
      <c r="L3093" s="22"/>
      <c r="M3093" s="22"/>
      <c r="N3093" s="22"/>
      <c r="O3093" s="22"/>
      <c r="P3093" s="22"/>
      <c r="Q3093" s="22"/>
      <c r="R3093" s="22"/>
      <c r="S3093" s="22"/>
      <c r="T3093" s="22"/>
    </row>
    <row r="3094" spans="2:20" x14ac:dyDescent="0.35">
      <c r="B3094" s="17"/>
      <c r="C3094" s="18"/>
      <c r="D3094" s="19"/>
      <c r="E3094" s="19"/>
      <c r="F3094" s="22"/>
      <c r="G3094" s="22"/>
      <c r="H3094" s="22"/>
      <c r="I3094" s="22"/>
      <c r="J3094" s="22"/>
      <c r="K3094" s="22"/>
      <c r="L3094" s="22"/>
      <c r="M3094" s="22"/>
      <c r="N3094" s="22"/>
      <c r="O3094" s="22"/>
      <c r="P3094" s="22"/>
      <c r="Q3094" s="22"/>
      <c r="R3094" s="22"/>
      <c r="S3094" s="22"/>
      <c r="T3094" s="22"/>
    </row>
    <row r="3095" spans="2:20" x14ac:dyDescent="0.35">
      <c r="B3095" s="17"/>
      <c r="C3095" s="18"/>
      <c r="D3095" s="19"/>
      <c r="E3095" s="19"/>
      <c r="F3095" s="22"/>
      <c r="G3095" s="22"/>
      <c r="H3095" s="22"/>
      <c r="I3095" s="22"/>
      <c r="J3095" s="22"/>
      <c r="K3095" s="22"/>
      <c r="L3095" s="22"/>
      <c r="M3095" s="22"/>
      <c r="N3095" s="22"/>
      <c r="O3095" s="22"/>
      <c r="P3095" s="22"/>
      <c r="Q3095" s="22"/>
      <c r="R3095" s="22"/>
      <c r="S3095" s="22"/>
      <c r="T3095" s="22"/>
    </row>
    <row r="3096" spans="2:20" x14ac:dyDescent="0.35">
      <c r="B3096" s="17"/>
      <c r="C3096" s="18"/>
      <c r="D3096" s="19"/>
      <c r="E3096" s="19"/>
      <c r="F3096" s="22"/>
      <c r="G3096" s="22"/>
      <c r="H3096" s="22"/>
      <c r="I3096" s="22"/>
      <c r="J3096" s="22"/>
      <c r="K3096" s="22"/>
      <c r="L3096" s="22"/>
      <c r="M3096" s="22"/>
      <c r="N3096" s="22"/>
      <c r="O3096" s="22"/>
      <c r="P3096" s="22"/>
      <c r="Q3096" s="22"/>
      <c r="R3096" s="22"/>
      <c r="S3096" s="22"/>
      <c r="T3096" s="22"/>
    </row>
    <row r="3097" spans="2:20" x14ac:dyDescent="0.35">
      <c r="B3097" s="17"/>
      <c r="C3097" s="18"/>
      <c r="D3097" s="19"/>
      <c r="E3097" s="19"/>
      <c r="F3097" s="22"/>
      <c r="G3097" s="22"/>
      <c r="H3097" s="22"/>
      <c r="I3097" s="22"/>
      <c r="J3097" s="22"/>
      <c r="K3097" s="22"/>
      <c r="L3097" s="22"/>
      <c r="M3097" s="22"/>
      <c r="N3097" s="22"/>
      <c r="O3097" s="22"/>
      <c r="P3097" s="22"/>
      <c r="Q3097" s="22"/>
      <c r="R3097" s="22"/>
      <c r="S3097" s="22"/>
      <c r="T3097" s="22"/>
    </row>
    <row r="3098" spans="2:20" x14ac:dyDescent="0.35">
      <c r="B3098" s="17"/>
      <c r="C3098" s="20"/>
      <c r="D3098" s="19"/>
      <c r="E3098" s="19"/>
      <c r="F3098" s="22"/>
      <c r="G3098" s="22"/>
      <c r="H3098" s="22"/>
      <c r="I3098" s="22"/>
      <c r="J3098" s="22"/>
      <c r="K3098" s="22"/>
      <c r="L3098" s="22"/>
      <c r="M3098" s="22"/>
      <c r="N3098" s="22"/>
      <c r="O3098" s="22"/>
      <c r="P3098" s="22"/>
      <c r="Q3098" s="22"/>
      <c r="R3098" s="22"/>
      <c r="S3098" s="22"/>
      <c r="T3098" s="22"/>
    </row>
    <row r="3099" spans="2:20" x14ac:dyDescent="0.35">
      <c r="B3099" s="17"/>
      <c r="C3099" s="20"/>
      <c r="D3099" s="19"/>
      <c r="E3099" s="19"/>
      <c r="F3099" s="22"/>
      <c r="G3099" s="22"/>
      <c r="H3099" s="22"/>
      <c r="I3099" s="22"/>
      <c r="J3099" s="22"/>
      <c r="K3099" s="22"/>
      <c r="L3099" s="22"/>
      <c r="M3099" s="22"/>
      <c r="N3099" s="22"/>
      <c r="O3099" s="22"/>
      <c r="P3099" s="22"/>
      <c r="Q3099" s="22"/>
      <c r="R3099" s="22"/>
      <c r="S3099" s="22"/>
      <c r="T3099" s="22"/>
    </row>
    <row r="3100" spans="2:20" x14ac:dyDescent="0.35">
      <c r="B3100" s="17"/>
      <c r="C3100" s="20"/>
      <c r="D3100" s="19"/>
      <c r="E3100" s="19"/>
      <c r="F3100" s="22"/>
      <c r="G3100" s="22"/>
      <c r="H3100" s="22"/>
      <c r="I3100" s="22"/>
      <c r="J3100" s="22"/>
      <c r="K3100" s="22"/>
      <c r="L3100" s="22"/>
      <c r="M3100" s="22"/>
      <c r="N3100" s="22"/>
      <c r="O3100" s="22"/>
      <c r="P3100" s="22"/>
      <c r="Q3100" s="22"/>
      <c r="R3100" s="22"/>
      <c r="S3100" s="22"/>
      <c r="T3100" s="22"/>
    </row>
    <row r="3101" spans="2:20" x14ac:dyDescent="0.35">
      <c r="B3101" s="17"/>
      <c r="C3101" s="20"/>
      <c r="D3101" s="19"/>
      <c r="E3101" s="19"/>
      <c r="F3101" s="22"/>
      <c r="G3101" s="22"/>
      <c r="H3101" s="22"/>
      <c r="I3101" s="22"/>
      <c r="J3101" s="22"/>
      <c r="K3101" s="22"/>
      <c r="L3101" s="22"/>
      <c r="M3101" s="22"/>
      <c r="N3101" s="22"/>
      <c r="O3101" s="22"/>
      <c r="P3101" s="22"/>
      <c r="Q3101" s="22"/>
      <c r="R3101" s="22"/>
      <c r="S3101" s="22"/>
      <c r="T3101" s="22"/>
    </row>
    <row r="3102" spans="2:20" x14ac:dyDescent="0.35">
      <c r="B3102" s="17"/>
      <c r="C3102" s="13"/>
      <c r="D3102" s="13"/>
      <c r="E3102" s="13"/>
      <c r="F3102" s="14"/>
      <c r="G3102" s="14"/>
      <c r="H3102" s="14"/>
      <c r="I3102" s="14"/>
      <c r="J3102" s="14"/>
      <c r="K3102" s="14"/>
      <c r="L3102" s="14"/>
      <c r="M3102" s="14"/>
      <c r="N3102" s="14"/>
      <c r="O3102" s="14"/>
      <c r="P3102" s="14"/>
      <c r="Q3102" s="14"/>
      <c r="R3102" s="14"/>
      <c r="S3102" s="14"/>
      <c r="T3102" s="14"/>
    </row>
    <row r="3103" spans="2:20" x14ac:dyDescent="0.35">
      <c r="B3103" s="17"/>
      <c r="C3103" s="13"/>
      <c r="D3103" s="13"/>
      <c r="E3103" s="13"/>
      <c r="F3103" s="14"/>
      <c r="G3103" s="14"/>
      <c r="H3103" s="14"/>
      <c r="I3103" s="14"/>
      <c r="J3103" s="14"/>
      <c r="K3103" s="14"/>
      <c r="L3103" s="14"/>
      <c r="M3103" s="14"/>
      <c r="N3103" s="14"/>
      <c r="O3103" s="14"/>
      <c r="P3103" s="14"/>
      <c r="Q3103" s="14"/>
      <c r="R3103" s="14"/>
      <c r="S3103" s="14"/>
      <c r="T3103" s="14"/>
    </row>
    <row r="3104" spans="2:20" x14ac:dyDescent="0.35">
      <c r="B3104" s="17"/>
      <c r="C3104" s="13"/>
      <c r="D3104" s="13"/>
      <c r="E3104" s="13"/>
      <c r="F3104" s="14"/>
      <c r="G3104" s="14"/>
      <c r="H3104" s="14"/>
      <c r="I3104" s="14"/>
      <c r="J3104" s="14"/>
      <c r="K3104" s="14"/>
      <c r="L3104" s="14"/>
      <c r="M3104" s="14"/>
      <c r="N3104" s="14"/>
      <c r="O3104" s="14"/>
      <c r="P3104" s="14"/>
      <c r="Q3104" s="14"/>
      <c r="R3104" s="14"/>
      <c r="S3104" s="14"/>
      <c r="T3104" s="14"/>
    </row>
    <row r="3105" spans="2:20" x14ac:dyDescent="0.35">
      <c r="B3105" s="17"/>
      <c r="C3105" s="13"/>
      <c r="D3105" s="13"/>
      <c r="E3105" s="13"/>
      <c r="F3105" s="14"/>
      <c r="G3105" s="14"/>
      <c r="H3105" s="14"/>
      <c r="I3105" s="14"/>
      <c r="J3105" s="14"/>
      <c r="K3105" s="14"/>
      <c r="L3105" s="14"/>
      <c r="M3105" s="14"/>
      <c r="N3105" s="14"/>
      <c r="O3105" s="14"/>
      <c r="P3105" s="14"/>
      <c r="Q3105" s="14"/>
      <c r="R3105" s="14"/>
      <c r="S3105" s="14"/>
      <c r="T3105" s="14"/>
    </row>
    <row r="3106" spans="2:20" x14ac:dyDescent="0.35">
      <c r="B3106" s="17"/>
      <c r="C3106" s="13"/>
      <c r="D3106" s="13"/>
      <c r="E3106" s="13"/>
      <c r="F3106" s="14"/>
      <c r="G3106" s="14"/>
      <c r="H3106" s="14"/>
      <c r="I3106" s="14"/>
      <c r="J3106" s="14"/>
      <c r="K3106" s="14"/>
      <c r="L3106" s="14"/>
      <c r="M3106" s="14"/>
      <c r="N3106" s="14"/>
      <c r="O3106" s="14"/>
      <c r="P3106" s="14"/>
      <c r="Q3106" s="14"/>
      <c r="R3106" s="14"/>
      <c r="S3106" s="14"/>
      <c r="T3106" s="14"/>
    </row>
    <row r="3107" spans="2:20" x14ac:dyDescent="0.35">
      <c r="B3107" s="17"/>
      <c r="C3107" s="13"/>
      <c r="D3107" s="13"/>
      <c r="E3107" s="13"/>
      <c r="F3107" s="14"/>
      <c r="G3107" s="14"/>
      <c r="H3107" s="14"/>
      <c r="I3107" s="14"/>
      <c r="J3107" s="14"/>
      <c r="K3107" s="14"/>
      <c r="L3107" s="14"/>
      <c r="M3107" s="14"/>
      <c r="N3107" s="14"/>
      <c r="O3107" s="14"/>
      <c r="P3107" s="14"/>
      <c r="Q3107" s="14"/>
      <c r="R3107" s="14"/>
      <c r="S3107" s="14"/>
      <c r="T3107" s="14"/>
    </row>
    <row r="3108" spans="2:20" x14ac:dyDescent="0.35">
      <c r="B3108" s="17"/>
      <c r="C3108" s="13"/>
      <c r="D3108" s="13"/>
      <c r="E3108" s="13"/>
      <c r="F3108" s="14"/>
      <c r="G3108" s="14"/>
      <c r="H3108" s="14"/>
      <c r="I3108" s="14"/>
      <c r="J3108" s="14"/>
      <c r="K3108" s="14"/>
      <c r="L3108" s="14"/>
      <c r="M3108" s="14"/>
      <c r="N3108" s="14"/>
      <c r="O3108" s="14"/>
      <c r="P3108" s="14"/>
      <c r="Q3108" s="14"/>
      <c r="R3108" s="14"/>
      <c r="S3108" s="14"/>
      <c r="T3108" s="14"/>
    </row>
    <row r="3109" spans="2:20" x14ac:dyDescent="0.35">
      <c r="B3109" s="17"/>
      <c r="C3109" s="13"/>
      <c r="D3109" s="13"/>
      <c r="E3109" s="13"/>
      <c r="F3109" s="14"/>
      <c r="G3109" s="14"/>
      <c r="H3109" s="14"/>
      <c r="I3109" s="14"/>
      <c r="J3109" s="14"/>
      <c r="K3109" s="14"/>
      <c r="L3109" s="14"/>
      <c r="M3109" s="14"/>
      <c r="N3109" s="14"/>
      <c r="O3109" s="14"/>
      <c r="P3109" s="14"/>
      <c r="Q3109" s="14"/>
      <c r="R3109" s="14"/>
      <c r="S3109" s="14"/>
      <c r="T3109" s="14"/>
    </row>
    <row r="3110" spans="2:20" x14ac:dyDescent="0.35">
      <c r="B3110" s="17"/>
      <c r="C3110" s="13"/>
      <c r="D3110" s="13"/>
      <c r="E3110" s="13"/>
      <c r="F3110" s="14"/>
      <c r="G3110" s="14"/>
      <c r="H3110" s="14"/>
      <c r="I3110" s="14"/>
      <c r="J3110" s="14"/>
      <c r="K3110" s="14"/>
      <c r="L3110" s="14"/>
      <c r="M3110" s="14"/>
      <c r="N3110" s="14"/>
      <c r="O3110" s="14"/>
      <c r="P3110" s="14"/>
      <c r="Q3110" s="14"/>
      <c r="R3110" s="14"/>
      <c r="S3110" s="14"/>
      <c r="T3110" s="14"/>
    </row>
    <row r="3111" spans="2:20" x14ac:dyDescent="0.35">
      <c r="B3111" s="17"/>
      <c r="C3111" s="13"/>
      <c r="D3111" s="13"/>
      <c r="E3111" s="13"/>
      <c r="F3111" s="14"/>
      <c r="G3111" s="14"/>
      <c r="H3111" s="14"/>
      <c r="I3111" s="14"/>
      <c r="J3111" s="14"/>
      <c r="K3111" s="14"/>
      <c r="L3111" s="14"/>
      <c r="M3111" s="14"/>
      <c r="N3111" s="14"/>
      <c r="O3111" s="14"/>
      <c r="P3111" s="14"/>
      <c r="Q3111" s="14"/>
      <c r="R3111" s="14"/>
      <c r="S3111" s="14"/>
      <c r="T3111" s="14"/>
    </row>
    <row r="3112" spans="2:20" x14ac:dyDescent="0.35">
      <c r="B3112" s="17"/>
      <c r="C3112" s="13"/>
      <c r="D3112" s="13"/>
      <c r="E3112" s="13"/>
      <c r="F3112" s="14"/>
      <c r="G3112" s="14"/>
      <c r="H3112" s="14"/>
      <c r="I3112" s="14"/>
      <c r="J3112" s="14"/>
      <c r="K3112" s="14"/>
      <c r="L3112" s="14"/>
      <c r="M3112" s="14"/>
      <c r="N3112" s="14"/>
      <c r="O3112" s="14"/>
      <c r="P3112" s="14"/>
      <c r="Q3112" s="14"/>
      <c r="R3112" s="14"/>
      <c r="S3112" s="14"/>
      <c r="T3112" s="14"/>
    </row>
    <row r="3113" spans="2:20" x14ac:dyDescent="0.35">
      <c r="B3113" s="17"/>
      <c r="C3113" s="13"/>
      <c r="D3113" s="13"/>
      <c r="E3113" s="13"/>
      <c r="F3113" s="14"/>
      <c r="G3113" s="14"/>
      <c r="H3113" s="14"/>
      <c r="I3113" s="14"/>
      <c r="J3113" s="14"/>
      <c r="K3113" s="14"/>
      <c r="L3113" s="14"/>
      <c r="M3113" s="14"/>
      <c r="N3113" s="14"/>
      <c r="O3113" s="14"/>
      <c r="P3113" s="14"/>
      <c r="Q3113" s="14"/>
      <c r="R3113" s="14"/>
      <c r="S3113" s="14"/>
      <c r="T3113" s="14"/>
    </row>
    <row r="3114" spans="2:20" x14ac:dyDescent="0.35">
      <c r="B3114" s="17"/>
      <c r="C3114" s="13"/>
      <c r="D3114" s="13"/>
      <c r="E3114" s="13"/>
      <c r="F3114" s="14"/>
      <c r="G3114" s="14"/>
      <c r="H3114" s="14"/>
      <c r="I3114" s="14"/>
      <c r="J3114" s="14"/>
      <c r="K3114" s="14"/>
      <c r="L3114" s="14"/>
      <c r="M3114" s="14"/>
      <c r="N3114" s="14"/>
      <c r="O3114" s="14"/>
      <c r="P3114" s="14"/>
      <c r="Q3114" s="14"/>
      <c r="R3114" s="14"/>
      <c r="S3114" s="14"/>
      <c r="T3114" s="14"/>
    </row>
    <row r="3115" spans="2:20" x14ac:dyDescent="0.35">
      <c r="B3115" s="17"/>
      <c r="C3115" s="13"/>
      <c r="D3115" s="13"/>
      <c r="E3115" s="13"/>
      <c r="F3115" s="14"/>
      <c r="G3115" s="14"/>
      <c r="H3115" s="14"/>
      <c r="I3115" s="14"/>
      <c r="J3115" s="14"/>
      <c r="K3115" s="14"/>
      <c r="L3115" s="14"/>
      <c r="M3115" s="14"/>
      <c r="N3115" s="14"/>
      <c r="O3115" s="14"/>
      <c r="P3115" s="14"/>
      <c r="Q3115" s="14"/>
      <c r="R3115" s="14"/>
      <c r="S3115" s="14"/>
      <c r="T3115" s="14"/>
    </row>
    <row r="3116" spans="2:20" x14ac:dyDescent="0.35">
      <c r="B3116" s="17"/>
      <c r="C3116" s="13"/>
      <c r="D3116" s="13"/>
      <c r="E3116" s="13"/>
      <c r="F3116" s="14"/>
      <c r="G3116" s="14"/>
      <c r="H3116" s="14"/>
      <c r="I3116" s="14"/>
      <c r="J3116" s="14"/>
      <c r="K3116" s="14"/>
      <c r="L3116" s="14"/>
      <c r="M3116" s="14"/>
      <c r="N3116" s="14"/>
      <c r="O3116" s="14"/>
      <c r="P3116" s="14"/>
      <c r="Q3116" s="14"/>
      <c r="R3116" s="14"/>
      <c r="S3116" s="14"/>
      <c r="T3116" s="14"/>
    </row>
    <row r="3117" spans="2:20" x14ac:dyDescent="0.35">
      <c r="B3117" s="17"/>
      <c r="C3117" s="18"/>
      <c r="D3117" s="19"/>
      <c r="E3117" s="19"/>
      <c r="F3117" s="22"/>
      <c r="G3117" s="22"/>
      <c r="H3117" s="22"/>
      <c r="I3117" s="22"/>
      <c r="J3117" s="22"/>
      <c r="K3117" s="22"/>
      <c r="L3117" s="22"/>
      <c r="M3117" s="22"/>
      <c r="N3117" s="22"/>
      <c r="O3117" s="22"/>
      <c r="P3117" s="22"/>
      <c r="Q3117" s="22"/>
      <c r="R3117" s="22"/>
      <c r="S3117" s="22"/>
      <c r="T3117" s="22"/>
    </row>
    <row r="3118" spans="2:20" x14ac:dyDescent="0.35">
      <c r="B3118" s="17"/>
      <c r="C3118" s="18"/>
      <c r="D3118" s="19"/>
      <c r="E3118" s="19"/>
      <c r="F3118" s="22"/>
      <c r="G3118" s="22"/>
      <c r="H3118" s="22"/>
      <c r="I3118" s="22"/>
      <c r="J3118" s="22"/>
      <c r="K3118" s="22"/>
      <c r="L3118" s="22"/>
      <c r="M3118" s="22"/>
      <c r="N3118" s="22"/>
      <c r="O3118" s="22"/>
      <c r="P3118" s="22"/>
      <c r="Q3118" s="22"/>
      <c r="R3118" s="22"/>
      <c r="S3118" s="22"/>
      <c r="T3118" s="22"/>
    </row>
    <row r="3119" spans="2:20" x14ac:dyDescent="0.35">
      <c r="B3119" s="17"/>
      <c r="C3119" s="18"/>
      <c r="D3119" s="19"/>
      <c r="E3119" s="19"/>
      <c r="F3119" s="22"/>
      <c r="G3119" s="22"/>
      <c r="H3119" s="22"/>
      <c r="I3119" s="22"/>
      <c r="J3119" s="22"/>
      <c r="K3119" s="22"/>
      <c r="L3119" s="22"/>
      <c r="M3119" s="22"/>
      <c r="N3119" s="22"/>
      <c r="O3119" s="22"/>
      <c r="P3119" s="22"/>
      <c r="Q3119" s="22"/>
      <c r="R3119" s="22"/>
      <c r="S3119" s="22"/>
      <c r="T3119" s="22"/>
    </row>
    <row r="3120" spans="2:20" x14ac:dyDescent="0.35">
      <c r="B3120" s="17"/>
      <c r="C3120" s="18"/>
      <c r="D3120" s="19"/>
      <c r="E3120" s="19"/>
      <c r="F3120" s="22"/>
      <c r="G3120" s="22"/>
      <c r="H3120" s="22"/>
      <c r="I3120" s="22"/>
      <c r="J3120" s="22"/>
      <c r="K3120" s="22"/>
      <c r="L3120" s="22"/>
      <c r="M3120" s="22"/>
      <c r="N3120" s="22"/>
      <c r="O3120" s="22"/>
      <c r="P3120" s="22"/>
      <c r="Q3120" s="22"/>
      <c r="R3120" s="22"/>
      <c r="S3120" s="22"/>
      <c r="T3120" s="22"/>
    </row>
    <row r="3121" spans="2:20" x14ac:dyDescent="0.35">
      <c r="B3121" s="17"/>
      <c r="C3121" s="18"/>
      <c r="D3121" s="19"/>
      <c r="E3121" s="19"/>
      <c r="F3121" s="22"/>
      <c r="G3121" s="22"/>
      <c r="H3121" s="22"/>
      <c r="I3121" s="22"/>
      <c r="J3121" s="22"/>
      <c r="K3121" s="22"/>
      <c r="L3121" s="22"/>
      <c r="M3121" s="22"/>
      <c r="N3121" s="22"/>
      <c r="O3121" s="22"/>
      <c r="P3121" s="22"/>
      <c r="Q3121" s="22"/>
      <c r="R3121" s="22"/>
      <c r="S3121" s="22"/>
      <c r="T3121" s="22"/>
    </row>
    <row r="3122" spans="2:20" x14ac:dyDescent="0.35">
      <c r="B3122" s="17"/>
      <c r="C3122" s="18"/>
      <c r="D3122" s="19"/>
      <c r="E3122" s="19"/>
      <c r="F3122" s="22"/>
      <c r="G3122" s="22"/>
      <c r="H3122" s="22"/>
      <c r="I3122" s="22"/>
      <c r="J3122" s="22"/>
      <c r="K3122" s="22"/>
      <c r="L3122" s="22"/>
      <c r="M3122" s="22"/>
      <c r="N3122" s="22"/>
      <c r="O3122" s="22"/>
      <c r="P3122" s="22"/>
      <c r="Q3122" s="22"/>
      <c r="R3122" s="22"/>
      <c r="S3122" s="22"/>
      <c r="T3122" s="22"/>
    </row>
    <row r="3123" spans="2:20" x14ac:dyDescent="0.35">
      <c r="B3123" s="17"/>
      <c r="C3123" s="18"/>
      <c r="D3123" s="19"/>
      <c r="E3123" s="19"/>
      <c r="F3123" s="22"/>
      <c r="G3123" s="22"/>
      <c r="H3123" s="22"/>
      <c r="I3123" s="22"/>
      <c r="J3123" s="22"/>
      <c r="K3123" s="22"/>
      <c r="L3123" s="22"/>
      <c r="M3123" s="22"/>
      <c r="N3123" s="22"/>
      <c r="O3123" s="22"/>
      <c r="P3123" s="22"/>
      <c r="Q3123" s="22"/>
      <c r="R3123" s="22"/>
      <c r="S3123" s="22"/>
      <c r="T3123" s="22"/>
    </row>
    <row r="3124" spans="2:20" x14ac:dyDescent="0.35">
      <c r="B3124" s="17"/>
      <c r="C3124" s="18"/>
      <c r="D3124" s="19"/>
      <c r="E3124" s="19"/>
      <c r="F3124" s="22"/>
      <c r="G3124" s="22"/>
      <c r="H3124" s="22"/>
      <c r="I3124" s="22"/>
      <c r="J3124" s="22"/>
      <c r="K3124" s="22"/>
      <c r="L3124" s="22"/>
      <c r="M3124" s="22"/>
      <c r="N3124" s="22"/>
      <c r="O3124" s="22"/>
      <c r="P3124" s="22"/>
      <c r="Q3124" s="22"/>
      <c r="R3124" s="22"/>
      <c r="S3124" s="22"/>
      <c r="T3124" s="22"/>
    </row>
    <row r="3125" spans="2:20" x14ac:dyDescent="0.35">
      <c r="B3125" s="17"/>
      <c r="C3125" s="18"/>
      <c r="D3125" s="19"/>
      <c r="E3125" s="19"/>
      <c r="F3125" s="22"/>
      <c r="G3125" s="22"/>
      <c r="H3125" s="22"/>
      <c r="I3125" s="22"/>
      <c r="J3125" s="22"/>
      <c r="K3125" s="22"/>
      <c r="L3125" s="22"/>
      <c r="M3125" s="22"/>
      <c r="N3125" s="22"/>
      <c r="O3125" s="22"/>
      <c r="P3125" s="22"/>
      <c r="Q3125" s="22"/>
      <c r="R3125" s="22"/>
      <c r="S3125" s="22"/>
      <c r="T3125" s="22"/>
    </row>
    <row r="3126" spans="2:20" x14ac:dyDescent="0.35">
      <c r="B3126" s="17"/>
      <c r="C3126" s="18"/>
      <c r="D3126" s="19"/>
      <c r="E3126" s="19"/>
      <c r="F3126" s="22"/>
      <c r="G3126" s="22"/>
      <c r="H3126" s="22"/>
      <c r="I3126" s="22"/>
      <c r="J3126" s="22"/>
      <c r="K3126" s="22"/>
      <c r="L3126" s="22"/>
      <c r="M3126" s="22"/>
      <c r="N3126" s="22"/>
      <c r="O3126" s="22"/>
      <c r="P3126" s="22"/>
      <c r="Q3126" s="22"/>
      <c r="R3126" s="22"/>
      <c r="S3126" s="22"/>
      <c r="T3126" s="22"/>
    </row>
    <row r="3127" spans="2:20" x14ac:dyDescent="0.35">
      <c r="B3127" s="17"/>
      <c r="C3127" s="18"/>
      <c r="D3127" s="19"/>
      <c r="E3127" s="19"/>
      <c r="F3127" s="22"/>
      <c r="G3127" s="22"/>
      <c r="H3127" s="22"/>
      <c r="I3127" s="22"/>
      <c r="J3127" s="22"/>
      <c r="K3127" s="22"/>
      <c r="L3127" s="22"/>
      <c r="M3127" s="22"/>
      <c r="N3127" s="22"/>
      <c r="O3127" s="22"/>
      <c r="P3127" s="22"/>
      <c r="Q3127" s="22"/>
      <c r="R3127" s="22"/>
      <c r="S3127" s="22"/>
      <c r="T3127" s="22"/>
    </row>
    <row r="3128" spans="2:20" x14ac:dyDescent="0.35">
      <c r="B3128" s="17"/>
      <c r="C3128" s="18"/>
      <c r="D3128" s="19"/>
      <c r="E3128" s="19"/>
      <c r="F3128" s="22"/>
      <c r="G3128" s="22"/>
      <c r="H3128" s="22"/>
      <c r="I3128" s="22"/>
      <c r="J3128" s="22"/>
      <c r="K3128" s="22"/>
      <c r="L3128" s="22"/>
      <c r="M3128" s="22"/>
      <c r="N3128" s="22"/>
      <c r="O3128" s="22"/>
      <c r="P3128" s="22"/>
      <c r="Q3128" s="22"/>
      <c r="R3128" s="22"/>
      <c r="S3128" s="22"/>
      <c r="T3128" s="22"/>
    </row>
    <row r="3129" spans="2:20" x14ac:dyDescent="0.35">
      <c r="B3129" s="17"/>
      <c r="C3129" s="18"/>
      <c r="D3129" s="19"/>
      <c r="E3129" s="19"/>
      <c r="F3129" s="22"/>
      <c r="G3129" s="22"/>
      <c r="H3129" s="22"/>
      <c r="I3129" s="22"/>
      <c r="J3129" s="22"/>
      <c r="K3129" s="22"/>
      <c r="L3129" s="22"/>
      <c r="M3129" s="22"/>
      <c r="N3129" s="22"/>
      <c r="O3129" s="22"/>
      <c r="P3129" s="22"/>
      <c r="Q3129" s="22"/>
      <c r="R3129" s="22"/>
      <c r="S3129" s="22"/>
      <c r="T3129" s="22"/>
    </row>
    <row r="3130" spans="2:20" x14ac:dyDescent="0.35">
      <c r="B3130" s="17"/>
      <c r="C3130" s="18"/>
      <c r="D3130" s="19"/>
      <c r="E3130" s="19"/>
      <c r="F3130" s="22"/>
      <c r="G3130" s="22"/>
      <c r="H3130" s="22"/>
      <c r="I3130" s="22"/>
      <c r="J3130" s="22"/>
      <c r="K3130" s="22"/>
      <c r="L3130" s="22"/>
      <c r="M3130" s="22"/>
      <c r="N3130" s="22"/>
      <c r="O3130" s="22"/>
      <c r="P3130" s="22"/>
      <c r="Q3130" s="22"/>
      <c r="R3130" s="22"/>
      <c r="S3130" s="22"/>
      <c r="T3130" s="22"/>
    </row>
    <row r="3131" spans="2:20" x14ac:dyDescent="0.35">
      <c r="B3131" s="17"/>
      <c r="C3131" s="18"/>
      <c r="D3131" s="19"/>
      <c r="E3131" s="19"/>
      <c r="F3131" s="22"/>
      <c r="G3131" s="22"/>
      <c r="H3131" s="22"/>
      <c r="I3131" s="22"/>
      <c r="J3131" s="22"/>
      <c r="K3131" s="22"/>
      <c r="L3131" s="22"/>
      <c r="M3131" s="22"/>
      <c r="N3131" s="22"/>
      <c r="O3131" s="22"/>
      <c r="P3131" s="22"/>
      <c r="Q3131" s="22"/>
      <c r="R3131" s="22"/>
      <c r="S3131" s="22"/>
      <c r="T3131" s="22"/>
    </row>
    <row r="3132" spans="2:20" x14ac:dyDescent="0.35">
      <c r="B3132" s="17"/>
      <c r="C3132" s="18"/>
      <c r="D3132" s="19"/>
      <c r="E3132" s="19"/>
      <c r="F3132" s="22"/>
      <c r="G3132" s="22"/>
      <c r="H3132" s="22"/>
      <c r="I3132" s="22"/>
      <c r="J3132" s="22"/>
      <c r="K3132" s="22"/>
      <c r="L3132" s="22"/>
      <c r="M3132" s="22"/>
      <c r="N3132" s="22"/>
      <c r="O3132" s="22"/>
      <c r="P3132" s="22"/>
      <c r="Q3132" s="22"/>
      <c r="R3132" s="22"/>
      <c r="S3132" s="22"/>
      <c r="T3132" s="22"/>
    </row>
    <row r="3133" spans="2:20" x14ac:dyDescent="0.35">
      <c r="B3133" s="17"/>
      <c r="C3133" s="13"/>
      <c r="D3133" s="13"/>
      <c r="E3133" s="13"/>
      <c r="F3133" s="14"/>
      <c r="G3133" s="14"/>
      <c r="H3133" s="14"/>
      <c r="I3133" s="14"/>
      <c r="J3133" s="14"/>
      <c r="K3133" s="14"/>
      <c r="L3133" s="14"/>
      <c r="M3133" s="14"/>
      <c r="N3133" s="14"/>
      <c r="O3133" s="14"/>
      <c r="P3133" s="14"/>
      <c r="Q3133" s="14"/>
      <c r="R3133" s="14"/>
      <c r="S3133" s="14"/>
      <c r="T3133" s="14"/>
    </row>
    <row r="3134" spans="2:20" x14ac:dyDescent="0.35">
      <c r="B3134" s="17"/>
      <c r="C3134" s="13"/>
      <c r="D3134" s="13"/>
      <c r="E3134" s="13"/>
      <c r="F3134" s="14"/>
      <c r="G3134" s="14"/>
      <c r="H3134" s="14"/>
      <c r="I3134" s="14"/>
      <c r="J3134" s="14"/>
      <c r="K3134" s="14"/>
      <c r="L3134" s="14"/>
      <c r="M3134" s="14"/>
      <c r="N3134" s="14"/>
      <c r="O3134" s="14"/>
      <c r="P3134" s="14"/>
      <c r="Q3134" s="14"/>
      <c r="R3134" s="14"/>
      <c r="S3134" s="14"/>
      <c r="T3134" s="14"/>
    </row>
    <row r="3135" spans="2:20" x14ac:dyDescent="0.35">
      <c r="B3135" s="17"/>
      <c r="C3135" s="13"/>
      <c r="D3135" s="13"/>
      <c r="E3135" s="13"/>
      <c r="F3135" s="14"/>
      <c r="G3135" s="14"/>
      <c r="H3135" s="14"/>
      <c r="I3135" s="14"/>
      <c r="J3135" s="14"/>
      <c r="K3135" s="14"/>
      <c r="L3135" s="14"/>
      <c r="M3135" s="14"/>
      <c r="N3135" s="14"/>
      <c r="O3135" s="14"/>
      <c r="P3135" s="14"/>
      <c r="Q3135" s="14"/>
      <c r="R3135" s="14"/>
      <c r="S3135" s="14"/>
      <c r="T3135" s="14"/>
    </row>
    <row r="3136" spans="2:20" x14ac:dyDescent="0.35">
      <c r="B3136" s="17"/>
      <c r="C3136" s="13"/>
      <c r="D3136" s="13"/>
      <c r="E3136" s="13"/>
      <c r="F3136" s="14"/>
      <c r="G3136" s="14"/>
      <c r="H3136" s="14"/>
      <c r="I3136" s="14"/>
      <c r="J3136" s="14"/>
      <c r="K3136" s="14"/>
      <c r="L3136" s="14"/>
      <c r="M3136" s="14"/>
      <c r="N3136" s="14"/>
      <c r="O3136" s="14"/>
      <c r="P3136" s="14"/>
      <c r="Q3136" s="14"/>
      <c r="R3136" s="14"/>
      <c r="S3136" s="14"/>
      <c r="T3136" s="14"/>
    </row>
    <row r="3137" spans="2:20" x14ac:dyDescent="0.35">
      <c r="B3137" s="17"/>
      <c r="C3137" s="13"/>
      <c r="D3137" s="13"/>
      <c r="E3137" s="13"/>
      <c r="F3137" s="14"/>
      <c r="G3137" s="14"/>
      <c r="H3137" s="14"/>
      <c r="I3137" s="14"/>
      <c r="J3137" s="14"/>
      <c r="K3137" s="14"/>
      <c r="L3137" s="14"/>
      <c r="M3137" s="14"/>
      <c r="N3137" s="14"/>
      <c r="O3137" s="14"/>
      <c r="P3137" s="14"/>
      <c r="Q3137" s="14"/>
      <c r="R3137" s="14"/>
      <c r="S3137" s="14"/>
      <c r="T3137" s="14"/>
    </row>
    <row r="3138" spans="2:20" x14ac:dyDescent="0.35">
      <c r="B3138" s="17"/>
      <c r="C3138" s="13"/>
      <c r="D3138" s="13"/>
      <c r="E3138" s="13"/>
      <c r="F3138" s="14"/>
      <c r="G3138" s="14"/>
      <c r="H3138" s="14"/>
      <c r="I3138" s="14"/>
      <c r="J3138" s="14"/>
      <c r="K3138" s="14"/>
      <c r="L3138" s="14"/>
      <c r="M3138" s="14"/>
      <c r="N3138" s="14"/>
      <c r="O3138" s="14"/>
      <c r="P3138" s="14"/>
      <c r="Q3138" s="14"/>
      <c r="R3138" s="14"/>
      <c r="S3138" s="14"/>
      <c r="T3138" s="14"/>
    </row>
    <row r="3139" spans="2:20" x14ac:dyDescent="0.35">
      <c r="B3139" s="17"/>
      <c r="C3139" s="13"/>
      <c r="D3139" s="13"/>
      <c r="E3139" s="13"/>
      <c r="F3139" s="14"/>
      <c r="G3139" s="14"/>
      <c r="H3139" s="14"/>
      <c r="I3139" s="14"/>
      <c r="J3139" s="14"/>
      <c r="K3139" s="14"/>
      <c r="L3139" s="14"/>
      <c r="M3139" s="14"/>
      <c r="N3139" s="14"/>
      <c r="O3139" s="14"/>
      <c r="P3139" s="14"/>
      <c r="Q3139" s="14"/>
      <c r="R3139" s="14"/>
      <c r="S3139" s="14"/>
      <c r="T3139" s="14"/>
    </row>
    <row r="3140" spans="2:20" x14ac:dyDescent="0.35">
      <c r="B3140" s="17"/>
      <c r="C3140" s="18"/>
      <c r="D3140" s="19"/>
      <c r="E3140" s="19"/>
      <c r="F3140" s="22"/>
      <c r="G3140" s="22"/>
      <c r="H3140" s="22"/>
      <c r="I3140" s="22"/>
      <c r="J3140" s="22"/>
      <c r="K3140" s="22"/>
      <c r="L3140" s="22"/>
      <c r="M3140" s="22"/>
      <c r="N3140" s="22"/>
      <c r="O3140" s="22"/>
      <c r="P3140" s="22"/>
      <c r="Q3140" s="22"/>
      <c r="R3140" s="22"/>
      <c r="S3140" s="22"/>
      <c r="T3140" s="22"/>
    </row>
    <row r="3141" spans="2:20" x14ac:dyDescent="0.35">
      <c r="B3141" s="17"/>
      <c r="C3141" s="18"/>
      <c r="D3141" s="19"/>
      <c r="E3141" s="19"/>
      <c r="F3141" s="22"/>
      <c r="G3141" s="22"/>
      <c r="H3141" s="22"/>
      <c r="I3141" s="22"/>
      <c r="J3141" s="22"/>
      <c r="K3141" s="22"/>
      <c r="L3141" s="22"/>
      <c r="M3141" s="22"/>
      <c r="N3141" s="22"/>
      <c r="O3141" s="22"/>
      <c r="P3141" s="22"/>
      <c r="Q3141" s="22"/>
      <c r="R3141" s="22"/>
      <c r="S3141" s="22"/>
      <c r="T3141" s="22"/>
    </row>
    <row r="3142" spans="2:20" x14ac:dyDescent="0.35">
      <c r="B3142" s="17"/>
      <c r="C3142" s="18"/>
      <c r="D3142" s="19"/>
      <c r="E3142" s="19"/>
      <c r="F3142" s="22"/>
      <c r="G3142" s="22"/>
      <c r="H3142" s="22"/>
      <c r="I3142" s="22"/>
      <c r="J3142" s="22"/>
      <c r="K3142" s="22"/>
      <c r="L3142" s="22"/>
      <c r="M3142" s="22"/>
      <c r="N3142" s="22"/>
      <c r="O3142" s="22"/>
      <c r="P3142" s="22"/>
      <c r="Q3142" s="22"/>
      <c r="R3142" s="22"/>
      <c r="S3142" s="22"/>
      <c r="T3142" s="22"/>
    </row>
    <row r="3143" spans="2:20" x14ac:dyDescent="0.35">
      <c r="B3143" s="17"/>
      <c r="C3143" s="18"/>
      <c r="D3143" s="19"/>
      <c r="E3143" s="19"/>
      <c r="F3143" s="22"/>
      <c r="G3143" s="22"/>
      <c r="H3143" s="22"/>
      <c r="I3143" s="22"/>
      <c r="J3143" s="22"/>
      <c r="K3143" s="22"/>
      <c r="L3143" s="22"/>
      <c r="M3143" s="22"/>
      <c r="N3143" s="22"/>
      <c r="O3143" s="22"/>
      <c r="P3143" s="22"/>
      <c r="Q3143" s="22"/>
      <c r="R3143" s="22"/>
      <c r="S3143" s="22"/>
      <c r="T3143" s="22"/>
    </row>
    <row r="3144" spans="2:20" x14ac:dyDescent="0.35">
      <c r="B3144" s="17"/>
      <c r="C3144" s="18"/>
      <c r="D3144" s="19"/>
      <c r="E3144" s="19"/>
      <c r="F3144" s="22"/>
      <c r="G3144" s="22"/>
      <c r="H3144" s="22"/>
      <c r="I3144" s="22"/>
      <c r="J3144" s="22"/>
      <c r="K3144" s="22"/>
      <c r="L3144" s="22"/>
      <c r="M3144" s="22"/>
      <c r="N3144" s="22"/>
      <c r="O3144" s="22"/>
      <c r="P3144" s="22"/>
      <c r="Q3144" s="22"/>
      <c r="R3144" s="22"/>
      <c r="S3144" s="22"/>
      <c r="T3144" s="22"/>
    </row>
    <row r="3145" spans="2:20" x14ac:dyDescent="0.35">
      <c r="B3145" s="17"/>
      <c r="C3145" s="20"/>
      <c r="D3145" s="19"/>
      <c r="E3145" s="19"/>
      <c r="F3145" s="22"/>
      <c r="G3145" s="22"/>
      <c r="H3145" s="22"/>
      <c r="I3145" s="22"/>
      <c r="J3145" s="22"/>
      <c r="K3145" s="22"/>
      <c r="L3145" s="22"/>
      <c r="M3145" s="22"/>
      <c r="N3145" s="22"/>
      <c r="O3145" s="22"/>
      <c r="P3145" s="22"/>
      <c r="Q3145" s="22"/>
      <c r="R3145" s="22"/>
      <c r="S3145" s="22"/>
      <c r="T3145" s="22"/>
    </row>
    <row r="3146" spans="2:20" x14ac:dyDescent="0.35">
      <c r="B3146" s="17"/>
      <c r="C3146" s="20"/>
      <c r="D3146" s="19"/>
      <c r="E3146" s="19"/>
      <c r="F3146" s="22"/>
      <c r="G3146" s="22"/>
      <c r="H3146" s="22"/>
      <c r="I3146" s="22"/>
      <c r="J3146" s="22"/>
      <c r="K3146" s="22"/>
      <c r="L3146" s="22"/>
      <c r="M3146" s="22"/>
      <c r="N3146" s="22"/>
      <c r="O3146" s="22"/>
      <c r="P3146" s="22"/>
      <c r="Q3146" s="22"/>
      <c r="R3146" s="22"/>
      <c r="S3146" s="22"/>
      <c r="T3146" s="22"/>
    </row>
    <row r="3147" spans="2:20" x14ac:dyDescent="0.35">
      <c r="B3147" s="17"/>
      <c r="C3147" s="20"/>
      <c r="D3147" s="19"/>
      <c r="E3147" s="19"/>
      <c r="F3147" s="22"/>
      <c r="G3147" s="22"/>
      <c r="H3147" s="22"/>
      <c r="I3147" s="22"/>
      <c r="J3147" s="22"/>
      <c r="K3147" s="22"/>
      <c r="L3147" s="22"/>
      <c r="M3147" s="22"/>
      <c r="N3147" s="22"/>
      <c r="O3147" s="22"/>
      <c r="P3147" s="22"/>
      <c r="Q3147" s="22"/>
      <c r="R3147" s="22"/>
      <c r="S3147" s="22"/>
      <c r="T3147" s="22"/>
    </row>
    <row r="3148" spans="2:20" x14ac:dyDescent="0.35">
      <c r="B3148" s="17"/>
      <c r="C3148" s="20"/>
      <c r="D3148" s="19"/>
      <c r="E3148" s="19"/>
      <c r="F3148" s="22"/>
      <c r="G3148" s="22"/>
      <c r="H3148" s="22"/>
      <c r="I3148" s="22"/>
      <c r="J3148" s="22"/>
      <c r="K3148" s="22"/>
      <c r="L3148" s="22"/>
      <c r="M3148" s="22"/>
      <c r="N3148" s="22"/>
      <c r="O3148" s="22"/>
      <c r="P3148" s="22"/>
      <c r="Q3148" s="22"/>
      <c r="R3148" s="22"/>
      <c r="S3148" s="22"/>
      <c r="T3148" s="22"/>
    </row>
    <row r="3149" spans="2:20" x14ac:dyDescent="0.35">
      <c r="B3149" s="17"/>
      <c r="C3149" s="13"/>
      <c r="D3149" s="13"/>
      <c r="E3149" s="13"/>
      <c r="F3149" s="14"/>
      <c r="G3149" s="14"/>
      <c r="H3149" s="14"/>
      <c r="I3149" s="14"/>
      <c r="J3149" s="14"/>
      <c r="K3149" s="14"/>
      <c r="L3149" s="14"/>
      <c r="M3149" s="14"/>
      <c r="N3149" s="14"/>
      <c r="O3149" s="14"/>
      <c r="P3149" s="14"/>
      <c r="Q3149" s="14"/>
      <c r="R3149" s="14"/>
      <c r="S3149" s="14"/>
      <c r="T3149" s="14"/>
    </row>
    <row r="3150" spans="2:20" x14ac:dyDescent="0.35">
      <c r="B3150" s="17"/>
      <c r="C3150" s="13"/>
      <c r="D3150" s="13"/>
      <c r="E3150" s="13"/>
      <c r="F3150" s="14"/>
      <c r="G3150" s="14"/>
      <c r="H3150" s="14"/>
      <c r="I3150" s="14"/>
      <c r="J3150" s="14"/>
      <c r="K3150" s="14"/>
      <c r="L3150" s="14"/>
      <c r="M3150" s="14"/>
      <c r="N3150" s="14"/>
      <c r="O3150" s="14"/>
      <c r="P3150" s="14"/>
      <c r="Q3150" s="14"/>
      <c r="R3150" s="14"/>
      <c r="S3150" s="14"/>
      <c r="T3150" s="14"/>
    </row>
    <row r="3151" spans="2:20" x14ac:dyDescent="0.35">
      <c r="B3151" s="17"/>
      <c r="C3151" s="13"/>
      <c r="D3151" s="13"/>
      <c r="E3151" s="13"/>
      <c r="F3151" s="14"/>
      <c r="G3151" s="14"/>
      <c r="H3151" s="14"/>
      <c r="I3151" s="14"/>
      <c r="J3151" s="14"/>
      <c r="K3151" s="14"/>
      <c r="L3151" s="14"/>
      <c r="M3151" s="14"/>
      <c r="N3151" s="14"/>
      <c r="O3151" s="14"/>
      <c r="P3151" s="14"/>
      <c r="Q3151" s="14"/>
      <c r="R3151" s="14"/>
      <c r="S3151" s="14"/>
      <c r="T3151" s="14"/>
    </row>
    <row r="3152" spans="2:20" x14ac:dyDescent="0.35">
      <c r="B3152" s="17"/>
      <c r="C3152" s="13"/>
      <c r="D3152" s="13"/>
      <c r="E3152" s="13"/>
      <c r="F3152" s="14"/>
      <c r="G3152" s="14"/>
      <c r="H3152" s="14"/>
      <c r="I3152" s="14"/>
      <c r="J3152" s="14"/>
      <c r="K3152" s="14"/>
      <c r="L3152" s="14"/>
      <c r="M3152" s="14"/>
      <c r="N3152" s="14"/>
      <c r="O3152" s="14"/>
      <c r="P3152" s="14"/>
      <c r="Q3152" s="14"/>
      <c r="R3152" s="14"/>
      <c r="S3152" s="14"/>
      <c r="T3152" s="14"/>
    </row>
    <row r="3153" spans="2:20" x14ac:dyDescent="0.35">
      <c r="B3153" s="17"/>
      <c r="C3153" s="13"/>
      <c r="D3153" s="13"/>
      <c r="E3153" s="13"/>
      <c r="F3153" s="14"/>
      <c r="G3153" s="14"/>
      <c r="H3153" s="14"/>
      <c r="I3153" s="14"/>
      <c r="J3153" s="14"/>
      <c r="K3153" s="14"/>
      <c r="L3153" s="14"/>
      <c r="M3153" s="14"/>
      <c r="N3153" s="14"/>
      <c r="O3153" s="14"/>
      <c r="P3153" s="14"/>
      <c r="Q3153" s="14"/>
      <c r="R3153" s="14"/>
      <c r="S3153" s="14"/>
      <c r="T3153" s="14"/>
    </row>
    <row r="3154" spans="2:20" x14ac:dyDescent="0.35">
      <c r="B3154" s="17"/>
      <c r="C3154" s="13"/>
      <c r="D3154" s="13"/>
      <c r="E3154" s="13"/>
      <c r="F3154" s="14"/>
      <c r="G3154" s="14"/>
      <c r="H3154" s="14"/>
      <c r="I3154" s="14"/>
      <c r="J3154" s="14"/>
      <c r="K3154" s="14"/>
      <c r="L3154" s="14"/>
      <c r="M3154" s="14"/>
      <c r="N3154" s="14"/>
      <c r="O3154" s="14"/>
      <c r="P3154" s="14"/>
      <c r="Q3154" s="14"/>
      <c r="R3154" s="14"/>
      <c r="S3154" s="14"/>
      <c r="T3154" s="14"/>
    </row>
    <row r="3155" spans="2:20" x14ac:dyDescent="0.35">
      <c r="B3155" s="17"/>
      <c r="C3155" s="13"/>
      <c r="D3155" s="13"/>
      <c r="E3155" s="13"/>
      <c r="F3155" s="14"/>
      <c r="G3155" s="14"/>
      <c r="H3155" s="14"/>
      <c r="I3155" s="14"/>
      <c r="J3155" s="14"/>
      <c r="K3155" s="14"/>
      <c r="L3155" s="14"/>
      <c r="M3155" s="14"/>
      <c r="N3155" s="14"/>
      <c r="O3155" s="14"/>
      <c r="P3155" s="14"/>
      <c r="Q3155" s="14"/>
      <c r="R3155" s="14"/>
      <c r="S3155" s="14"/>
      <c r="T3155" s="14"/>
    </row>
    <row r="3156" spans="2:20" x14ac:dyDescent="0.35">
      <c r="B3156" s="17"/>
      <c r="C3156" s="13"/>
      <c r="D3156" s="13"/>
      <c r="E3156" s="13"/>
      <c r="F3156" s="14"/>
      <c r="G3156" s="14"/>
      <c r="H3156" s="14"/>
      <c r="I3156" s="14"/>
      <c r="J3156" s="14"/>
      <c r="K3156" s="14"/>
      <c r="L3156" s="14"/>
      <c r="M3156" s="14"/>
      <c r="N3156" s="14"/>
      <c r="O3156" s="14"/>
      <c r="P3156" s="14"/>
      <c r="Q3156" s="14"/>
      <c r="R3156" s="14"/>
      <c r="S3156" s="14"/>
      <c r="T3156" s="14"/>
    </row>
    <row r="3157" spans="2:20" x14ac:dyDescent="0.35">
      <c r="B3157" s="17"/>
      <c r="C3157" s="13"/>
      <c r="D3157" s="13"/>
      <c r="E3157" s="13"/>
      <c r="F3157" s="14"/>
      <c r="G3157" s="14"/>
      <c r="H3157" s="14"/>
      <c r="I3157" s="14"/>
      <c r="J3157" s="14"/>
      <c r="K3157" s="14"/>
      <c r="L3157" s="14"/>
      <c r="M3157" s="14"/>
      <c r="N3157" s="14"/>
      <c r="O3157" s="14"/>
      <c r="P3157" s="14"/>
      <c r="Q3157" s="14"/>
      <c r="R3157" s="14"/>
      <c r="S3157" s="14"/>
      <c r="T3157" s="14"/>
    </row>
    <row r="3158" spans="2:20" x14ac:dyDescent="0.35">
      <c r="B3158" s="17"/>
      <c r="C3158" s="13"/>
      <c r="D3158" s="13"/>
      <c r="E3158" s="13"/>
      <c r="F3158" s="14"/>
      <c r="G3158" s="14"/>
      <c r="H3158" s="14"/>
      <c r="I3158" s="14"/>
      <c r="J3158" s="14"/>
      <c r="K3158" s="14"/>
      <c r="L3158" s="14"/>
      <c r="M3158" s="14"/>
      <c r="N3158" s="14"/>
      <c r="O3158" s="14"/>
      <c r="P3158" s="14"/>
      <c r="Q3158" s="14"/>
      <c r="R3158" s="14"/>
      <c r="S3158" s="14"/>
      <c r="T3158" s="14"/>
    </row>
    <row r="3159" spans="2:20" x14ac:dyDescent="0.35">
      <c r="B3159" s="17"/>
      <c r="C3159" s="13"/>
      <c r="D3159" s="13"/>
      <c r="E3159" s="13"/>
      <c r="F3159" s="14"/>
      <c r="G3159" s="14"/>
      <c r="H3159" s="14"/>
      <c r="I3159" s="14"/>
      <c r="J3159" s="14"/>
      <c r="K3159" s="14"/>
      <c r="L3159" s="14"/>
      <c r="M3159" s="14"/>
      <c r="N3159" s="14"/>
      <c r="O3159" s="14"/>
      <c r="P3159" s="14"/>
      <c r="Q3159" s="14"/>
      <c r="R3159" s="14"/>
      <c r="S3159" s="14"/>
      <c r="T3159" s="14"/>
    </row>
    <row r="3160" spans="2:20" x14ac:dyDescent="0.35">
      <c r="B3160" s="17"/>
      <c r="C3160" s="13"/>
      <c r="D3160" s="13"/>
      <c r="E3160" s="13"/>
      <c r="F3160" s="14"/>
      <c r="G3160" s="14"/>
      <c r="H3160" s="14"/>
      <c r="I3160" s="14"/>
      <c r="J3160" s="14"/>
      <c r="K3160" s="14"/>
      <c r="L3160" s="14"/>
      <c r="M3160" s="14"/>
      <c r="N3160" s="14"/>
      <c r="O3160" s="14"/>
      <c r="P3160" s="14"/>
      <c r="Q3160" s="14"/>
      <c r="R3160" s="14"/>
      <c r="S3160" s="14"/>
      <c r="T3160" s="14"/>
    </row>
    <row r="3161" spans="2:20" x14ac:dyDescent="0.35">
      <c r="B3161" s="17"/>
      <c r="C3161" s="13"/>
      <c r="D3161" s="13"/>
      <c r="E3161" s="13"/>
      <c r="F3161" s="14"/>
      <c r="G3161" s="14"/>
      <c r="H3161" s="14"/>
      <c r="I3161" s="14"/>
      <c r="J3161" s="14"/>
      <c r="K3161" s="14"/>
      <c r="L3161" s="14"/>
      <c r="M3161" s="14"/>
      <c r="N3161" s="14"/>
      <c r="O3161" s="14"/>
      <c r="P3161" s="14"/>
      <c r="Q3161" s="14"/>
      <c r="R3161" s="14"/>
      <c r="S3161" s="14"/>
      <c r="T3161" s="14"/>
    </row>
    <row r="3162" spans="2:20" x14ac:dyDescent="0.35">
      <c r="B3162" s="17"/>
      <c r="C3162" s="13"/>
      <c r="D3162" s="13"/>
      <c r="E3162" s="13"/>
      <c r="F3162" s="14"/>
      <c r="G3162" s="14"/>
      <c r="H3162" s="14"/>
      <c r="I3162" s="14"/>
      <c r="J3162" s="14"/>
      <c r="K3162" s="14"/>
      <c r="L3162" s="14"/>
      <c r="M3162" s="14"/>
      <c r="N3162" s="14"/>
      <c r="O3162" s="14"/>
      <c r="P3162" s="14"/>
      <c r="Q3162" s="14"/>
      <c r="R3162" s="14"/>
      <c r="S3162" s="14"/>
      <c r="T3162" s="14"/>
    </row>
    <row r="3163" spans="2:20" x14ac:dyDescent="0.35">
      <c r="B3163" s="17"/>
      <c r="C3163" s="13"/>
      <c r="D3163" s="13"/>
      <c r="E3163" s="13"/>
      <c r="F3163" s="14"/>
      <c r="G3163" s="14"/>
      <c r="H3163" s="14"/>
      <c r="I3163" s="14"/>
      <c r="J3163" s="14"/>
      <c r="K3163" s="14"/>
      <c r="L3163" s="14"/>
      <c r="M3163" s="14"/>
      <c r="N3163" s="14"/>
      <c r="O3163" s="14"/>
      <c r="P3163" s="14"/>
      <c r="Q3163" s="14"/>
      <c r="R3163" s="14"/>
      <c r="S3163" s="14"/>
      <c r="T3163" s="14"/>
    </row>
    <row r="3164" spans="2:20" x14ac:dyDescent="0.35">
      <c r="B3164" s="17"/>
      <c r="C3164" s="18"/>
      <c r="D3164" s="19"/>
      <c r="E3164" s="19"/>
      <c r="F3164" s="22"/>
      <c r="G3164" s="22"/>
      <c r="H3164" s="22"/>
      <c r="I3164" s="22"/>
      <c r="J3164" s="22"/>
      <c r="K3164" s="22"/>
      <c r="L3164" s="22"/>
      <c r="M3164" s="22"/>
      <c r="N3164" s="22"/>
      <c r="O3164" s="22"/>
      <c r="P3164" s="22"/>
      <c r="Q3164" s="22"/>
      <c r="R3164" s="22"/>
      <c r="S3164" s="22"/>
      <c r="T3164" s="22"/>
    </row>
    <row r="3165" spans="2:20" x14ac:dyDescent="0.35">
      <c r="B3165" s="17"/>
      <c r="C3165" s="18"/>
      <c r="D3165" s="19"/>
      <c r="E3165" s="19"/>
      <c r="F3165" s="22"/>
      <c r="G3165" s="22"/>
      <c r="H3165" s="22"/>
      <c r="I3165" s="22"/>
      <c r="J3165" s="22"/>
      <c r="K3165" s="22"/>
      <c r="L3165" s="22"/>
      <c r="M3165" s="22"/>
      <c r="N3165" s="22"/>
      <c r="O3165" s="22"/>
      <c r="P3165" s="22"/>
      <c r="Q3165" s="22"/>
      <c r="R3165" s="22"/>
      <c r="S3165" s="22"/>
      <c r="T3165" s="22"/>
    </row>
    <row r="3166" spans="2:20" x14ac:dyDescent="0.35">
      <c r="B3166" s="17"/>
      <c r="C3166" s="18"/>
      <c r="D3166" s="19"/>
      <c r="E3166" s="19"/>
      <c r="F3166" s="22"/>
      <c r="G3166" s="22"/>
      <c r="H3166" s="22"/>
      <c r="I3166" s="22"/>
      <c r="J3166" s="22"/>
      <c r="K3166" s="22"/>
      <c r="L3166" s="22"/>
      <c r="M3166" s="22"/>
      <c r="N3166" s="22"/>
      <c r="O3166" s="22"/>
      <c r="P3166" s="22"/>
      <c r="Q3166" s="22"/>
      <c r="R3166" s="22"/>
      <c r="S3166" s="22"/>
      <c r="T3166" s="22"/>
    </row>
    <row r="3167" spans="2:20" x14ac:dyDescent="0.35">
      <c r="B3167" s="17"/>
      <c r="C3167" s="18"/>
      <c r="D3167" s="19"/>
      <c r="E3167" s="19"/>
      <c r="F3167" s="22"/>
      <c r="G3167" s="22"/>
      <c r="H3167" s="22"/>
      <c r="I3167" s="22"/>
      <c r="J3167" s="22"/>
      <c r="K3167" s="22"/>
      <c r="L3167" s="22"/>
      <c r="M3167" s="22"/>
      <c r="N3167" s="22"/>
      <c r="O3167" s="22"/>
      <c r="P3167" s="22"/>
      <c r="Q3167" s="22"/>
      <c r="R3167" s="22"/>
      <c r="S3167" s="22"/>
      <c r="T3167" s="22"/>
    </row>
    <row r="3168" spans="2:20" x14ac:dyDescent="0.35">
      <c r="B3168" s="17"/>
      <c r="C3168" s="18"/>
      <c r="D3168" s="19"/>
      <c r="E3168" s="19"/>
      <c r="F3168" s="22"/>
      <c r="G3168" s="22"/>
      <c r="H3168" s="22"/>
      <c r="I3168" s="22"/>
      <c r="J3168" s="22"/>
      <c r="K3168" s="22"/>
      <c r="L3168" s="22"/>
      <c r="M3168" s="22"/>
      <c r="N3168" s="22"/>
      <c r="O3168" s="22"/>
      <c r="P3168" s="22"/>
      <c r="Q3168" s="22"/>
      <c r="R3168" s="22"/>
      <c r="S3168" s="22"/>
      <c r="T3168" s="22"/>
    </row>
    <row r="3169" spans="2:20" x14ac:dyDescent="0.35">
      <c r="B3169" s="17"/>
      <c r="C3169" s="18"/>
      <c r="D3169" s="19"/>
      <c r="E3169" s="19"/>
      <c r="F3169" s="22"/>
      <c r="G3169" s="22"/>
      <c r="H3169" s="22"/>
      <c r="I3169" s="22"/>
      <c r="J3169" s="22"/>
      <c r="K3169" s="22"/>
      <c r="L3169" s="22"/>
      <c r="M3169" s="22"/>
      <c r="N3169" s="22"/>
      <c r="O3169" s="22"/>
      <c r="P3169" s="22"/>
      <c r="Q3169" s="22"/>
      <c r="R3169" s="22"/>
      <c r="S3169" s="22"/>
      <c r="T3169" s="22"/>
    </row>
    <row r="3170" spans="2:20" x14ac:dyDescent="0.35">
      <c r="B3170" s="17"/>
      <c r="C3170" s="18"/>
      <c r="D3170" s="19"/>
      <c r="E3170" s="19"/>
      <c r="F3170" s="22"/>
      <c r="G3170" s="22"/>
      <c r="H3170" s="22"/>
      <c r="I3170" s="22"/>
      <c r="J3170" s="22"/>
      <c r="K3170" s="22"/>
      <c r="L3170" s="22"/>
      <c r="M3170" s="22"/>
      <c r="N3170" s="22"/>
      <c r="O3170" s="22"/>
      <c r="P3170" s="22"/>
      <c r="Q3170" s="22"/>
      <c r="R3170" s="22"/>
      <c r="S3170" s="22"/>
      <c r="T3170" s="22"/>
    </row>
    <row r="3171" spans="2:20" x14ac:dyDescent="0.35">
      <c r="B3171" s="17"/>
      <c r="C3171" s="18"/>
      <c r="D3171" s="19"/>
      <c r="E3171" s="19"/>
      <c r="F3171" s="22"/>
      <c r="G3171" s="22"/>
      <c r="H3171" s="22"/>
      <c r="I3171" s="22"/>
      <c r="J3171" s="22"/>
      <c r="K3171" s="22"/>
      <c r="L3171" s="22"/>
      <c r="M3171" s="22"/>
      <c r="N3171" s="22"/>
      <c r="O3171" s="22"/>
      <c r="P3171" s="22"/>
      <c r="Q3171" s="22"/>
      <c r="R3171" s="22"/>
      <c r="S3171" s="22"/>
      <c r="T3171" s="22"/>
    </row>
    <row r="3172" spans="2:20" x14ac:dyDescent="0.35">
      <c r="B3172" s="17"/>
      <c r="C3172" s="18"/>
      <c r="D3172" s="19"/>
      <c r="E3172" s="19"/>
      <c r="F3172" s="22"/>
      <c r="G3172" s="22"/>
      <c r="H3172" s="22"/>
      <c r="I3172" s="22"/>
      <c r="J3172" s="22"/>
      <c r="K3172" s="22"/>
      <c r="L3172" s="22"/>
      <c r="M3172" s="22"/>
      <c r="N3172" s="22"/>
      <c r="O3172" s="22"/>
      <c r="P3172" s="22"/>
      <c r="Q3172" s="22"/>
      <c r="R3172" s="22"/>
      <c r="S3172" s="22"/>
      <c r="T3172" s="22"/>
    </row>
    <row r="3173" spans="2:20" x14ac:dyDescent="0.35">
      <c r="B3173" s="17"/>
      <c r="C3173" s="18"/>
      <c r="D3173" s="19"/>
      <c r="E3173" s="19"/>
      <c r="F3173" s="22"/>
      <c r="G3173" s="22"/>
      <c r="H3173" s="22"/>
      <c r="I3173" s="22"/>
      <c r="J3173" s="22"/>
      <c r="K3173" s="22"/>
      <c r="L3173" s="22"/>
      <c r="M3173" s="22"/>
      <c r="N3173" s="22"/>
      <c r="O3173" s="22"/>
      <c r="P3173" s="22"/>
      <c r="Q3173" s="22"/>
      <c r="R3173" s="22"/>
      <c r="S3173" s="22"/>
      <c r="T3173" s="22"/>
    </row>
    <row r="3174" spans="2:20" x14ac:dyDescent="0.35">
      <c r="B3174" s="17"/>
      <c r="C3174" s="18"/>
      <c r="D3174" s="19"/>
      <c r="E3174" s="19"/>
      <c r="F3174" s="22"/>
      <c r="G3174" s="22"/>
      <c r="H3174" s="22"/>
      <c r="I3174" s="22"/>
      <c r="J3174" s="22"/>
      <c r="K3174" s="22"/>
      <c r="L3174" s="22"/>
      <c r="M3174" s="22"/>
      <c r="N3174" s="22"/>
      <c r="O3174" s="22"/>
      <c r="P3174" s="22"/>
      <c r="Q3174" s="22"/>
      <c r="R3174" s="22"/>
      <c r="S3174" s="22"/>
      <c r="T3174" s="22"/>
    </row>
    <row r="3175" spans="2:20" x14ac:dyDescent="0.35">
      <c r="B3175" s="17"/>
      <c r="C3175" s="18"/>
      <c r="D3175" s="19"/>
      <c r="E3175" s="19"/>
      <c r="F3175" s="22"/>
      <c r="G3175" s="22"/>
      <c r="H3175" s="22"/>
      <c r="I3175" s="22"/>
      <c r="J3175" s="22"/>
      <c r="K3175" s="22"/>
      <c r="L3175" s="22"/>
      <c r="M3175" s="22"/>
      <c r="N3175" s="22"/>
      <c r="O3175" s="22"/>
      <c r="P3175" s="22"/>
      <c r="Q3175" s="22"/>
      <c r="R3175" s="22"/>
      <c r="S3175" s="22"/>
      <c r="T3175" s="22"/>
    </row>
    <row r="3176" spans="2:20" x14ac:dyDescent="0.35">
      <c r="B3176" s="17"/>
      <c r="C3176" s="18"/>
      <c r="D3176" s="19"/>
      <c r="E3176" s="19"/>
      <c r="F3176" s="22"/>
      <c r="G3176" s="22"/>
      <c r="H3176" s="22"/>
      <c r="I3176" s="22"/>
      <c r="J3176" s="22"/>
      <c r="K3176" s="22"/>
      <c r="L3176" s="22"/>
      <c r="M3176" s="22"/>
      <c r="N3176" s="22"/>
      <c r="O3176" s="22"/>
      <c r="P3176" s="22"/>
      <c r="Q3176" s="22"/>
      <c r="R3176" s="22"/>
      <c r="S3176" s="22"/>
      <c r="T3176" s="22"/>
    </row>
    <row r="3177" spans="2:20" x14ac:dyDescent="0.35">
      <c r="B3177" s="17"/>
      <c r="C3177" s="18"/>
      <c r="D3177" s="19"/>
      <c r="E3177" s="19"/>
      <c r="F3177" s="22"/>
      <c r="G3177" s="22"/>
      <c r="H3177" s="22"/>
      <c r="I3177" s="22"/>
      <c r="J3177" s="22"/>
      <c r="K3177" s="22"/>
      <c r="L3177" s="22"/>
      <c r="M3177" s="22"/>
      <c r="N3177" s="22"/>
      <c r="O3177" s="22"/>
      <c r="P3177" s="22"/>
      <c r="Q3177" s="22"/>
      <c r="R3177" s="22"/>
      <c r="S3177" s="22"/>
      <c r="T3177" s="22"/>
    </row>
    <row r="3178" spans="2:20" x14ac:dyDescent="0.35">
      <c r="B3178" s="17"/>
      <c r="C3178" s="18"/>
      <c r="D3178" s="19"/>
      <c r="E3178" s="19"/>
      <c r="F3178" s="22"/>
      <c r="G3178" s="22"/>
      <c r="H3178" s="22"/>
      <c r="I3178" s="22"/>
      <c r="J3178" s="22"/>
      <c r="K3178" s="22"/>
      <c r="L3178" s="22"/>
      <c r="M3178" s="22"/>
      <c r="N3178" s="22"/>
      <c r="O3178" s="22"/>
      <c r="P3178" s="22"/>
      <c r="Q3178" s="22"/>
      <c r="R3178" s="22"/>
      <c r="S3178" s="22"/>
      <c r="T3178" s="22"/>
    </row>
    <row r="3179" spans="2:20" x14ac:dyDescent="0.35">
      <c r="B3179" s="17"/>
      <c r="C3179" s="18"/>
      <c r="D3179" s="19"/>
      <c r="E3179" s="19"/>
      <c r="F3179" s="22"/>
      <c r="G3179" s="22"/>
      <c r="H3179" s="22"/>
      <c r="I3179" s="22"/>
      <c r="J3179" s="22"/>
      <c r="K3179" s="22"/>
      <c r="L3179" s="22"/>
      <c r="M3179" s="22"/>
      <c r="N3179" s="22"/>
      <c r="O3179" s="22"/>
      <c r="P3179" s="22"/>
      <c r="Q3179" s="22"/>
      <c r="R3179" s="22"/>
      <c r="S3179" s="22"/>
      <c r="T3179" s="22"/>
    </row>
    <row r="3180" spans="2:20" x14ac:dyDescent="0.35">
      <c r="B3180" s="17"/>
      <c r="C3180" s="13"/>
      <c r="D3180" s="13"/>
      <c r="E3180" s="13"/>
      <c r="F3180" s="14"/>
      <c r="G3180" s="14"/>
      <c r="H3180" s="14"/>
      <c r="I3180" s="14"/>
      <c r="J3180" s="14"/>
      <c r="K3180" s="14"/>
      <c r="L3180" s="14"/>
      <c r="M3180" s="14"/>
      <c r="N3180" s="14"/>
      <c r="O3180" s="14"/>
      <c r="P3180" s="14"/>
      <c r="Q3180" s="14"/>
      <c r="R3180" s="14"/>
      <c r="S3180" s="14"/>
      <c r="T3180" s="14"/>
    </row>
    <row r="3181" spans="2:20" x14ac:dyDescent="0.35">
      <c r="B3181" s="17"/>
      <c r="C3181" s="13"/>
      <c r="D3181" s="13"/>
      <c r="E3181" s="13"/>
      <c r="F3181" s="14"/>
      <c r="G3181" s="14"/>
      <c r="H3181" s="14"/>
      <c r="I3181" s="14"/>
      <c r="J3181" s="14"/>
      <c r="K3181" s="14"/>
      <c r="L3181" s="14"/>
      <c r="M3181" s="14"/>
      <c r="N3181" s="14"/>
      <c r="O3181" s="14"/>
      <c r="P3181" s="14"/>
      <c r="Q3181" s="14"/>
      <c r="R3181" s="14"/>
      <c r="S3181" s="14"/>
      <c r="T3181" s="14"/>
    </row>
    <row r="3182" spans="2:20" x14ac:dyDescent="0.35">
      <c r="B3182" s="17"/>
      <c r="C3182" s="13"/>
      <c r="D3182" s="13"/>
      <c r="E3182" s="13"/>
      <c r="F3182" s="14"/>
      <c r="G3182" s="14"/>
      <c r="H3182" s="14"/>
      <c r="I3182" s="14"/>
      <c r="J3182" s="14"/>
      <c r="K3182" s="14"/>
      <c r="L3182" s="14"/>
      <c r="M3182" s="14"/>
      <c r="N3182" s="14"/>
      <c r="O3182" s="14"/>
      <c r="P3182" s="14"/>
      <c r="Q3182" s="14"/>
      <c r="R3182" s="14"/>
      <c r="S3182" s="14"/>
      <c r="T3182" s="14"/>
    </row>
    <row r="3183" spans="2:20" x14ac:dyDescent="0.35">
      <c r="B3183" s="17"/>
      <c r="C3183" s="13"/>
      <c r="D3183" s="13"/>
      <c r="E3183" s="13"/>
      <c r="F3183" s="14"/>
      <c r="G3183" s="14"/>
      <c r="H3183" s="14"/>
      <c r="I3183" s="14"/>
      <c r="J3183" s="14"/>
      <c r="K3183" s="14"/>
      <c r="L3183" s="14"/>
      <c r="M3183" s="14"/>
      <c r="N3183" s="14"/>
      <c r="O3183" s="14"/>
      <c r="P3183" s="14"/>
      <c r="Q3183" s="14"/>
      <c r="R3183" s="14"/>
      <c r="S3183" s="14"/>
      <c r="T3183" s="14"/>
    </row>
    <row r="3184" spans="2:20" x14ac:dyDescent="0.35">
      <c r="B3184" s="17"/>
      <c r="C3184" s="13"/>
      <c r="D3184" s="13"/>
      <c r="E3184" s="13"/>
      <c r="F3184" s="14"/>
      <c r="G3184" s="14"/>
      <c r="H3184" s="14"/>
      <c r="I3184" s="14"/>
      <c r="J3184" s="14"/>
      <c r="K3184" s="14"/>
      <c r="L3184" s="14"/>
      <c r="M3184" s="14"/>
      <c r="N3184" s="14"/>
      <c r="O3184" s="14"/>
      <c r="P3184" s="14"/>
      <c r="Q3184" s="14"/>
      <c r="R3184" s="14"/>
      <c r="S3184" s="14"/>
      <c r="T3184" s="14"/>
    </row>
    <row r="3185" spans="2:20" x14ac:dyDescent="0.35">
      <c r="B3185" s="17"/>
      <c r="C3185" s="13"/>
      <c r="D3185" s="13"/>
      <c r="E3185" s="13"/>
      <c r="F3185" s="14"/>
      <c r="G3185" s="14"/>
      <c r="H3185" s="14"/>
      <c r="I3185" s="14"/>
      <c r="J3185" s="14"/>
      <c r="K3185" s="14"/>
      <c r="L3185" s="14"/>
      <c r="M3185" s="14"/>
      <c r="N3185" s="14"/>
      <c r="O3185" s="14"/>
      <c r="P3185" s="14"/>
      <c r="Q3185" s="14"/>
      <c r="R3185" s="14"/>
      <c r="S3185" s="14"/>
      <c r="T3185" s="14"/>
    </row>
    <row r="3186" spans="2:20" x14ac:dyDescent="0.35">
      <c r="B3186" s="17"/>
      <c r="C3186" s="13"/>
      <c r="D3186" s="13"/>
      <c r="E3186" s="13"/>
      <c r="F3186" s="14"/>
      <c r="G3186" s="14"/>
      <c r="H3186" s="14"/>
      <c r="I3186" s="14"/>
      <c r="J3186" s="14"/>
      <c r="K3186" s="14"/>
      <c r="L3186" s="14"/>
      <c r="M3186" s="14"/>
      <c r="N3186" s="14"/>
      <c r="O3186" s="14"/>
      <c r="P3186" s="14"/>
      <c r="Q3186" s="14"/>
      <c r="R3186" s="14"/>
      <c r="S3186" s="14"/>
      <c r="T3186" s="14"/>
    </row>
    <row r="3187" spans="2:20" x14ac:dyDescent="0.35">
      <c r="F3187"/>
      <c r="G3187"/>
      <c r="H3187"/>
      <c r="I3187"/>
      <c r="J3187"/>
      <c r="K3187"/>
      <c r="L3187"/>
      <c r="M3187"/>
    </row>
    <row r="3188" spans="2:20" x14ac:dyDescent="0.35">
      <c r="F3188"/>
      <c r="G3188"/>
      <c r="H3188"/>
      <c r="I3188"/>
      <c r="J3188"/>
      <c r="K3188"/>
      <c r="L3188"/>
      <c r="M3188"/>
    </row>
    <row r="3189" spans="2:20" x14ac:dyDescent="0.35">
      <c r="F3189"/>
      <c r="G3189"/>
      <c r="H3189"/>
      <c r="I3189"/>
      <c r="J3189"/>
      <c r="K3189"/>
      <c r="L3189"/>
      <c r="M3189"/>
    </row>
    <row r="3190" spans="2:20" x14ac:dyDescent="0.35">
      <c r="F3190"/>
      <c r="G3190"/>
      <c r="H3190"/>
      <c r="I3190"/>
      <c r="J3190"/>
      <c r="K3190"/>
      <c r="L3190"/>
      <c r="M3190"/>
    </row>
    <row r="3191" spans="2:20" x14ac:dyDescent="0.35">
      <c r="F3191"/>
      <c r="G3191"/>
      <c r="H3191"/>
      <c r="I3191"/>
      <c r="J3191"/>
      <c r="K3191"/>
      <c r="L3191"/>
      <c r="M3191"/>
    </row>
    <row r="3192" spans="2:20" x14ac:dyDescent="0.35">
      <c r="F3192"/>
      <c r="G3192"/>
      <c r="H3192"/>
      <c r="I3192"/>
      <c r="J3192"/>
      <c r="K3192"/>
      <c r="L3192"/>
      <c r="M3192"/>
    </row>
    <row r="3193" spans="2:20" x14ac:dyDescent="0.35">
      <c r="F3193"/>
      <c r="G3193"/>
      <c r="H3193"/>
      <c r="I3193"/>
      <c r="J3193"/>
      <c r="K3193"/>
      <c r="L3193"/>
      <c r="M3193"/>
    </row>
  </sheetData>
  <mergeCells count="1">
    <mergeCell ref="A1:M3"/>
  </mergeCells>
  <conditionalFormatting sqref="A1201:A1208">
    <cfRule type="cellIs" dxfId="367" priority="2" operator="equal">
      <formula>0</formula>
    </cfRule>
  </conditionalFormatting>
  <conditionalFormatting sqref="A1626:A1673">
    <cfRule type="cellIs" dxfId="366" priority="12" operator="equal">
      <formula>0</formula>
    </cfRule>
  </conditionalFormatting>
  <conditionalFormatting sqref="A2119:A2166">
    <cfRule type="cellIs" dxfId="365" priority="5" operator="equal">
      <formula>0</formula>
    </cfRule>
  </conditionalFormatting>
  <conditionalFormatting sqref="A6:R6">
    <cfRule type="cellIs" dxfId="364" priority="24" operator="equal">
      <formula>0</formula>
    </cfRule>
  </conditionalFormatting>
  <conditionalFormatting sqref="A1200:R1200">
    <cfRule type="cellIs" dxfId="363" priority="1" operator="equal">
      <formula>0</formula>
    </cfRule>
  </conditionalFormatting>
  <conditionalFormatting sqref="A1734:S1734">
    <cfRule type="cellIs" dxfId="362" priority="3" operator="equal">
      <formula>0</formula>
    </cfRule>
  </conditionalFormatting>
  <conditionalFormatting sqref="S1241">
    <cfRule type="cellIs" dxfId="361" priority="6" operator="equal">
      <formula>0</formula>
    </cfRule>
  </conditionalFormatting>
  <conditionalFormatting sqref="T1603">
    <cfRule type="cellIs" dxfId="360" priority="9"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vt:lpstr>
      <vt:lpstr>Value</vt: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 System</dc:creator>
  <cp:lastModifiedBy>Vijay Budhwani</cp:lastModifiedBy>
  <dcterms:created xsi:type="dcterms:W3CDTF">2025-09-29T15:19:06Z</dcterms:created>
  <dcterms:modified xsi:type="dcterms:W3CDTF">2026-04-24T10:31:10Z</dcterms:modified>
</cp:coreProperties>
</file>